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6225381-08C6-4B21-8729-EE8C28920B91}" xr6:coauthVersionLast="47" xr6:coauthVersionMax="47" xr10:uidLastSave="{00000000-0000-0000-0000-000000000000}"/>
  <bookViews>
    <workbookView xWindow="-108" yWindow="-108" windowWidth="23256" windowHeight="13896" tabRatio="500" firstSheet="8" activeTab="9" xr2:uid="{00000000-000D-0000-FFFF-FFFF00000000}"/>
  </bookViews>
  <sheets>
    <sheet name="Engine Inputs" sheetId="1" r:id="rId1"/>
    <sheet name="Margin-Move Link" sheetId="2" r:id="rId2"/>
    <sheet name="Rebuilt Scenarios" sheetId="3" r:id="rId3"/>
    <sheet name="Roll &amp; Cost Drag" sheetId="4" r:id="rId4"/>
    <sheet name="Margin Trap Risk" sheetId="5" r:id="rId5"/>
    <sheet name="Kelly Sizing" sheetId="6" r:id="rId6"/>
    <sheet name="GIFT Bridge" sheetId="7" r:id="rId7"/>
    <sheet name="Global Shipping Tax &amp; Exec" sheetId="8" r:id="rId8"/>
    <sheet name="Global Shipping Tax &amp; Exec (2)" sheetId="10" r:id="rId9"/>
    <sheet name="Global Shipping Tax &amp; Exec (3)" sheetId="11" r:id="rId10"/>
    <sheet name="US_Leveraged_ETF_Engine" sheetId="9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6" i="11" l="1"/>
  <c r="B40" i="11"/>
  <c r="K40" i="11" s="1"/>
  <c r="C35" i="11"/>
  <c r="C34" i="11"/>
  <c r="C33" i="11"/>
  <c r="C32" i="11"/>
  <c r="C29" i="11"/>
  <c r="B28" i="11"/>
  <c r="B27" i="11"/>
  <c r="B24" i="11"/>
  <c r="B25" i="11" s="1"/>
  <c r="B26" i="11" s="1"/>
  <c r="B29" i="11" s="1"/>
  <c r="B66" i="10"/>
  <c r="I40" i="10"/>
  <c r="B40" i="10"/>
  <c r="C35" i="10"/>
  <c r="C34" i="10"/>
  <c r="C33" i="10"/>
  <c r="C32" i="10"/>
  <c r="B28" i="10"/>
  <c r="B27" i="10"/>
  <c r="C29" i="10" s="1"/>
  <c r="B25" i="10"/>
  <c r="B26" i="10" s="1"/>
  <c r="B29" i="10" s="1"/>
  <c r="D40" i="10" s="1"/>
  <c r="B24" i="10"/>
  <c r="F29" i="3"/>
  <c r="D132" i="2"/>
  <c r="D134" i="2"/>
  <c r="C6" i="3" s="1"/>
  <c r="B56" i="9"/>
  <c r="L44" i="9"/>
  <c r="L45" i="9" s="1"/>
  <c r="L46" i="9" s="1"/>
  <c r="L47" i="9" s="1"/>
  <c r="L48" i="9" s="1"/>
  <c r="L49" i="9" s="1"/>
  <c r="L50" i="9" s="1"/>
  <c r="L51" i="9" s="1"/>
  <c r="L52" i="9" s="1"/>
  <c r="L53" i="9" s="1"/>
  <c r="B58" i="9" s="1"/>
  <c r="D44" i="9"/>
  <c r="E44" i="9" s="1"/>
  <c r="F44" i="9" s="1"/>
  <c r="B44" i="9"/>
  <c r="C44" i="9" s="1"/>
  <c r="F40" i="9"/>
  <c r="E40" i="9"/>
  <c r="G40" i="9" s="1"/>
  <c r="D40" i="9"/>
  <c r="C40" i="9"/>
  <c r="B40" i="9"/>
  <c r="D39" i="9"/>
  <c r="C39" i="9"/>
  <c r="F39" i="9" s="1"/>
  <c r="B39" i="9"/>
  <c r="F38" i="9"/>
  <c r="C38" i="9"/>
  <c r="E38" i="9" s="1"/>
  <c r="G38" i="9" s="1"/>
  <c r="B38" i="9"/>
  <c r="G37" i="9"/>
  <c r="F37" i="9"/>
  <c r="E37" i="9"/>
  <c r="D37" i="9"/>
  <c r="C37" i="9"/>
  <c r="B37" i="9"/>
  <c r="F36" i="9"/>
  <c r="E36" i="9"/>
  <c r="G36" i="9" s="1"/>
  <c r="D36" i="9"/>
  <c r="C36" i="9"/>
  <c r="B36" i="9"/>
  <c r="D32" i="9"/>
  <c r="D31" i="9"/>
  <c r="D30" i="9"/>
  <c r="D29" i="9"/>
  <c r="D28" i="9"/>
  <c r="B66" i="8"/>
  <c r="B40" i="8"/>
  <c r="K40" i="8" s="1"/>
  <c r="C35" i="8"/>
  <c r="C34" i="8"/>
  <c r="C33" i="8"/>
  <c r="C32" i="8"/>
  <c r="B28" i="8"/>
  <c r="B27" i="8"/>
  <c r="C29" i="8" s="1"/>
  <c r="B25" i="8"/>
  <c r="B26" i="8" s="1"/>
  <c r="B29" i="8" s="1"/>
  <c r="B24" i="8"/>
  <c r="F25" i="6"/>
  <c r="E25" i="6"/>
  <c r="D25" i="6"/>
  <c r="C25" i="6"/>
  <c r="B25" i="6"/>
  <c r="F24" i="6"/>
  <c r="E24" i="6"/>
  <c r="D24" i="6"/>
  <c r="C24" i="6"/>
  <c r="B24" i="6"/>
  <c r="F23" i="6"/>
  <c r="E23" i="6"/>
  <c r="D23" i="6"/>
  <c r="C23" i="6"/>
  <c r="B23" i="6"/>
  <c r="F22" i="6"/>
  <c r="E22" i="6"/>
  <c r="D22" i="6"/>
  <c r="C22" i="6"/>
  <c r="B22" i="6"/>
  <c r="F21" i="6"/>
  <c r="E21" i="6"/>
  <c r="D21" i="6"/>
  <c r="C21" i="6"/>
  <c r="B21" i="6"/>
  <c r="F20" i="6"/>
  <c r="E20" i="6"/>
  <c r="D20" i="6"/>
  <c r="C20" i="6"/>
  <c r="B20" i="6"/>
  <c r="B11" i="6"/>
  <c r="B12" i="6" s="1"/>
  <c r="B19" i="5"/>
  <c r="B18" i="5"/>
  <c r="B20" i="5" s="1"/>
  <c r="B21" i="5" s="1"/>
  <c r="B17" i="5"/>
  <c r="B19" i="4"/>
  <c r="B17" i="4"/>
  <c r="B16" i="4"/>
  <c r="B15" i="4"/>
  <c r="B18" i="4" s="1"/>
  <c r="B14" i="4"/>
  <c r="D127" i="2"/>
  <c r="E127" i="2" s="1"/>
  <c r="E126" i="2"/>
  <c r="D126" i="2"/>
  <c r="E125" i="2"/>
  <c r="D125" i="2"/>
  <c r="D124" i="2"/>
  <c r="E124" i="2" s="1"/>
  <c r="E123" i="2"/>
  <c r="D123" i="2"/>
  <c r="E122" i="2"/>
  <c r="D122" i="2"/>
  <c r="E121" i="2"/>
  <c r="D121" i="2"/>
  <c r="D120" i="2"/>
  <c r="E120" i="2" s="1"/>
  <c r="D119" i="2"/>
  <c r="E119" i="2" s="1"/>
  <c r="E118" i="2"/>
  <c r="D118" i="2"/>
  <c r="D117" i="2"/>
  <c r="E117" i="2" s="1"/>
  <c r="D116" i="2"/>
  <c r="E116" i="2" s="1"/>
  <c r="D115" i="2"/>
  <c r="E115" i="2" s="1"/>
  <c r="E114" i="2"/>
  <c r="D114" i="2"/>
  <c r="E113" i="2"/>
  <c r="D113" i="2"/>
  <c r="D112" i="2"/>
  <c r="E112" i="2" s="1"/>
  <c r="E111" i="2"/>
  <c r="D111" i="2"/>
  <c r="E110" i="2"/>
  <c r="D110" i="2"/>
  <c r="D109" i="2"/>
  <c r="E109" i="2" s="1"/>
  <c r="D108" i="2"/>
  <c r="E108" i="2" s="1"/>
  <c r="E107" i="2"/>
  <c r="D107" i="2"/>
  <c r="E106" i="2"/>
  <c r="D106" i="2"/>
  <c r="E105" i="2"/>
  <c r="D105" i="2"/>
  <c r="D104" i="2"/>
  <c r="E104" i="2" s="1"/>
  <c r="D103" i="2"/>
  <c r="E103" i="2" s="1"/>
  <c r="E102" i="2"/>
  <c r="D102" i="2"/>
  <c r="D101" i="2"/>
  <c r="E101" i="2" s="1"/>
  <c r="D100" i="2"/>
  <c r="E100" i="2" s="1"/>
  <c r="E99" i="2"/>
  <c r="D99" i="2"/>
  <c r="E98" i="2"/>
  <c r="D98" i="2"/>
  <c r="D97" i="2"/>
  <c r="E97" i="2" s="1"/>
  <c r="D96" i="2"/>
  <c r="E96" i="2" s="1"/>
  <c r="D95" i="2"/>
  <c r="E95" i="2" s="1"/>
  <c r="E94" i="2"/>
  <c r="D94" i="2"/>
  <c r="E93" i="2"/>
  <c r="D93" i="2"/>
  <c r="D92" i="2"/>
  <c r="E92" i="2" s="1"/>
  <c r="E91" i="2"/>
  <c r="D91" i="2"/>
  <c r="E90" i="2"/>
  <c r="D90" i="2"/>
  <c r="E89" i="2"/>
  <c r="D89" i="2"/>
  <c r="D88" i="2"/>
  <c r="E88" i="2" s="1"/>
  <c r="D87" i="2"/>
  <c r="E87" i="2" s="1"/>
  <c r="E86" i="2"/>
  <c r="D86" i="2"/>
  <c r="D85" i="2"/>
  <c r="E85" i="2" s="1"/>
  <c r="D84" i="2"/>
  <c r="E84" i="2" s="1"/>
  <c r="D83" i="2"/>
  <c r="E83" i="2" s="1"/>
  <c r="E82" i="2"/>
  <c r="D82" i="2"/>
  <c r="E81" i="2"/>
  <c r="D81" i="2"/>
  <c r="D80" i="2"/>
  <c r="E80" i="2" s="1"/>
  <c r="E79" i="2"/>
  <c r="D79" i="2"/>
  <c r="E78" i="2"/>
  <c r="D78" i="2"/>
  <c r="D77" i="2"/>
  <c r="E77" i="2" s="1"/>
  <c r="D76" i="2"/>
  <c r="E76" i="2" s="1"/>
  <c r="E75" i="2"/>
  <c r="D75" i="2"/>
  <c r="E74" i="2"/>
  <c r="D74" i="2"/>
  <c r="E73" i="2"/>
  <c r="D73" i="2"/>
  <c r="D72" i="2"/>
  <c r="E72" i="2" s="1"/>
  <c r="D71" i="2"/>
  <c r="E71" i="2" s="1"/>
  <c r="E70" i="2"/>
  <c r="D70" i="2"/>
  <c r="D69" i="2"/>
  <c r="E69" i="2" s="1"/>
  <c r="D68" i="2"/>
  <c r="E68" i="2" s="1"/>
  <c r="E67" i="2"/>
  <c r="D67" i="2"/>
  <c r="E66" i="2"/>
  <c r="D66" i="2"/>
  <c r="D65" i="2"/>
  <c r="E65" i="2" s="1"/>
  <c r="D64" i="2"/>
  <c r="E64" i="2" s="1"/>
  <c r="D63" i="2"/>
  <c r="E63" i="2" s="1"/>
  <c r="E62" i="2"/>
  <c r="D62" i="2"/>
  <c r="E61" i="2"/>
  <c r="D61" i="2"/>
  <c r="D60" i="2"/>
  <c r="E60" i="2" s="1"/>
  <c r="E59" i="2"/>
  <c r="D59" i="2"/>
  <c r="E58" i="2"/>
  <c r="D58" i="2"/>
  <c r="E57" i="2"/>
  <c r="D57" i="2"/>
  <c r="D56" i="2"/>
  <c r="E56" i="2" s="1"/>
  <c r="E55" i="2"/>
  <c r="D55" i="2"/>
  <c r="E54" i="2"/>
  <c r="D54" i="2"/>
  <c r="E53" i="2"/>
  <c r="D53" i="2"/>
  <c r="D52" i="2"/>
  <c r="E52" i="2" s="1"/>
  <c r="E51" i="2"/>
  <c r="D51" i="2"/>
  <c r="E50" i="2"/>
  <c r="D50" i="2"/>
  <c r="E49" i="2"/>
  <c r="D49" i="2"/>
  <c r="D48" i="2"/>
  <c r="E48" i="2" s="1"/>
  <c r="E47" i="2"/>
  <c r="D47" i="2"/>
  <c r="E46" i="2"/>
  <c r="D46" i="2"/>
  <c r="E45" i="2"/>
  <c r="D45" i="2"/>
  <c r="D44" i="2"/>
  <c r="E44" i="2" s="1"/>
  <c r="E43" i="2"/>
  <c r="D43" i="2"/>
  <c r="E42" i="2"/>
  <c r="D42" i="2"/>
  <c r="E41" i="2"/>
  <c r="D41" i="2"/>
  <c r="D40" i="2"/>
  <c r="E40" i="2" s="1"/>
  <c r="E39" i="2"/>
  <c r="D39" i="2"/>
  <c r="E38" i="2"/>
  <c r="D38" i="2"/>
  <c r="E37" i="2"/>
  <c r="D37" i="2"/>
  <c r="D36" i="2"/>
  <c r="E36" i="2" s="1"/>
  <c r="E35" i="2"/>
  <c r="D35" i="2"/>
  <c r="E34" i="2"/>
  <c r="D34" i="2"/>
  <c r="E33" i="2"/>
  <c r="D33" i="2"/>
  <c r="D32" i="2"/>
  <c r="E32" i="2" s="1"/>
  <c r="E31" i="2"/>
  <c r="D31" i="2"/>
  <c r="E30" i="2"/>
  <c r="D30" i="2"/>
  <c r="E29" i="2"/>
  <c r="D29" i="2"/>
  <c r="D28" i="2"/>
  <c r="E28" i="2" s="1"/>
  <c r="E27" i="2"/>
  <c r="D27" i="2"/>
  <c r="E26" i="2"/>
  <c r="D26" i="2"/>
  <c r="E25" i="2"/>
  <c r="D25" i="2"/>
  <c r="D24" i="2"/>
  <c r="E24" i="2" s="1"/>
  <c r="E23" i="2"/>
  <c r="D23" i="2"/>
  <c r="E22" i="2"/>
  <c r="D22" i="2"/>
  <c r="E21" i="2"/>
  <c r="D21" i="2"/>
  <c r="D20" i="2"/>
  <c r="E20" i="2" s="1"/>
  <c r="E19" i="2"/>
  <c r="D19" i="2"/>
  <c r="E18" i="2"/>
  <c r="D18" i="2"/>
  <c r="E17" i="2"/>
  <c r="D17" i="2"/>
  <c r="D16" i="2"/>
  <c r="E16" i="2" s="1"/>
  <c r="E15" i="2"/>
  <c r="D15" i="2"/>
  <c r="E14" i="2"/>
  <c r="D14" i="2"/>
  <c r="E13" i="2"/>
  <c r="D13" i="2"/>
  <c r="D12" i="2"/>
  <c r="E12" i="2" s="1"/>
  <c r="E11" i="2"/>
  <c r="D11" i="2"/>
  <c r="E10" i="2"/>
  <c r="D10" i="2"/>
  <c r="E9" i="2"/>
  <c r="D9" i="2"/>
  <c r="D8" i="2"/>
  <c r="E8" i="2" s="1"/>
  <c r="E7" i="2"/>
  <c r="D7" i="2"/>
  <c r="E6" i="2"/>
  <c r="D6" i="2"/>
  <c r="E5" i="2"/>
  <c r="D5" i="2"/>
  <c r="D133" i="2" s="1"/>
  <c r="J61" i="3"/>
  <c r="I61" i="3"/>
  <c r="H61" i="3"/>
  <c r="G61" i="3"/>
  <c r="F61" i="3"/>
  <c r="E61" i="3"/>
  <c r="D61" i="3"/>
  <c r="C61" i="3"/>
  <c r="B61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K29" i="3"/>
  <c r="K30" i="3" s="1"/>
  <c r="J29" i="3"/>
  <c r="I29" i="3"/>
  <c r="I30" i="3" s="1"/>
  <c r="B29" i="3"/>
  <c r="K28" i="3"/>
  <c r="J28" i="3"/>
  <c r="I28" i="3"/>
  <c r="H28" i="3"/>
  <c r="G28" i="3"/>
  <c r="F28" i="3"/>
  <c r="E28" i="3"/>
  <c r="D28" i="3"/>
  <c r="C28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E7" i="3"/>
  <c r="E40" i="11" l="1"/>
  <c r="F40" i="11" s="1"/>
  <c r="D40" i="11"/>
  <c r="I40" i="11"/>
  <c r="C40" i="11"/>
  <c r="C40" i="10"/>
  <c r="K40" i="10"/>
  <c r="E40" i="10"/>
  <c r="F40" i="10"/>
  <c r="G40" i="10" s="1"/>
  <c r="C40" i="8"/>
  <c r="I40" i="8"/>
  <c r="J30" i="3"/>
  <c r="I62" i="3" s="1"/>
  <c r="J62" i="3"/>
  <c r="K31" i="3"/>
  <c r="K32" i="3" s="1"/>
  <c r="H62" i="3"/>
  <c r="I31" i="3"/>
  <c r="I32" i="3" s="1"/>
  <c r="B132" i="2"/>
  <c r="E15" i="7"/>
  <c r="D15" i="7"/>
  <c r="C15" i="7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1" i="7" s="1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1" i="7" s="1"/>
  <c r="C135" i="2"/>
  <c r="B135" i="2"/>
  <c r="C138" i="2"/>
  <c r="C133" i="2"/>
  <c r="F133" i="2" s="1"/>
  <c r="B138" i="2"/>
  <c r="E134" i="2"/>
  <c r="B133" i="2"/>
  <c r="B137" i="2"/>
  <c r="C134" i="2"/>
  <c r="F134" i="2" s="1"/>
  <c r="E132" i="2"/>
  <c r="E135" i="2"/>
  <c r="D135" i="2"/>
  <c r="C5" i="3" s="1"/>
  <c r="C132" i="2"/>
  <c r="F132" i="2" s="1"/>
  <c r="E133" i="2"/>
  <c r="B134" i="2"/>
  <c r="B14" i="6"/>
  <c r="B15" i="6" s="1"/>
  <c r="B13" i="6"/>
  <c r="G44" i="9"/>
  <c r="H44" i="9" s="1"/>
  <c r="I44" i="9"/>
  <c r="J44" i="9" s="1"/>
  <c r="D40" i="8"/>
  <c r="E39" i="9"/>
  <c r="G39" i="9" s="1"/>
  <c r="E40" i="8"/>
  <c r="F40" i="8" s="1"/>
  <c r="D38" i="9"/>
  <c r="G40" i="11" l="1"/>
  <c r="H40" i="11"/>
  <c r="H40" i="10"/>
  <c r="J31" i="3"/>
  <c r="J32" i="3" s="1"/>
  <c r="J33" i="3" s="1"/>
  <c r="J34" i="3" s="1"/>
  <c r="B45" i="9"/>
  <c r="K44" i="9"/>
  <c r="E29" i="3"/>
  <c r="E30" i="3" s="1"/>
  <c r="E5" i="3"/>
  <c r="D29" i="3"/>
  <c r="D30" i="3" s="1"/>
  <c r="C29" i="3"/>
  <c r="C30" i="3" s="1"/>
  <c r="I33" i="3"/>
  <c r="I34" i="3" s="1"/>
  <c r="H63" i="3"/>
  <c r="G40" i="8"/>
  <c r="H40" i="8" s="1"/>
  <c r="G29" i="3"/>
  <c r="G30" i="3" s="1"/>
  <c r="E6" i="3"/>
  <c r="H29" i="3"/>
  <c r="H30" i="3" s="1"/>
  <c r="F30" i="3"/>
  <c r="F135" i="2"/>
  <c r="J63" i="3"/>
  <c r="K33" i="3"/>
  <c r="K34" i="3" s="1"/>
  <c r="D16" i="7"/>
  <c r="F15" i="7"/>
  <c r="E16" i="7"/>
  <c r="E17" i="7" s="1"/>
  <c r="J40" i="11" l="1"/>
  <c r="M40" i="11" s="1"/>
  <c r="J40" i="10"/>
  <c r="I63" i="3"/>
  <c r="J40" i="8"/>
  <c r="B62" i="3"/>
  <c r="C31" i="3"/>
  <c r="C32" i="3" s="1"/>
  <c r="C62" i="3"/>
  <c r="D31" i="3"/>
  <c r="D32" i="3" s="1"/>
  <c r="E62" i="3"/>
  <c r="F31" i="3"/>
  <c r="F32" i="3" s="1"/>
  <c r="G62" i="3"/>
  <c r="H31" i="3"/>
  <c r="H32" i="3" s="1"/>
  <c r="F16" i="7"/>
  <c r="D17" i="7"/>
  <c r="D62" i="3"/>
  <c r="E31" i="3"/>
  <c r="E32" i="3" s="1"/>
  <c r="H64" i="3"/>
  <c r="I35" i="3"/>
  <c r="I36" i="3" s="1"/>
  <c r="F62" i="3"/>
  <c r="G31" i="3"/>
  <c r="G32" i="3" s="1"/>
  <c r="I64" i="3"/>
  <c r="J35" i="3"/>
  <c r="J36" i="3" s="1"/>
  <c r="J64" i="3"/>
  <c r="K35" i="3"/>
  <c r="K36" i="3" s="1"/>
  <c r="D45" i="9"/>
  <c r="E45" i="9" s="1"/>
  <c r="C45" i="9"/>
  <c r="F45" i="9"/>
  <c r="N40" i="11" l="1"/>
  <c r="M40" i="10"/>
  <c r="I65" i="3"/>
  <c r="J37" i="3"/>
  <c r="J38" i="3" s="1"/>
  <c r="G45" i="9"/>
  <c r="H45" i="9" s="1"/>
  <c r="I45" i="9" s="1"/>
  <c r="J45" i="9" s="1"/>
  <c r="C63" i="3"/>
  <c r="D33" i="3"/>
  <c r="D34" i="3" s="1"/>
  <c r="D63" i="3"/>
  <c r="E33" i="3"/>
  <c r="E34" i="3" s="1"/>
  <c r="B63" i="3"/>
  <c r="C33" i="3"/>
  <c r="C34" i="3" s="1"/>
  <c r="D18" i="7"/>
  <c r="F17" i="7"/>
  <c r="G63" i="3"/>
  <c r="H33" i="3"/>
  <c r="H34" i="3" s="1"/>
  <c r="E18" i="7"/>
  <c r="G33" i="3"/>
  <c r="G34" i="3" s="1"/>
  <c r="F63" i="3"/>
  <c r="J65" i="3"/>
  <c r="K37" i="3"/>
  <c r="K38" i="3" s="1"/>
  <c r="I37" i="3"/>
  <c r="I38" i="3" s="1"/>
  <c r="H65" i="3"/>
  <c r="E63" i="3"/>
  <c r="F33" i="3"/>
  <c r="F34" i="3" s="1"/>
  <c r="L40" i="8"/>
  <c r="M40" i="8" s="1"/>
  <c r="B41" i="11" l="1"/>
  <c r="O40" i="11"/>
  <c r="N40" i="10"/>
  <c r="N40" i="8"/>
  <c r="B46" i="9"/>
  <c r="K45" i="9"/>
  <c r="F64" i="3"/>
  <c r="G35" i="3"/>
  <c r="G36" i="3" s="1"/>
  <c r="E35" i="3"/>
  <c r="E36" i="3" s="1"/>
  <c r="D64" i="3"/>
  <c r="E19" i="7"/>
  <c r="G64" i="3"/>
  <c r="H35" i="3"/>
  <c r="H36" i="3" s="1"/>
  <c r="C64" i="3"/>
  <c r="D35" i="3"/>
  <c r="D36" i="3" s="1"/>
  <c r="H66" i="3"/>
  <c r="I39" i="3"/>
  <c r="I40" i="3" s="1"/>
  <c r="K39" i="3"/>
  <c r="K40" i="3" s="1"/>
  <c r="J66" i="3"/>
  <c r="F18" i="7"/>
  <c r="D19" i="7"/>
  <c r="B64" i="3"/>
  <c r="C35" i="3"/>
  <c r="C36" i="3" s="1"/>
  <c r="E64" i="3"/>
  <c r="F35" i="3"/>
  <c r="F36" i="3" s="1"/>
  <c r="I66" i="3"/>
  <c r="J39" i="3"/>
  <c r="J40" i="3" s="1"/>
  <c r="E41" i="11" l="1"/>
  <c r="F41" i="11" s="1"/>
  <c r="D41" i="11"/>
  <c r="I41" i="11"/>
  <c r="K41" i="11"/>
  <c r="C41" i="11"/>
  <c r="O40" i="10"/>
  <c r="B41" i="10"/>
  <c r="I67" i="3"/>
  <c r="J41" i="3"/>
  <c r="J42" i="3" s="1"/>
  <c r="C65" i="3"/>
  <c r="D37" i="3"/>
  <c r="D38" i="3" s="1"/>
  <c r="B65" i="3"/>
  <c r="C37" i="3"/>
  <c r="C38" i="3" s="1"/>
  <c r="G65" i="3"/>
  <c r="H37" i="3"/>
  <c r="H38" i="3" s="1"/>
  <c r="D20" i="7"/>
  <c r="F19" i="7"/>
  <c r="E20" i="7"/>
  <c r="E21" i="7" s="1"/>
  <c r="J67" i="3"/>
  <c r="K41" i="3"/>
  <c r="K42" i="3" s="1"/>
  <c r="D46" i="9"/>
  <c r="E46" i="9" s="1"/>
  <c r="F46" i="9" s="1"/>
  <c r="C46" i="9"/>
  <c r="E37" i="3"/>
  <c r="E38" i="3" s="1"/>
  <c r="D65" i="3"/>
  <c r="B41" i="8"/>
  <c r="O40" i="8"/>
  <c r="E65" i="3"/>
  <c r="F37" i="3"/>
  <c r="F38" i="3" s="1"/>
  <c r="H67" i="3"/>
  <c r="I41" i="3"/>
  <c r="I42" i="3" s="1"/>
  <c r="G37" i="3"/>
  <c r="G38" i="3" s="1"/>
  <c r="F65" i="3"/>
  <c r="G41" i="11" l="1"/>
  <c r="H41" i="11" s="1"/>
  <c r="I41" i="10"/>
  <c r="E41" i="10"/>
  <c r="F41" i="10" s="1"/>
  <c r="K41" i="10"/>
  <c r="D41" i="10"/>
  <c r="C41" i="10"/>
  <c r="G46" i="9"/>
  <c r="H46" i="9" s="1"/>
  <c r="I46" i="9" s="1"/>
  <c r="J46" i="9" s="1"/>
  <c r="E41" i="8"/>
  <c r="F41" i="8" s="1"/>
  <c r="D41" i="8"/>
  <c r="K41" i="8"/>
  <c r="C41" i="8"/>
  <c r="I41" i="8"/>
  <c r="G66" i="3"/>
  <c r="H39" i="3"/>
  <c r="H40" i="3" s="1"/>
  <c r="F66" i="3"/>
  <c r="G39" i="3"/>
  <c r="G40" i="3" s="1"/>
  <c r="E66" i="3"/>
  <c r="F39" i="3"/>
  <c r="F40" i="3" s="1"/>
  <c r="E39" i="3"/>
  <c r="E40" i="3" s="1"/>
  <c r="D66" i="3"/>
  <c r="C39" i="3"/>
  <c r="C40" i="3" s="1"/>
  <c r="B66" i="3"/>
  <c r="K43" i="3"/>
  <c r="K44" i="3" s="1"/>
  <c r="J68" i="3"/>
  <c r="C66" i="3"/>
  <c r="D39" i="3"/>
  <c r="D40" i="3" s="1"/>
  <c r="I68" i="3"/>
  <c r="J43" i="3"/>
  <c r="J44" i="3" s="1"/>
  <c r="I43" i="3"/>
  <c r="I44" i="3" s="1"/>
  <c r="H68" i="3"/>
  <c r="D21" i="7"/>
  <c r="F20" i="7"/>
  <c r="J41" i="11" l="1"/>
  <c r="M41" i="11" s="1"/>
  <c r="N41" i="11" s="1"/>
  <c r="G41" i="10"/>
  <c r="H41" i="10" s="1"/>
  <c r="B47" i="9"/>
  <c r="K46" i="9"/>
  <c r="B62" i="9"/>
  <c r="F67" i="3"/>
  <c r="G41" i="3"/>
  <c r="G42" i="3" s="1"/>
  <c r="J69" i="3"/>
  <c r="K45" i="3"/>
  <c r="K46" i="3" s="1"/>
  <c r="G67" i="3"/>
  <c r="H41" i="3"/>
  <c r="H42" i="3" s="1"/>
  <c r="I45" i="3"/>
  <c r="I46" i="3" s="1"/>
  <c r="H69" i="3"/>
  <c r="B67" i="3"/>
  <c r="C41" i="3"/>
  <c r="C42" i="3" s="1"/>
  <c r="D67" i="3"/>
  <c r="E41" i="3"/>
  <c r="E42" i="3" s="1"/>
  <c r="C67" i="3"/>
  <c r="D41" i="3"/>
  <c r="D42" i="3" s="1"/>
  <c r="G41" i="8"/>
  <c r="H41" i="8" s="1"/>
  <c r="F21" i="7"/>
  <c r="D22" i="7"/>
  <c r="I69" i="3"/>
  <c r="J45" i="3"/>
  <c r="J46" i="3" s="1"/>
  <c r="E22" i="7"/>
  <c r="E23" i="7" s="1"/>
  <c r="E67" i="3"/>
  <c r="F41" i="3"/>
  <c r="F42" i="3" s="1"/>
  <c r="B42" i="11" l="1"/>
  <c r="O41" i="11"/>
  <c r="J41" i="10"/>
  <c r="J41" i="8"/>
  <c r="I70" i="3"/>
  <c r="J47" i="3"/>
  <c r="J48" i="3" s="1"/>
  <c r="F68" i="3"/>
  <c r="G43" i="3"/>
  <c r="G44" i="3" s="1"/>
  <c r="C68" i="3"/>
  <c r="D43" i="3"/>
  <c r="D44" i="3" s="1"/>
  <c r="H70" i="3"/>
  <c r="I47" i="3"/>
  <c r="I48" i="3" s="1"/>
  <c r="E43" i="3"/>
  <c r="E44" i="3" s="1"/>
  <c r="D68" i="3"/>
  <c r="G68" i="3"/>
  <c r="H43" i="3"/>
  <c r="H44" i="3" s="1"/>
  <c r="E68" i="3"/>
  <c r="F43" i="3"/>
  <c r="F44" i="3" s="1"/>
  <c r="J70" i="3"/>
  <c r="K47" i="3"/>
  <c r="K48" i="3" s="1"/>
  <c r="D23" i="7"/>
  <c r="F22" i="7"/>
  <c r="C43" i="3"/>
  <c r="C44" i="3" s="1"/>
  <c r="B68" i="3"/>
  <c r="F47" i="9"/>
  <c r="D47" i="9"/>
  <c r="E47" i="9" s="1"/>
  <c r="C47" i="9"/>
  <c r="K42" i="11" l="1"/>
  <c r="C42" i="11"/>
  <c r="I42" i="11"/>
  <c r="E42" i="11"/>
  <c r="D42" i="11"/>
  <c r="F42" i="11"/>
  <c r="G42" i="11" s="1"/>
  <c r="M41" i="10"/>
  <c r="G47" i="9"/>
  <c r="H47" i="9" s="1"/>
  <c r="I47" i="9"/>
  <c r="C69" i="3"/>
  <c r="D45" i="3"/>
  <c r="D46" i="3" s="1"/>
  <c r="E69" i="3"/>
  <c r="F45" i="3"/>
  <c r="F46" i="3" s="1"/>
  <c r="B69" i="3"/>
  <c r="C45" i="3"/>
  <c r="C46" i="3" s="1"/>
  <c r="F69" i="3"/>
  <c r="G45" i="3"/>
  <c r="G46" i="3" s="1"/>
  <c r="G69" i="3"/>
  <c r="H45" i="3"/>
  <c r="H46" i="3" s="1"/>
  <c r="I71" i="3"/>
  <c r="J49" i="3"/>
  <c r="J50" i="3" s="1"/>
  <c r="D69" i="3"/>
  <c r="E45" i="3"/>
  <c r="E46" i="3" s="1"/>
  <c r="I49" i="3"/>
  <c r="I50" i="3" s="1"/>
  <c r="H71" i="3"/>
  <c r="D24" i="7"/>
  <c r="F23" i="7"/>
  <c r="J47" i="9"/>
  <c r="E24" i="7"/>
  <c r="E25" i="7" s="1"/>
  <c r="J71" i="3"/>
  <c r="K49" i="3"/>
  <c r="K50" i="3" s="1"/>
  <c r="L41" i="8"/>
  <c r="M41" i="8" s="1"/>
  <c r="H42" i="11" l="1"/>
  <c r="N41" i="10"/>
  <c r="N41" i="8"/>
  <c r="B70" i="3"/>
  <c r="C47" i="3"/>
  <c r="C48" i="3" s="1"/>
  <c r="J72" i="3"/>
  <c r="K51" i="3"/>
  <c r="K52" i="3" s="1"/>
  <c r="D70" i="3"/>
  <c r="E47" i="3"/>
  <c r="E48" i="3" s="1"/>
  <c r="E70" i="3"/>
  <c r="F47" i="3"/>
  <c r="F48" i="3" s="1"/>
  <c r="I72" i="3"/>
  <c r="J51" i="3"/>
  <c r="J52" i="3" s="1"/>
  <c r="B48" i="9"/>
  <c r="K47" i="9"/>
  <c r="C70" i="3"/>
  <c r="D47" i="3"/>
  <c r="D48" i="3" s="1"/>
  <c r="F24" i="7"/>
  <c r="D25" i="7"/>
  <c r="F70" i="3"/>
  <c r="G47" i="3"/>
  <c r="G48" i="3" s="1"/>
  <c r="G70" i="3"/>
  <c r="H47" i="3"/>
  <c r="H48" i="3" s="1"/>
  <c r="H72" i="3"/>
  <c r="I51" i="3"/>
  <c r="I52" i="3" s="1"/>
  <c r="J42" i="11" l="1"/>
  <c r="M42" i="11" s="1"/>
  <c r="N42" i="11" s="1"/>
  <c r="B42" i="10"/>
  <c r="O41" i="10"/>
  <c r="D71" i="3"/>
  <c r="E49" i="3"/>
  <c r="E50" i="3" s="1"/>
  <c r="G49" i="3"/>
  <c r="G50" i="3" s="1"/>
  <c r="F71" i="3"/>
  <c r="D26" i="7"/>
  <c r="F25" i="7"/>
  <c r="D48" i="9"/>
  <c r="E48" i="9" s="1"/>
  <c r="F48" i="9" s="1"/>
  <c r="C48" i="9"/>
  <c r="J73" i="3"/>
  <c r="K53" i="3"/>
  <c r="K54" i="3" s="1"/>
  <c r="I73" i="3"/>
  <c r="J53" i="3"/>
  <c r="J54" i="3" s="1"/>
  <c r="B71" i="3"/>
  <c r="C49" i="3"/>
  <c r="C50" i="3" s="1"/>
  <c r="E71" i="3"/>
  <c r="F49" i="3"/>
  <c r="F50" i="3" s="1"/>
  <c r="C71" i="3"/>
  <c r="D49" i="3"/>
  <c r="D50" i="3" s="1"/>
  <c r="B42" i="8"/>
  <c r="O41" i="8"/>
  <c r="I53" i="3"/>
  <c r="I54" i="3" s="1"/>
  <c r="H73" i="3"/>
  <c r="G71" i="3"/>
  <c r="H49" i="3"/>
  <c r="H50" i="3" s="1"/>
  <c r="E26" i="7"/>
  <c r="B43" i="11" l="1"/>
  <c r="O42" i="11"/>
  <c r="K42" i="10"/>
  <c r="C42" i="10"/>
  <c r="E42" i="10"/>
  <c r="I42" i="10"/>
  <c r="D42" i="10"/>
  <c r="F42" i="10"/>
  <c r="G48" i="9"/>
  <c r="H48" i="9" s="1"/>
  <c r="I48" i="9" s="1"/>
  <c r="J48" i="9" s="1"/>
  <c r="C72" i="3"/>
  <c r="D51" i="3"/>
  <c r="D52" i="3" s="1"/>
  <c r="B72" i="3"/>
  <c r="C51" i="3"/>
  <c r="C52" i="3" s="1"/>
  <c r="H74" i="3"/>
  <c r="I55" i="3"/>
  <c r="I56" i="3" s="1"/>
  <c r="E42" i="8"/>
  <c r="F42" i="8" s="1"/>
  <c r="D42" i="8"/>
  <c r="K42" i="8"/>
  <c r="C42" i="8"/>
  <c r="I42" i="8"/>
  <c r="I74" i="3"/>
  <c r="J55" i="3"/>
  <c r="J56" i="3" s="1"/>
  <c r="F26" i="7"/>
  <c r="D27" i="7"/>
  <c r="K55" i="3"/>
  <c r="K56" i="3" s="1"/>
  <c r="J74" i="3"/>
  <c r="F72" i="3"/>
  <c r="G51" i="3"/>
  <c r="G52" i="3" s="1"/>
  <c r="E72" i="3"/>
  <c r="F51" i="3"/>
  <c r="F52" i="3" s="1"/>
  <c r="E27" i="7"/>
  <c r="E28" i="7" s="1"/>
  <c r="G72" i="3"/>
  <c r="H51" i="3"/>
  <c r="H52" i="3" s="1"/>
  <c r="E51" i="3"/>
  <c r="E52" i="3" s="1"/>
  <c r="D72" i="3"/>
  <c r="E43" i="11" l="1"/>
  <c r="F43" i="11" s="1"/>
  <c r="D43" i="11"/>
  <c r="K43" i="11"/>
  <c r="C43" i="11"/>
  <c r="I43" i="11"/>
  <c r="G42" i="10"/>
  <c r="H42" i="10" s="1"/>
  <c r="G42" i="8"/>
  <c r="H42" i="8" s="1"/>
  <c r="K48" i="9"/>
  <c r="B49" i="9"/>
  <c r="B63" i="9"/>
  <c r="E53" i="3"/>
  <c r="E54" i="3" s="1"/>
  <c r="D73" i="3"/>
  <c r="J75" i="3"/>
  <c r="K57" i="3"/>
  <c r="K58" i="3" s="1"/>
  <c r="J76" i="3" s="1"/>
  <c r="B73" i="3"/>
  <c r="C53" i="3"/>
  <c r="C54" i="3" s="1"/>
  <c r="D28" i="7"/>
  <c r="F27" i="7"/>
  <c r="G73" i="3"/>
  <c r="H53" i="3"/>
  <c r="H54" i="3" s="1"/>
  <c r="D53" i="3"/>
  <c r="D54" i="3" s="1"/>
  <c r="C73" i="3"/>
  <c r="J57" i="3"/>
  <c r="J58" i="3" s="1"/>
  <c r="I76" i="3" s="1"/>
  <c r="I75" i="3"/>
  <c r="E73" i="3"/>
  <c r="F53" i="3"/>
  <c r="F54" i="3" s="1"/>
  <c r="G53" i="3"/>
  <c r="G54" i="3" s="1"/>
  <c r="F73" i="3"/>
  <c r="H75" i="3"/>
  <c r="I57" i="3"/>
  <c r="I58" i="3" s="1"/>
  <c r="H76" i="3" s="1"/>
  <c r="G43" i="11" l="1"/>
  <c r="H43" i="11" s="1"/>
  <c r="J42" i="10"/>
  <c r="J42" i="8"/>
  <c r="F74" i="3"/>
  <c r="G55" i="3"/>
  <c r="G56" i="3" s="1"/>
  <c r="E74" i="3"/>
  <c r="F55" i="3"/>
  <c r="F56" i="3" s="1"/>
  <c r="E55" i="3"/>
  <c r="E56" i="3" s="1"/>
  <c r="D74" i="3"/>
  <c r="D29" i="7"/>
  <c r="F28" i="7"/>
  <c r="C55" i="3"/>
  <c r="C56" i="3" s="1"/>
  <c r="B74" i="3"/>
  <c r="D49" i="9"/>
  <c r="E49" i="9" s="1"/>
  <c r="F49" i="9" s="1"/>
  <c r="C49" i="9"/>
  <c r="C74" i="3"/>
  <c r="D55" i="3"/>
  <c r="D56" i="3" s="1"/>
  <c r="E29" i="7"/>
  <c r="G74" i="3"/>
  <c r="H55" i="3"/>
  <c r="H56" i="3" s="1"/>
  <c r="J43" i="11" l="1"/>
  <c r="M43" i="11" s="1"/>
  <c r="N43" i="11" s="1"/>
  <c r="M42" i="10"/>
  <c r="G49" i="9"/>
  <c r="H49" i="9" s="1"/>
  <c r="I49" i="9" s="1"/>
  <c r="J49" i="9" s="1"/>
  <c r="D75" i="3"/>
  <c r="E57" i="3"/>
  <c r="E58" i="3" s="1"/>
  <c r="D76" i="3" s="1"/>
  <c r="E75" i="3"/>
  <c r="F57" i="3"/>
  <c r="F58" i="3" s="1"/>
  <c r="E76" i="3" s="1"/>
  <c r="F75" i="3"/>
  <c r="G57" i="3"/>
  <c r="G58" i="3" s="1"/>
  <c r="F76" i="3" s="1"/>
  <c r="B75" i="3"/>
  <c r="C57" i="3"/>
  <c r="C58" i="3" s="1"/>
  <c r="B76" i="3" s="1"/>
  <c r="C75" i="3"/>
  <c r="D57" i="3"/>
  <c r="D58" i="3" s="1"/>
  <c r="C76" i="3" s="1"/>
  <c r="G75" i="3"/>
  <c r="H57" i="3"/>
  <c r="H58" i="3" s="1"/>
  <c r="G76" i="3" s="1"/>
  <c r="F29" i="7"/>
  <c r="L42" i="8"/>
  <c r="M42" i="8" s="1"/>
  <c r="O43" i="11" l="1"/>
  <c r="B44" i="11"/>
  <c r="N42" i="10"/>
  <c r="N42" i="8"/>
  <c r="B50" i="9"/>
  <c r="K49" i="9"/>
  <c r="B32" i="7"/>
  <c r="F31" i="7"/>
  <c r="I44" i="11" l="1"/>
  <c r="K44" i="11"/>
  <c r="C44" i="11"/>
  <c r="E44" i="11"/>
  <c r="F44" i="11" s="1"/>
  <c r="D44" i="11"/>
  <c r="B43" i="10"/>
  <c r="O42" i="10"/>
  <c r="D50" i="9"/>
  <c r="E50" i="9" s="1"/>
  <c r="F50" i="9" s="1"/>
  <c r="C50" i="9"/>
  <c r="O42" i="8"/>
  <c r="B43" i="8"/>
  <c r="G44" i="11" l="1"/>
  <c r="H44" i="11" s="1"/>
  <c r="E43" i="10"/>
  <c r="F43" i="10" s="1"/>
  <c r="D43" i="10"/>
  <c r="K43" i="10"/>
  <c r="C43" i="10"/>
  <c r="I43" i="10"/>
  <c r="G50" i="9"/>
  <c r="H50" i="9" s="1"/>
  <c r="I50" i="9" s="1"/>
  <c r="J50" i="9" s="1"/>
  <c r="I43" i="8"/>
  <c r="E43" i="8"/>
  <c r="F43" i="8" s="1"/>
  <c r="D43" i="8"/>
  <c r="K43" i="8"/>
  <c r="C43" i="8"/>
  <c r="J44" i="11" l="1"/>
  <c r="M44" i="11" s="1"/>
  <c r="N44" i="11" s="1"/>
  <c r="G43" i="10"/>
  <c r="H43" i="10" s="1"/>
  <c r="G43" i="8"/>
  <c r="H43" i="8" s="1"/>
  <c r="B51" i="9"/>
  <c r="K50" i="9"/>
  <c r="B45" i="11" l="1"/>
  <c r="O44" i="11"/>
  <c r="J43" i="10"/>
  <c r="J43" i="8"/>
  <c r="C51" i="9"/>
  <c r="D51" i="9"/>
  <c r="E51" i="9" s="1"/>
  <c r="F51" i="9" s="1"/>
  <c r="D45" i="11" l="1"/>
  <c r="E45" i="11"/>
  <c r="F45" i="11" s="1"/>
  <c r="G45" i="11" s="1"/>
  <c r="K45" i="11"/>
  <c r="C45" i="11"/>
  <c r="I45" i="11"/>
  <c r="M43" i="10"/>
  <c r="G51" i="9"/>
  <c r="H51" i="9" s="1"/>
  <c r="I51" i="9" s="1"/>
  <c r="J51" i="9" s="1"/>
  <c r="L43" i="8"/>
  <c r="M43" i="8" s="1"/>
  <c r="H45" i="11" l="1"/>
  <c r="N43" i="10"/>
  <c r="N43" i="8"/>
  <c r="K51" i="9"/>
  <c r="B52" i="9"/>
  <c r="J45" i="11" l="1"/>
  <c r="M45" i="11" s="1"/>
  <c r="N45" i="11" s="1"/>
  <c r="B44" i="10"/>
  <c r="O43" i="10"/>
  <c r="D52" i="9"/>
  <c r="E52" i="9" s="1"/>
  <c r="F52" i="9" s="1"/>
  <c r="C52" i="9"/>
  <c r="B44" i="8"/>
  <c r="O43" i="8"/>
  <c r="B46" i="11" l="1"/>
  <c r="O45" i="11"/>
  <c r="D44" i="10"/>
  <c r="E44" i="10"/>
  <c r="F44" i="10" s="1"/>
  <c r="K44" i="10"/>
  <c r="C44" i="10"/>
  <c r="I44" i="10"/>
  <c r="G52" i="9"/>
  <c r="H52" i="9" s="1"/>
  <c r="I52" i="9"/>
  <c r="J52" i="9"/>
  <c r="K44" i="8"/>
  <c r="C44" i="8"/>
  <c r="I44" i="8"/>
  <c r="E44" i="8"/>
  <c r="F44" i="8" s="1"/>
  <c r="D44" i="8"/>
  <c r="E46" i="11" l="1"/>
  <c r="F46" i="11" s="1"/>
  <c r="D46" i="11"/>
  <c r="K46" i="11"/>
  <c r="C46" i="11"/>
  <c r="I46" i="11"/>
  <c r="G44" i="10"/>
  <c r="H44" i="10" s="1"/>
  <c r="G44" i="8"/>
  <c r="H44" i="8" s="1"/>
  <c r="B53" i="9"/>
  <c r="K52" i="9"/>
  <c r="G46" i="11" l="1"/>
  <c r="H46" i="11" s="1"/>
  <c r="J44" i="10"/>
  <c r="J44" i="8"/>
  <c r="D53" i="9"/>
  <c r="E53" i="9" s="1"/>
  <c r="C53" i="9"/>
  <c r="F53" i="9"/>
  <c r="J46" i="11" l="1"/>
  <c r="M46" i="11" s="1"/>
  <c r="N46" i="11" s="1"/>
  <c r="M44" i="10"/>
  <c r="G53" i="9"/>
  <c r="H53" i="9" s="1"/>
  <c r="I53" i="9" s="1"/>
  <c r="J53" i="9" s="1"/>
  <c r="L44" i="8"/>
  <c r="M44" i="8" s="1"/>
  <c r="B47" i="11" l="1"/>
  <c r="O46" i="11"/>
  <c r="N44" i="10"/>
  <c r="N44" i="8"/>
  <c r="K53" i="9"/>
  <c r="B61" i="9"/>
  <c r="B60" i="9"/>
  <c r="B59" i="9"/>
  <c r="B57" i="9"/>
  <c r="B64" i="9"/>
  <c r="K47" i="11" l="1"/>
  <c r="I47" i="11"/>
  <c r="D47" i="11"/>
  <c r="E47" i="11"/>
  <c r="F47" i="11" s="1"/>
  <c r="C47" i="11"/>
  <c r="O44" i="10"/>
  <c r="B45" i="10"/>
  <c r="B45" i="8"/>
  <c r="O44" i="8"/>
  <c r="G47" i="11" l="1"/>
  <c r="H47" i="11" s="1"/>
  <c r="I45" i="10"/>
  <c r="E45" i="10"/>
  <c r="F45" i="10" s="1"/>
  <c r="G45" i="10" s="1"/>
  <c r="C45" i="10"/>
  <c r="D45" i="10"/>
  <c r="K45" i="10"/>
  <c r="E45" i="8"/>
  <c r="F45" i="8" s="1"/>
  <c r="G45" i="8" s="1"/>
  <c r="D45" i="8"/>
  <c r="K45" i="8"/>
  <c r="C45" i="8"/>
  <c r="I45" i="8"/>
  <c r="J47" i="11" l="1"/>
  <c r="M47" i="11" s="1"/>
  <c r="N47" i="11" s="1"/>
  <c r="H45" i="10"/>
  <c r="H45" i="8"/>
  <c r="B48" i="11" l="1"/>
  <c r="O47" i="11"/>
  <c r="J45" i="10"/>
  <c r="J45" i="8"/>
  <c r="E48" i="11" l="1"/>
  <c r="F48" i="11" s="1"/>
  <c r="G48" i="11" s="1"/>
  <c r="D48" i="11"/>
  <c r="K48" i="11"/>
  <c r="C48" i="11"/>
  <c r="I48" i="11"/>
  <c r="M45" i="10"/>
  <c r="N45" i="10" s="1"/>
  <c r="L45" i="8"/>
  <c r="M45" i="8" s="1"/>
  <c r="N45" i="8" s="1"/>
  <c r="H48" i="11" l="1"/>
  <c r="B46" i="10"/>
  <c r="O45" i="10"/>
  <c r="B46" i="8"/>
  <c r="O45" i="8"/>
  <c r="J48" i="11" l="1"/>
  <c r="M48" i="11" s="1"/>
  <c r="N48" i="11" s="1"/>
  <c r="K46" i="10"/>
  <c r="C46" i="10"/>
  <c r="D46" i="10"/>
  <c r="I46" i="10"/>
  <c r="E46" i="10"/>
  <c r="F46" i="10" s="1"/>
  <c r="E46" i="8"/>
  <c r="F46" i="8" s="1"/>
  <c r="D46" i="8"/>
  <c r="K46" i="8"/>
  <c r="C46" i="8"/>
  <c r="I46" i="8"/>
  <c r="B49" i="11" l="1"/>
  <c r="O48" i="11"/>
  <c r="G46" i="10"/>
  <c r="H46" i="10" s="1"/>
  <c r="G46" i="8"/>
  <c r="H46" i="8" s="1"/>
  <c r="I49" i="11" l="1"/>
  <c r="E49" i="11"/>
  <c r="F49" i="11" s="1"/>
  <c r="D49" i="11"/>
  <c r="K49" i="11"/>
  <c r="C49" i="11"/>
  <c r="J46" i="10"/>
  <c r="J46" i="8"/>
  <c r="G49" i="11" l="1"/>
  <c r="H49" i="11" s="1"/>
  <c r="M46" i="10"/>
  <c r="N46" i="10" s="1"/>
  <c r="L46" i="8"/>
  <c r="M46" i="8" s="1"/>
  <c r="N46" i="8" s="1"/>
  <c r="J49" i="11" l="1"/>
  <c r="M49" i="11" s="1"/>
  <c r="N49" i="11" s="1"/>
  <c r="B47" i="10"/>
  <c r="O46" i="10"/>
  <c r="O46" i="8"/>
  <c r="B47" i="8"/>
  <c r="B50" i="11" l="1"/>
  <c r="O49" i="11"/>
  <c r="E47" i="10"/>
  <c r="F47" i="10" s="1"/>
  <c r="G47" i="10" s="1"/>
  <c r="D47" i="10"/>
  <c r="K47" i="10"/>
  <c r="C47" i="10"/>
  <c r="I47" i="10"/>
  <c r="I47" i="8"/>
  <c r="E47" i="8"/>
  <c r="F47" i="8" s="1"/>
  <c r="D47" i="8"/>
  <c r="K47" i="8"/>
  <c r="C47" i="8"/>
  <c r="K50" i="11" l="1"/>
  <c r="C50" i="11"/>
  <c r="E50" i="11"/>
  <c r="F50" i="11" s="1"/>
  <c r="I50" i="11"/>
  <c r="D50" i="11"/>
  <c r="H47" i="10"/>
  <c r="G47" i="8"/>
  <c r="H47" i="8" s="1"/>
  <c r="G50" i="11" l="1"/>
  <c r="H50" i="11" s="1"/>
  <c r="J47" i="10"/>
  <c r="J47" i="8"/>
  <c r="J50" i="11" l="1"/>
  <c r="M50" i="11" s="1"/>
  <c r="N50" i="11" s="1"/>
  <c r="M47" i="10"/>
  <c r="N47" i="10" s="1"/>
  <c r="L47" i="8"/>
  <c r="M47" i="8" s="1"/>
  <c r="N47" i="8" s="1"/>
  <c r="B51" i="11" l="1"/>
  <c r="O50" i="11"/>
  <c r="B48" i="10"/>
  <c r="O47" i="10"/>
  <c r="B48" i="8"/>
  <c r="K48" i="8" s="1"/>
  <c r="O47" i="8"/>
  <c r="E51" i="11" l="1"/>
  <c r="F51" i="11" s="1"/>
  <c r="D51" i="11"/>
  <c r="K51" i="11"/>
  <c r="C51" i="11"/>
  <c r="I51" i="11"/>
  <c r="D48" i="10"/>
  <c r="E48" i="10"/>
  <c r="F48" i="10" s="1"/>
  <c r="K48" i="10"/>
  <c r="C48" i="10"/>
  <c r="I48" i="10"/>
  <c r="D48" i="8"/>
  <c r="E48" i="8"/>
  <c r="F48" i="8" s="1"/>
  <c r="G48" i="8" s="1"/>
  <c r="H48" i="8" s="1"/>
  <c r="I48" i="8"/>
  <c r="C48" i="8"/>
  <c r="G51" i="11" l="1"/>
  <c r="H51" i="11" s="1"/>
  <c r="G48" i="10"/>
  <c r="H48" i="10" s="1"/>
  <c r="J48" i="8"/>
  <c r="J51" i="11" l="1"/>
  <c r="M51" i="11" s="1"/>
  <c r="N51" i="11" s="1"/>
  <c r="J48" i="10"/>
  <c r="M48" i="10" s="1"/>
  <c r="N48" i="10" s="1"/>
  <c r="L48" i="8"/>
  <c r="M48" i="8" s="1"/>
  <c r="N48" i="8" s="1"/>
  <c r="O51" i="11" l="1"/>
  <c r="B52" i="11"/>
  <c r="O48" i="10"/>
  <c r="B49" i="10"/>
  <c r="B49" i="8"/>
  <c r="K49" i="8" s="1"/>
  <c r="O48" i="8"/>
  <c r="E49" i="8"/>
  <c r="F49" i="8" s="1"/>
  <c r="G49" i="8" s="1"/>
  <c r="D49" i="8"/>
  <c r="I49" i="8" l="1"/>
  <c r="C49" i="8"/>
  <c r="I52" i="11"/>
  <c r="E52" i="11"/>
  <c r="F52" i="11" s="1"/>
  <c r="D52" i="11"/>
  <c r="K52" i="11"/>
  <c r="C52" i="11"/>
  <c r="I49" i="10"/>
  <c r="C49" i="10"/>
  <c r="E49" i="10"/>
  <c r="F49" i="10" s="1"/>
  <c r="G49" i="10" s="1"/>
  <c r="K49" i="10"/>
  <c r="D49" i="10"/>
  <c r="H49" i="8"/>
  <c r="G52" i="11" l="1"/>
  <c r="H52" i="11" s="1"/>
  <c r="H49" i="10"/>
  <c r="J49" i="8"/>
  <c r="J52" i="11" l="1"/>
  <c r="M52" i="11" s="1"/>
  <c r="N52" i="11" s="1"/>
  <c r="J49" i="10"/>
  <c r="M49" i="10" s="1"/>
  <c r="N49" i="10" s="1"/>
  <c r="L49" i="8"/>
  <c r="M49" i="8" s="1"/>
  <c r="N49" i="8" s="1"/>
  <c r="B53" i="11" l="1"/>
  <c r="O52" i="11"/>
  <c r="B50" i="10"/>
  <c r="O49" i="10"/>
  <c r="O49" i="8"/>
  <c r="B50" i="8"/>
  <c r="L50" i="8" s="1"/>
  <c r="D53" i="11" l="1"/>
  <c r="E53" i="11"/>
  <c r="F53" i="11" s="1"/>
  <c r="K53" i="11"/>
  <c r="C53" i="11"/>
  <c r="I53" i="11"/>
  <c r="K50" i="10"/>
  <c r="C50" i="10"/>
  <c r="D50" i="10"/>
  <c r="I50" i="10"/>
  <c r="E50" i="10"/>
  <c r="F50" i="10" s="1"/>
  <c r="I50" i="8"/>
  <c r="C50" i="8"/>
  <c r="K50" i="8"/>
  <c r="E50" i="8"/>
  <c r="F50" i="8" s="1"/>
  <c r="G50" i="8" s="1"/>
  <c r="H50" i="8" s="1"/>
  <c r="D50" i="8"/>
  <c r="G53" i="11" l="1"/>
  <c r="H53" i="11" s="1"/>
  <c r="G50" i="10"/>
  <c r="H50" i="10" s="1"/>
  <c r="J50" i="8"/>
  <c r="M50" i="8" s="1"/>
  <c r="N50" i="8" s="1"/>
  <c r="J53" i="11" l="1"/>
  <c r="M53" i="11" s="1"/>
  <c r="N53" i="11" s="1"/>
  <c r="J50" i="10"/>
  <c r="M50" i="10" s="1"/>
  <c r="N50" i="10" s="1"/>
  <c r="O50" i="8"/>
  <c r="B51" i="8"/>
  <c r="B54" i="11" l="1"/>
  <c r="O53" i="11"/>
  <c r="B51" i="10"/>
  <c r="O50" i="10"/>
  <c r="I51" i="8"/>
  <c r="E51" i="8"/>
  <c r="F51" i="8" s="1"/>
  <c r="L51" i="8"/>
  <c r="D51" i="8"/>
  <c r="K51" i="8"/>
  <c r="C51" i="8"/>
  <c r="I54" i="11" l="1"/>
  <c r="E54" i="11"/>
  <c r="F54" i="11" s="1"/>
  <c r="D54" i="11"/>
  <c r="K54" i="11"/>
  <c r="C54" i="11"/>
  <c r="E51" i="10"/>
  <c r="F51" i="10" s="1"/>
  <c r="G51" i="10" s="1"/>
  <c r="D51" i="10"/>
  <c r="K51" i="10"/>
  <c r="C51" i="10"/>
  <c r="I51" i="10"/>
  <c r="G51" i="8"/>
  <c r="H51" i="8" s="1"/>
  <c r="G54" i="11" l="1"/>
  <c r="H54" i="11" s="1"/>
  <c r="H51" i="10"/>
  <c r="J51" i="8"/>
  <c r="M51" i="8" s="1"/>
  <c r="N51" i="8" s="1"/>
  <c r="J54" i="11" l="1"/>
  <c r="M54" i="11" s="1"/>
  <c r="N54" i="11" s="1"/>
  <c r="J51" i="10"/>
  <c r="M51" i="10" s="1"/>
  <c r="N51" i="10" s="1"/>
  <c r="B52" i="8"/>
  <c r="O51" i="8"/>
  <c r="B55" i="11" l="1"/>
  <c r="O54" i="11"/>
  <c r="B52" i="10"/>
  <c r="O51" i="10"/>
  <c r="K52" i="8"/>
  <c r="C52" i="8"/>
  <c r="I52" i="8"/>
  <c r="E52" i="8"/>
  <c r="F52" i="8" s="1"/>
  <c r="L52" i="8"/>
  <c r="D52" i="8"/>
  <c r="K55" i="11" l="1"/>
  <c r="C55" i="11"/>
  <c r="I55" i="11"/>
  <c r="E55" i="11"/>
  <c r="F55" i="11" s="1"/>
  <c r="D55" i="11"/>
  <c r="D52" i="10"/>
  <c r="E52" i="10"/>
  <c r="F52" i="10" s="1"/>
  <c r="K52" i="10"/>
  <c r="C52" i="10"/>
  <c r="I52" i="10"/>
  <c r="G52" i="8"/>
  <c r="H52" i="8" s="1"/>
  <c r="G55" i="11" l="1"/>
  <c r="H55" i="11" s="1"/>
  <c r="G52" i="10"/>
  <c r="H52" i="10" s="1"/>
  <c r="J52" i="8"/>
  <c r="M52" i="8" s="1"/>
  <c r="N52" i="8" s="1"/>
  <c r="J55" i="11" l="1"/>
  <c r="M55" i="11" s="1"/>
  <c r="N55" i="11" s="1"/>
  <c r="J52" i="10"/>
  <c r="M52" i="10" s="1"/>
  <c r="N52" i="10" s="1"/>
  <c r="B53" i="8"/>
  <c r="O52" i="8"/>
  <c r="B56" i="11" l="1"/>
  <c r="O55" i="11"/>
  <c r="O52" i="10"/>
  <c r="B53" i="10"/>
  <c r="E53" i="8"/>
  <c r="F53" i="8" s="1"/>
  <c r="G53" i="8" s="1"/>
  <c r="L53" i="8"/>
  <c r="D53" i="8"/>
  <c r="K53" i="8"/>
  <c r="C53" i="8"/>
  <c r="I53" i="8"/>
  <c r="E56" i="11" l="1"/>
  <c r="D56" i="11"/>
  <c r="K56" i="11"/>
  <c r="C56" i="11"/>
  <c r="I56" i="11"/>
  <c r="F56" i="11"/>
  <c r="I53" i="10"/>
  <c r="E53" i="10"/>
  <c r="F53" i="10" s="1"/>
  <c r="D53" i="10"/>
  <c r="K53" i="10"/>
  <c r="C53" i="10"/>
  <c r="H53" i="8"/>
  <c r="G56" i="11" l="1"/>
  <c r="H56" i="11" s="1"/>
  <c r="G53" i="10"/>
  <c r="H53" i="10" s="1"/>
  <c r="J53" i="8"/>
  <c r="M53" i="8" s="1"/>
  <c r="N53" i="8" s="1"/>
  <c r="J56" i="11" l="1"/>
  <c r="M56" i="11" s="1"/>
  <c r="N56" i="11" s="1"/>
  <c r="J53" i="10"/>
  <c r="M53" i="10" s="1"/>
  <c r="N53" i="10" s="1"/>
  <c r="B54" i="8"/>
  <c r="O53" i="8"/>
  <c r="B57" i="11" l="1"/>
  <c r="O56" i="11"/>
  <c r="B54" i="10"/>
  <c r="O53" i="10"/>
  <c r="E54" i="8"/>
  <c r="F54" i="8" s="1"/>
  <c r="L54" i="8"/>
  <c r="D54" i="8"/>
  <c r="K54" i="8"/>
  <c r="C54" i="8"/>
  <c r="I54" i="8"/>
  <c r="E57" i="11" l="1"/>
  <c r="F57" i="11" s="1"/>
  <c r="I57" i="11"/>
  <c r="D57" i="11"/>
  <c r="K57" i="11"/>
  <c r="C57" i="11"/>
  <c r="K54" i="10"/>
  <c r="C54" i="10"/>
  <c r="I54" i="10"/>
  <c r="D54" i="10"/>
  <c r="E54" i="10"/>
  <c r="F54" i="10" s="1"/>
  <c r="G54" i="8"/>
  <c r="H54" i="8" s="1"/>
  <c r="G57" i="11" l="1"/>
  <c r="H57" i="11" s="1"/>
  <c r="G54" i="10"/>
  <c r="H54" i="10" s="1"/>
  <c r="J54" i="8"/>
  <c r="M54" i="8" s="1"/>
  <c r="N54" i="8" s="1"/>
  <c r="J57" i="11" l="1"/>
  <c r="M57" i="11" s="1"/>
  <c r="N57" i="11" s="1"/>
  <c r="J54" i="10"/>
  <c r="M54" i="10" s="1"/>
  <c r="N54" i="10" s="1"/>
  <c r="O54" i="8"/>
  <c r="B55" i="8"/>
  <c r="B58" i="11" l="1"/>
  <c r="O57" i="11"/>
  <c r="B55" i="10"/>
  <c r="O54" i="10"/>
  <c r="I55" i="8"/>
  <c r="E55" i="8"/>
  <c r="F55" i="8" s="1"/>
  <c r="L55" i="8"/>
  <c r="D55" i="8"/>
  <c r="K55" i="8"/>
  <c r="C55" i="8"/>
  <c r="K58" i="11" l="1"/>
  <c r="C58" i="11"/>
  <c r="D58" i="11"/>
  <c r="I58" i="11"/>
  <c r="E58" i="11"/>
  <c r="F58" i="11"/>
  <c r="E55" i="10"/>
  <c r="F55" i="10" s="1"/>
  <c r="D55" i="10"/>
  <c r="K55" i="10"/>
  <c r="C55" i="10"/>
  <c r="I55" i="10"/>
  <c r="G55" i="8"/>
  <c r="H55" i="8" s="1"/>
  <c r="G58" i="11" l="1"/>
  <c r="H58" i="11" s="1"/>
  <c r="G55" i="10"/>
  <c r="H55" i="10" s="1"/>
  <c r="J55" i="8"/>
  <c r="M55" i="8" s="1"/>
  <c r="N55" i="8" s="1"/>
  <c r="J58" i="11" l="1"/>
  <c r="M58" i="11" s="1"/>
  <c r="N58" i="11" s="1"/>
  <c r="J55" i="10"/>
  <c r="M55" i="10" s="1"/>
  <c r="N55" i="10" s="1"/>
  <c r="B56" i="8"/>
  <c r="O55" i="8"/>
  <c r="B59" i="11" l="1"/>
  <c r="O58" i="11"/>
  <c r="B56" i="10"/>
  <c r="O55" i="10"/>
  <c r="K56" i="8"/>
  <c r="C56" i="8"/>
  <c r="I56" i="8"/>
  <c r="E56" i="8"/>
  <c r="F56" i="8" s="1"/>
  <c r="L56" i="8"/>
  <c r="D56" i="8"/>
  <c r="E59" i="11" l="1"/>
  <c r="F59" i="11" s="1"/>
  <c r="G59" i="11" s="1"/>
  <c r="D59" i="11"/>
  <c r="B69" i="11" s="1"/>
  <c r="K59" i="11"/>
  <c r="C59" i="11"/>
  <c r="B68" i="11" s="1"/>
  <c r="I59" i="11"/>
  <c r="B65" i="11" s="1"/>
  <c r="E56" i="10"/>
  <c r="F56" i="10" s="1"/>
  <c r="D56" i="10"/>
  <c r="K56" i="10"/>
  <c r="C56" i="10"/>
  <c r="I56" i="10"/>
  <c r="G56" i="8"/>
  <c r="H56" i="8" s="1"/>
  <c r="H59" i="11" l="1"/>
  <c r="G56" i="10"/>
  <c r="H56" i="10" s="1"/>
  <c r="J56" i="8"/>
  <c r="M56" i="8" s="1"/>
  <c r="N56" i="8" s="1"/>
  <c r="J59" i="11" l="1"/>
  <c r="M59" i="11" s="1"/>
  <c r="B64" i="11" s="1"/>
  <c r="J56" i="10"/>
  <c r="M56" i="10" s="1"/>
  <c r="N56" i="10" s="1"/>
  <c r="B57" i="8"/>
  <c r="O56" i="8"/>
  <c r="N59" i="11" l="1"/>
  <c r="O59" i="11" s="1"/>
  <c r="O56" i="10"/>
  <c r="B57" i="10"/>
  <c r="E57" i="8"/>
  <c r="F57" i="8" s="1"/>
  <c r="G57" i="8" s="1"/>
  <c r="L57" i="8"/>
  <c r="D57" i="8"/>
  <c r="K57" i="8"/>
  <c r="C57" i="8"/>
  <c r="I57" i="8"/>
  <c r="B63" i="11" l="1"/>
  <c r="B67" i="11"/>
  <c r="B62" i="11"/>
  <c r="I57" i="10"/>
  <c r="E57" i="10"/>
  <c r="F57" i="10" s="1"/>
  <c r="K57" i="10"/>
  <c r="D57" i="10"/>
  <c r="C57" i="10"/>
  <c r="H57" i="8"/>
  <c r="G57" i="10" l="1"/>
  <c r="H57" i="10" s="1"/>
  <c r="J57" i="8"/>
  <c r="M57" i="8" s="1"/>
  <c r="N57" i="8" s="1"/>
  <c r="J57" i="10" l="1"/>
  <c r="M57" i="10" s="1"/>
  <c r="N57" i="10" s="1"/>
  <c r="B58" i="8"/>
  <c r="O57" i="8"/>
  <c r="B58" i="10" l="1"/>
  <c r="O57" i="10"/>
  <c r="E58" i="8"/>
  <c r="F58" i="8" s="1"/>
  <c r="L58" i="8"/>
  <c r="D58" i="8"/>
  <c r="K58" i="8"/>
  <c r="C58" i="8"/>
  <c r="I58" i="8"/>
  <c r="K58" i="10" l="1"/>
  <c r="C58" i="10"/>
  <c r="I58" i="10"/>
  <c r="D58" i="10"/>
  <c r="E58" i="10"/>
  <c r="F58" i="10" s="1"/>
  <c r="G58" i="8"/>
  <c r="H58" i="8" s="1"/>
  <c r="G58" i="10" l="1"/>
  <c r="H58" i="10" s="1"/>
  <c r="J58" i="8"/>
  <c r="M58" i="8" s="1"/>
  <c r="N58" i="8" s="1"/>
  <c r="J58" i="10" l="1"/>
  <c r="M58" i="10" s="1"/>
  <c r="N58" i="10" s="1"/>
  <c r="O58" i="8"/>
  <c r="B59" i="8"/>
  <c r="B59" i="10" l="1"/>
  <c r="O58" i="10"/>
  <c r="I59" i="8"/>
  <c r="B65" i="8" s="1"/>
  <c r="E59" i="8"/>
  <c r="F59" i="8" s="1"/>
  <c r="L59" i="8"/>
  <c r="D59" i="8"/>
  <c r="B69" i="8" s="1"/>
  <c r="K59" i="8"/>
  <c r="C59" i="8"/>
  <c r="B68" i="8" s="1"/>
  <c r="E59" i="10" l="1"/>
  <c r="F59" i="10" s="1"/>
  <c r="D59" i="10"/>
  <c r="B69" i="10" s="1"/>
  <c r="K59" i="10"/>
  <c r="C59" i="10"/>
  <c r="B68" i="10" s="1"/>
  <c r="I59" i="10"/>
  <c r="B65" i="10" s="1"/>
  <c r="G59" i="8"/>
  <c r="H59" i="8" s="1"/>
  <c r="G59" i="10" l="1"/>
  <c r="H59" i="10" s="1"/>
  <c r="J59" i="8"/>
  <c r="M59" i="8" s="1"/>
  <c r="B64" i="8" s="1"/>
  <c r="J59" i="10" l="1"/>
  <c r="M59" i="10" s="1"/>
  <c r="B64" i="10" s="1"/>
  <c r="N59" i="8"/>
  <c r="O59" i="8" s="1"/>
  <c r="N59" i="10" l="1"/>
  <c r="B67" i="10" s="1"/>
  <c r="B62" i="8"/>
  <c r="B63" i="8"/>
  <c r="B67" i="8"/>
  <c r="O59" i="10" l="1"/>
  <c r="B63" i="10"/>
  <c r="B62" i="10"/>
</calcChain>
</file>

<file path=xl/sharedStrings.xml><?xml version="1.0" encoding="utf-8"?>
<sst xmlns="http://schemas.openxmlformats.org/spreadsheetml/2006/main" count="469" uniqueCount="289">
  <si>
    <t>REBUILT ENGINE  ·  SHARED INPUTS</t>
  </si>
  <si>
    <t>Blue cells drive every NG scenario tab. Edit here; the whole model reprices.</t>
  </si>
  <si>
    <t>Parameter</t>
  </si>
  <si>
    <t>Value</t>
  </si>
  <si>
    <t>Basis</t>
  </si>
  <si>
    <t>Tax rate (115BAA per-trade)</t>
  </si>
  <si>
    <t>Flat 22%+10% surch+4% cess; applied per trade (conservative vs annual assessment)</t>
  </si>
  <si>
    <t>Roll + carry cost (% notional / trade)</t>
  </si>
  <si>
    <t>PDF gives MARGIN term structure only, not price contango; 0.50% is a placeholder INPUT — replace with measured roll gaps</t>
  </si>
  <si>
    <t>Txn + brokerage RT (% notional)</t>
  </si>
  <si>
    <t>CTT 0.01% sell side + brokerage + stamp; round trip</t>
  </si>
  <si>
    <t>Daily realized vol (for impact)</t>
  </si>
  <si>
    <t>≈45% ann. vol (PDF leg avg) / √252</t>
  </si>
  <si>
    <t>ADV notional (₹)</t>
  </si>
  <si>
    <t>≈100,000 lots/day (PDF 2025-26 legs) × 1,250 mmBtu × ₹302.4 ≈ ₹3,780 Cr</t>
  </si>
  <si>
    <t>Max notional per position (₹)</t>
  </si>
  <si>
    <t>10% of ADV: ≤2%/day participation × ~5-day entry+exit. HARD liquidity ceiling</t>
  </si>
  <si>
    <t>Idle-capital yield (liquid fund)</t>
  </si>
  <si>
    <t>Undeployable capital above ceiling parked in liquid funds</t>
  </si>
  <si>
    <t>GIFT gateway capital (₹)</t>
  </si>
  <si>
    <t>₹20 Cr — corporate wrapper inflection from US ETF tab</t>
  </si>
  <si>
    <t>Deployment fraction of corpus</t>
  </si>
  <si>
    <t>Set &lt;1 to apply Kelly sizing from Kelly tab</t>
  </si>
  <si>
    <t>DYNAMIC MARGIN ↔ MOVE LINK</t>
  </si>
  <si>
    <t>123 contract legs (2020-2026) from the PDF Leg Dynamics table — kills the Static Margin Fallacy.</t>
  </si>
  <si>
    <t>Year</t>
  </si>
  <si>
    <t>Move %</t>
  </si>
  <si>
    <t>Avg Margin % during leg</t>
  </si>
  <si>
    <t>|Move| %</t>
  </si>
  <si>
    <t>Lev. Eff. (|move|/margin)</t>
  </si>
  <si>
    <t>BUCKET STATISTICS (live formulas)</t>
  </si>
  <si>
    <t>Bucket |move|</t>
  </si>
  <si>
    <t>n legs</t>
  </si>
  <si>
    <t>Avg |move|</t>
  </si>
  <si>
    <t>Avg margin during leg</t>
  </si>
  <si>
    <t>Avg Lev. Eff.</t>
  </si>
  <si>
    <t>Implied gross ROC (avg|move|/avg margin)</t>
  </si>
  <si>
    <t>15–20%</t>
  </si>
  <si>
    <t>20–25%</t>
  </si>
  <si>
    <t>25–30%</t>
  </si>
  <si>
    <t>≥30%</t>
  </si>
  <si>
    <t>Correlation |move| vs margin</t>
  </si>
  <si>
    <t>Linear fit: margin = a + b·|move|</t>
  </si>
  <si>
    <t>REBUILT SCENARIOS  ·  BULL / BASE / BEAR</t>
  </si>
  <si>
    <t>Per-trade tax, dynamic PDF-bucket margins, costs, slippage, ₹378 Cr ceiling. K'=K+min(dep·K/m,Nmax)·(move−roll−txn−slip)·(1−tax)+idle·yield·(1−tax).</t>
  </si>
  <si>
    <t>Starting capital bases →</t>
  </si>
  <si>
    <t>◄ Edit these to rescale every scenario &amp; the expense schedule. Cells: C3=Base1, D3=Base2, E3=Base3</t>
  </si>
  <si>
    <t>Scenario</t>
  </si>
  <si>
    <t>Margin %</t>
  </si>
  <si>
    <t>Calls/yr</t>
  </si>
  <si>
    <t>Gross ROC/call</t>
  </si>
  <si>
    <t>Rationale</t>
  </si>
  <si>
    <t>BULL</t>
  </si>
  <si>
    <t>Catch 2 legs/yr, capture first 30% of a ≥30% swing; margin = PDF ≥30%-bucket avg (25.9%)</t>
  </si>
  <si>
    <t>BASE</t>
  </si>
  <si>
    <t>TRUE BASE: 25% move (7-11×/yr, 2020-26) at the 25-30% bucket avg margin 27.3% — NOT 22%</t>
  </si>
  <si>
    <t>BEAR</t>
  </si>
  <si>
    <t>1 catch/yr of a 15% move in an elevated-margin regime (2022-style / Nov-26 fwd 29.7%)</t>
  </si>
  <si>
    <t>Expense schedule (₹) — blue, scales with each starting-capital base above (C3/D3/E3)</t>
  </si>
  <si>
    <t>TRADE-BY-TRADE LEDGER — 15 years × calls; even call # = year end (expense applied)</t>
  </si>
  <si>
    <t>Call #</t>
  </si>
  <si>
    <t>YEAR-END SUMMARY (₹ Cr)</t>
  </si>
  <si>
    <t>GIFT gateway crossed (capital ≥ ₹20 Cr) in year:</t>
  </si>
  <si>
    <t>ROLL YIELD / COST DRAG</t>
  </si>
  <si>
    <t>Actual tradeable alpha after rolling contracts in the DTE 5-60 window.</t>
  </si>
  <si>
    <t>Roll gap % is therefore a blue INPUT to be measured from your prices.db (front vs next close on roll dates), not a PDF-derived constant.</t>
  </si>
  <si>
    <t>Mechanics: swings average 20-40 days (PDF Task 2) inside a ~55-day liquid window, so expected rolls per trade ≈ 0.5. Cost is paid on NOTIONAL, so it scales with leverage: ROC drag = cost% ÷ margin%.</t>
  </si>
  <si>
    <t>Inputs</t>
  </si>
  <si>
    <t>Roll gap per roll (% notional)</t>
  </si>
  <si>
    <t>Measure from prices.db; contango months can exceed 2%</t>
  </si>
  <si>
    <t>Expected rolls per trade</t>
  </si>
  <si>
    <t>Swing duration / contract window</t>
  </si>
  <si>
    <t>Txn RT (% notional)</t>
  </si>
  <si>
    <t>Margin % (Base)</t>
  </si>
  <si>
    <t>Gross move per trade</t>
  </si>
  <si>
    <t>Outputs (live)</t>
  </si>
  <si>
    <t>Cost per trade (% notional)</t>
  </si>
  <si>
    <t>Gross ROC per trade</t>
  </si>
  <si>
    <t>ROC drag from costs</t>
  </si>
  <si>
    <t>NET tradeable ROC per trade</t>
  </si>
  <si>
    <t>Alpha lost per trade (pp of ROC)</t>
  </si>
  <si>
    <t>15-yr terminal impact, 2 trades/yr, post-tax (× factor)</t>
  </si>
  <si>
    <t>PREEMPTIVE MARGIN TRAP</t>
  </si>
  <si>
    <t>Probability of capital lock-up at elevated margin and the IRR drag it creates.</t>
  </si>
  <si>
    <t>PDF Task 3 timing: peak margin LEADS the swing 16.4% of the time and is SIMULTANEOUS 44.1% — i.e. 60% of the time the hike hits before your move completes.</t>
  </si>
  <si>
    <t>From the 123-leg 2020-26 dataset: 5 legs (4.1%) carried an AVERAGE margin ≥40% for the whole leg.</t>
  </si>
  <si>
    <t>Quiet-spike events (PDF)</t>
  </si>
  <si>
    <t>Observation years</t>
  </si>
  <si>
    <t>Trading days/yr</t>
  </si>
  <si>
    <t>Trade window (days)</t>
  </si>
  <si>
    <t>Margin pre-trap</t>
  </si>
  <si>
    <t>Margin in trap</t>
  </si>
  <si>
    <t>Avg share of move remaining when hiked</t>
  </si>
  <si>
    <t>Base gross ROC/trade</t>
  </si>
  <si>
    <t>Outputs</t>
  </si>
  <si>
    <t>Daily quiet-spike probability</t>
  </si>
  <si>
    <t>P(trap within one trade window)</t>
  </si>
  <si>
    <t>Forced position cut if fully deployed (1 − m/m')</t>
  </si>
  <si>
    <t>Expected ROC haircut per trade</t>
  </si>
  <si>
    <t>Annualized IRR drag (2 trades/yr, post-tax)</t>
  </si>
  <si>
    <t>Mitigation rule: never deploy ≥ margin-utilisation 1/(1+headroom). With m→m' risk of 27%→40%, keep ≥32% of corpus as free collateral; this is another argument for Kelly &lt; 1.</t>
  </si>
  <si>
    <t>KELLY CRITERION</t>
  </si>
  <si>
    <t>Optimal deployment fraction of corpus as margin — p is YOUR calibration, not from the PDF.</t>
  </si>
  <si>
    <t>Win probability p (YOUR stat — not in PDF)</t>
  </si>
  <si>
    <t>Win ROC b (Base: 25%/27.3%)</t>
  </si>
  <si>
    <t>Stop-loss adverse move</t>
  </si>
  <si>
    <t>Loss per unit staked a = stop/margin</t>
  </si>
  <si>
    <t>Full Kelly f* = p/a − (1−p)/b</t>
  </si>
  <si>
    <t>Capped deployable (min(f*,1))</t>
  </si>
  <si>
    <t>Half-Kelly (recommended)</t>
  </si>
  <si>
    <t>Expected log-growth at half-Kelly per trade</t>
  </si>
  <si>
    <t>FULL-KELLY f* SENSITIVITY — p (rows) × stop-loss move (cols), Base margin</t>
  </si>
  <si>
    <t>p \ stop</t>
  </si>
  <si>
    <t>PHASE-2 BRIDGE  ·  STAY vs SWITCH vs HYBRID</t>
  </si>
  <si>
    <t>Cap the MCX sleeve, sweep overflow to GIFT — the hybrid dominates both pure strategies.</t>
  </si>
  <si>
    <t>MCX sleeve cap (₹)</t>
  </si>
  <si>
    <t>GIFT gross return / 18-mo cycle</t>
  </si>
  <si>
    <t>GIFT expense per cycle (₹)</t>
  </si>
  <si>
    <t>Tax (115BAA corp)</t>
  </si>
  <si>
    <t>Start capital (₹)</t>
  </si>
  <si>
    <t>STAY: MCX only (₹)</t>
  </si>
  <si>
    <t>SWITCH: all→GIFT at ₹20Cr (₹)</t>
  </si>
  <si>
    <t>HYBRID MCX sleeve (₹)</t>
  </si>
  <si>
    <t>HYBRID GIFT sleeve (₹)</t>
  </si>
  <si>
    <t>HYBRID total (₹)</t>
  </si>
  <si>
    <t>Year-15 terminal (₹ Cr):</t>
  </si>
  <si>
    <t>Wealth destroyed by stubbornly staying vs hybrid (× factor):</t>
  </si>
  <si>
    <t>GLOBAL SHIPPING  ·  TAX &amp; EXECUTION MODEL</t>
  </si>
  <si>
    <t>BDRY-focused stretched accumulation → SGX / ICE FFA handoff   ·   all rupee figures in ₹ Crore   ·   exit-leg capacity binding   ·   fully reactive</t>
  </si>
  <si>
    <t>CONTROL BLOCK    —    blue cells are editable inputs</t>
  </si>
  <si>
    <t>Starting capital (₹ Cr)</t>
  </si>
  <si>
    <t>Cycle 1 start</t>
  </si>
  <si>
    <t>Gross return per cycle</t>
  </si>
  <si>
    <t>Macro trend capture (yours)</t>
  </si>
  <si>
    <t>Cycle length (months)</t>
  </si>
  <si>
    <t>&lt;24 ⇒ STCG slabs; ≥24 ⇒ LTCG 12.5%, surcharge cap 15%</t>
  </si>
  <si>
    <t>Corporate inflection threshold (₹ Cr)</t>
  </si>
  <si>
    <t>TAX/FEMA wrapper switch only</t>
  </si>
  <si>
    <t>USD/INR</t>
  </si>
  <si>
    <t>Corporate tax rate (115BAA)</t>
  </si>
  <si>
    <t>IFSC s.80LA holiday possible — kept conservative</t>
  </si>
  <si>
    <t>Corporate expense per cycle (₹ Cr)</t>
  </si>
  <si>
    <t>Deductible only in corporate phase</t>
  </si>
  <si>
    <t>BDRY safe $/day — CURRENT regime</t>
  </si>
  <si>
    <t>bdry_liquidity.csv, 90-day mean of tiered Safe Liquidity</t>
  </si>
  <si>
    <t>BDRY safe $/day — HOT regime</t>
  </si>
  <si>
    <t>Top-quartile rolling-90d windows since 2018</t>
  </si>
  <si>
    <t>BDRY safe $/day — PEAK (Jul-2021)</t>
  </si>
  <si>
    <t>Reference only</t>
  </si>
  <si>
    <t>Regime toggle (0=current, 1=hot)</t>
  </si>
  <si>
    <t>Hot = freight upswing, volumes ~4× current</t>
  </si>
  <si>
    <t>Build window — entry (days)</t>
  </si>
  <si>
    <t>1–1.5 month stretched accumulation</t>
  </si>
  <si>
    <t>Exit window assumed similar (days)</t>
  </si>
  <si>
    <t>Round trip ≈ 90 trading days exposure</t>
  </si>
  <si>
    <t>FFA capacity per position ($)</t>
  </si>
  <si>
    <t>SGX/ICE Cape 5TC + Pmx 4TC — verify with FCM</t>
  </si>
  <si>
    <t>LTCG base (unlisted foreign ≥24m)</t>
  </si>
  <si>
    <t>STCG top base rate (slab)</t>
  </si>
  <si>
    <t>New Tax Regime</t>
  </si>
  <si>
    <t>Cess</t>
  </si>
  <si>
    <t>DERIVED CAPACITY    —    reactive, computed from the control block</t>
  </si>
  <si>
    <t>BDRY safe $/day in force</t>
  </si>
  <si>
    <t>BDRY position capacity ($)</t>
  </si>
  <si>
    <t>BDRY position capacity (₹ Cr)</t>
  </si>
  <si>
    <t>FFA position capacity (₹ Cr)</t>
  </si>
  <si>
    <t>Idle-capital yield (NG engine link)</t>
  </si>
  <si>
    <t>ENTRY ceilings (exit leg binds): BDRY / FFA (₹ Cr)</t>
  </si>
  <si>
    <t>SURCHARGE TIERS — New Tax Regime (VLOOKUP on gain ₹ Cr)</t>
  </si>
  <si>
    <t>TAX PARAMETERS    —    New-Regime surcharge tiers  ·  LTCG cap</t>
  </si>
  <si>
    <t>LTCG surcharge cap (s.112)</t>
  </si>
  <si>
    <t>CYCLE LEDGER (₹ Cr)    —    instrument switches when corpus clears the BDRY exit ceiling  ·  wrapper at ₹20 Cr</t>
  </si>
  <si>
    <t>Cycle</t>
  </si>
  <si>
    <t>Start ₹Cr</t>
  </si>
  <si>
    <t>Wrapper (FEMA gate)</t>
  </si>
  <si>
    <t>Instrument</t>
  </si>
  <si>
    <t>Capacity ₹Cr</t>
  </si>
  <si>
    <t>Deployed ₹Cr</t>
  </si>
  <si>
    <t>Idle ₹Cr</t>
  </si>
  <si>
    <t>Gross gain ₹Cr</t>
  </si>
  <si>
    <t>Expense ₹Cr (corp)</t>
  </si>
  <si>
    <t>Taxable ₹Cr</t>
  </si>
  <si>
    <t>Regime</t>
  </si>
  <si>
    <t>Eff. tax rate</t>
  </si>
  <si>
    <t>Tax ₹Cr</t>
  </si>
  <si>
    <t>End ₹Cr</t>
  </si>
  <si>
    <t>End USD</t>
  </si>
  <si>
    <t>SUMMARY    —    reactive headline metrics</t>
  </si>
  <si>
    <t>Final wealth (₹ Cr)</t>
  </si>
  <si>
    <t>Final wealth (USD)</t>
  </si>
  <si>
    <t>Total taxes paid (₹ Cr)</t>
  </si>
  <si>
    <t>Total written-off expenses (₹ Cr)</t>
  </si>
  <si>
    <t>Elapsed years</t>
  </si>
  <si>
    <t>Net after-tax CAGR</t>
  </si>
  <si>
    <t>Cycle of corporate (tax) inflection</t>
  </si>
  <si>
    <t>Cycle of BDRY→FFA instrument switch</t>
  </si>
  <si>
    <t>STRETCHED-BUILD LIQUIDITY MODEL — from bdry_liquidity.csv</t>
  </si>
  <si>
    <t>Capacity = tier-safe $/day × build days. Current: $82.7K/day → $3.72M ≈ ₹35.3 Cr at 45d. Your "$3M when heated" holds: 36 build days at current liquidity, ~9 days in HOT regimes ($352K/day; Jul-2021 peak $663K/day → ~$29.8M).</t>
  </si>
  <si>
    <t>Cost of the stretch: ~90 trading days round-trip inventory/thesis risk per cycle; hot-regime capacity is procyclical — toggle to 1 only on confirmed freight upswings.</t>
  </si>
  <si>
    <t>SELF-VERIFIED REGULATORY &amp; TAX NOTES (knowledge as of Jan-2026 — obtain CA/counsel sign-off)</t>
  </si>
  <si>
    <t>1. LRS/individual: US-listed ETFs = unlisted foreign securities; &lt;24m STCG at New-Regime slabs, surcharge 10/15/25% → 39.00% peak; s.48 bars business expenses. ≥24m: LTCG u/s 112 @12.5%, surcharge cap 15% (~14.95% max) — ledger switches on cycle-length input.</t>
  </si>
  <si>
    <t>2. FEMA: unlisted Indian co. barred from open-market OPI (OI Rules 2022); GIFT IFSC FIF/unit = person resident outside India. LRS→IFSC-FIF capitalization compliance-sensitive (RBI/IFSCA 2024-25): licensed FME + counsel.</t>
  </si>
  <si>
    <t>3. Corporate: s.115BAA 25.168% flat; structural expenses deductible. IFSC s.80LA 10-yr holiday may apply instead (not modelled — conservative).</t>
  </si>
  <si>
    <t>Approximation: top surcharge tier applied to whole gain (no marginal relief) — slightly overstates individual tax = conservative.</t>
  </si>
  <si>
    <t>SGX/ICE FFA ACCESS — what it actually takes</t>
  </si>
  <si>
    <t>No exchange approval of your company: onboard with a clearing FCM (Marex, Straits Financial, StoneX) clearing SGX FFAs / ICE Futures Europe freight — corporate KYC/AML, financials, board resolutions, LEI, USD margin account; 4–8 weeks (longer first time for an IFSC entity).</t>
  </si>
  <si>
    <t>Blocks negotiated via FFA brokers (FIS, SSY, Clarksons Securities, BRS), given up to your clearer, margined at SGX-DC / ICE Clear. Lots ≈ 1 day time-charter (~$15–30K), so $60M Cape 5TC positions are routine institutional size.</t>
  </si>
  <si>
    <t>Real gates: IM ~10–20% notional, daily USD VM, broker commission commitments — relationships, not approvals.</t>
  </si>
  <si>
    <t>US LEVERAGED ETF ENGINE  ·  STANDALONE MODULE</t>
  </si>
  <si>
    <t>KOLD / BOIL / TQQQ / SOXL  —  resident-individual STCG, LRS/TCS gate, USD-vault compounding, INDmoney→IBKR HNW pivot. Self-contained: no external tab links.</t>
  </si>
  <si>
    <t>LOCAL INPUT BLOCK    —    blue cells editable  ·  module is fully self-driven</t>
  </si>
  <si>
    <t>Initial deployed capital (₹)</t>
  </si>
  <si>
    <t>Default ₹20L; scale-test to ₹5 Cr+</t>
  </si>
  <si>
    <t>Swings per year</t>
  </si>
  <si>
    <t>Round trips/yr</t>
  </si>
  <si>
    <t>Gross profit per swing</t>
  </si>
  <si>
    <t>Target gross move captured</t>
  </si>
  <si>
    <t>— INDmoney gateway —</t>
  </si>
  <si>
    <t>Brokerage per side (buy &amp; sell)</t>
  </si>
  <si>
    <t>0.25% each leg</t>
  </si>
  <si>
    <t>FX markup (volume-tiered, hi)</t>
  </si>
  <si>
    <t>0.80% small size</t>
  </si>
  <si>
    <t>FX markup (volume-tiered, lo)</t>
  </si>
  <si>
    <t>0.60% larger size</t>
  </si>
  <si>
    <t>— IBKR HNW institutional —</t>
  </si>
  <si>
    <t>IBKR brokerage per side</t>
  </si>
  <si>
    <t>~0.05% incl. proxy; near-zero</t>
  </si>
  <si>
    <t>IBKR FX margin (HNW bank)</t>
  </si>
  <si>
    <t>0.40% preferred forex</t>
  </si>
  <si>
    <t>SWIFT wire fee (₹/transfer)</t>
  </si>
  <si>
    <t>Flat</t>
  </si>
  <si>
    <t>IBKR execution proxy ($/block)</t>
  </si>
  <si>
    <t>Per trading block</t>
  </si>
  <si>
    <t>— LRS / TCS gate —</t>
  </si>
  <si>
    <t>LRS TCS exemption (₹/PAN/FY)</t>
  </si>
  <si>
    <t>₹10L cumulative ceiling</t>
  </si>
  <si>
    <t>TCS rate above ceiling</t>
  </si>
  <si>
    <t>Advance-tax asset, refundable via ITR</t>
  </si>
  <si>
    <t>— Tax matrix —</t>
  </si>
  <si>
    <t>Base slab rate (STCG @ slab)</t>
  </si>
  <si>
    <t>New Regime top slab</t>
  </si>
  <si>
    <t>Health &amp; Education cess</t>
  </si>
  <si>
    <t>On tax+surcharge</t>
  </si>
  <si>
    <t>For USD vault &amp; repatriation</t>
  </si>
  <si>
    <t>HNW pivot threshold (₹)</t>
  </si>
  <si>
    <t>₹2 Cr — INDmoney→IBKR switch</t>
  </si>
  <si>
    <t>SURCHARGE LADDER    —    New Regime  ·  STCG on unlisted foreign = ordinary slab income, FULL ladder to 25% (no CG cap)</t>
  </si>
  <si>
    <t>Total gain ≥ (₹)</t>
  </si>
  <si>
    <t>Surcharge</t>
  </si>
  <si>
    <t>CG cap applies</t>
  </si>
  <si>
    <t>Eff. STCG rate</t>
  </si>
  <si>
    <t>—</t>
  </si>
  <si>
    <t>No cap — slab income</t>
  </si>
  <si>
    <t>ROUND-TRIP LIFECYCLE BY CAPITAL TIER    —    one swing, INDmoney wrapper, incl. initial TCS lockup</t>
  </si>
  <si>
    <t>Capital tier (₹)</t>
  </si>
  <si>
    <t>Initial TCS lockup ₹</t>
  </si>
  <si>
    <t>FX markup applied</t>
  </si>
  <si>
    <t>Buy+Sell drag ₹</t>
  </si>
  <si>
    <t>Net repatriable after 1 swing ₹</t>
  </si>
  <si>
    <t>Net perf %</t>
  </si>
  <si>
    <t>Effective ROC %</t>
  </si>
  <si>
    <t>INSIDE-THE-FENCE 10-YEAR COMPOUNDING    —    ₹20L pool  ·  USD vault (no repeat TCS)  ·  auto INDmoney→IBKR pivot</t>
  </si>
  <si>
    <t>FY</t>
  </si>
  <si>
    <t>Opening corpus ₹</t>
  </si>
  <si>
    <t>Wrapper</t>
  </si>
  <si>
    <t>Brk/side</t>
  </si>
  <si>
    <t>Net perf/swing %</t>
  </si>
  <si>
    <t>Realized gain ₹</t>
  </si>
  <si>
    <t>Tax ₹</t>
  </si>
  <si>
    <t>Closing corpus ₹</t>
  </si>
  <si>
    <t>Closing $</t>
  </si>
  <si>
    <t>vs INDmoney-only ₹</t>
  </si>
  <si>
    <t>SUMMARY &amp; HNW ACCELERATION</t>
  </si>
  <si>
    <t>Initial TCS lockup on ₹20L (refundable)</t>
  </si>
  <si>
    <t>Year-10 corpus — with HNW pivot (₹)</t>
  </si>
  <si>
    <t>Year-10 corpus — INDmoney-only (₹)</t>
  </si>
  <si>
    <t>Leakage saved by IBKR pivot (₹)</t>
  </si>
  <si>
    <t>Year-10 corpus (USD)</t>
  </si>
  <si>
    <t>Net after-tax CAGR (10y)</t>
  </si>
  <si>
    <t>FY crossing ₹2 Cr (HNW pivot)</t>
  </si>
  <si>
    <t>FY crossing ₹5 Cr</t>
  </si>
  <si>
    <t>FY crossing ₹10 Cr</t>
  </si>
  <si>
    <t>COMPLIANCE CROSS-VERIFICATION — web-verified 14-Jun-2026 (ITD provisions, Winvesta, Zerodha, Bajaj Finserv, RBI LRS Master Direction). Confirm with a CA before deployment.</t>
  </si>
  <si>
    <t>⚠ CRITICAL — LRS ELIGIBILITY: KOLD/BOIL/TQQQ/SOXL are LEVERAGED/INVERSE ETFs. RBI LRS prohibits margin trading, derivatives and "leveraged instruments" abroad. Whether daily-reset leveraged/inverse ETFs are prohibited is an UNSETTLED GRAY AREA — banks may reject the remittance. Plain ETFs (VOO/QQQ) are clearly permitted; these are not. VERIFY with your AD bank + CA before funding. The model assumes a legality it cannot guarantee.</t>
  </si>
  <si>
    <t>⚠ TCS IS ANNUAL, NOT ONE-TIME: 20% TCS applies to LRS investment remittances ABOVE ₹10L per PAN per FINANCIAL YEAR (Budget-2025 floor ₹7L→₹10L; Budget-2026 2% cut is education/medical only — investments stay 20%). Sheet models TCS once via the USD-vault assumption — valid ONLY if gains truly compound in-platform with zero fresh remittances. Any annual top-up re-triggers TCS. Optimization: split initial funding across two FYs to keep each ≤₹10L.</t>
  </si>
  <si>
    <t>✓ STCG RATE (verified): US-listed ETFs = unlisted foreign securities; &lt;24 months → STCG pooled into total income at slabs. NOT under s.111A/112/112A, so NO 15% surcharge cap. Full ladder; 25% surcharge above ₹2 Cr → peak 30%×1.25×1.04 = 39.00%.</t>
  </si>
  <si>
    <t>✓ SURCHARGE LADDER (verified): New Regime caps at 25% above ₹2 Cr (37% band abolished; unchanged through Budget 2025). Ladder 0/10/15/25/25% at ₹0/50L/1Cr/2Cr/5Cr correct for slab income.</t>
  </si>
  <si>
    <t>⚠ HOLDING-PERIOD: the 39% STCG applies only if held &lt;24 months. Model assumes 2 swings/yr (short holds) → always STCG. Holding ≥24m flips to LTCG @12.5% (~14.95%) but contradicts the swing thesis. Stated, not resolved.</t>
  </si>
  <si>
    <t>✓ MODELLING: surcharge on gain as proxy for total income (conservative); brokerage compounded multiplicatively out of gross; IBKR $/block folded into 0.05%/side; uppercase functions; VLOOKUP tax tiers, no hardcodes.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</si>
</sst>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%"/>
    <numFmt numFmtId="165" formatCode="\₹#\,##\,##\,##\,##0"/>
    <numFmt numFmtId="166" formatCode="0.0%"/>
    <numFmt numFmtId="167" formatCode="\₹#\,##\,##\,##0"/>
    <numFmt numFmtId="168" formatCode="0.00\x"/>
    <numFmt numFmtId="169" formatCode="0.000"/>
    <numFmt numFmtId="170" formatCode="\₹#\,##\,##0"/>
    <numFmt numFmtId="171" formatCode="\₹#,##0"/>
    <numFmt numFmtId="172" formatCode="\₹#,##0.00&quot; Cr&quot;"/>
    <numFmt numFmtId="173" formatCode="0.0\x"/>
    <numFmt numFmtId="174" formatCode="\$#,##0"/>
    <numFmt numFmtId="175" formatCode="0.0"/>
  </numFmts>
  <fonts count="31" x14ac:knownFonts="1">
    <font>
      <sz val="11"/>
      <color theme="1"/>
      <name val="Calibri"/>
      <family val="2"/>
      <charset val="1"/>
    </font>
    <font>
      <b/>
      <sz val="15"/>
      <color rgb="FFFFFFFF"/>
      <name val="Calibri"/>
      <family val="2"/>
      <charset val="1"/>
    </font>
    <font>
      <i/>
      <sz val="9"/>
      <color rgb="FFDCE6F2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10"/>
      <color rgb="FF1A1A2E"/>
      <name val="Calibri"/>
      <family val="2"/>
      <charset val="1"/>
    </font>
    <font>
      <b/>
      <sz val="10"/>
      <color rgb="FF0000C0"/>
      <name val="Calibri"/>
      <family val="2"/>
      <charset val="1"/>
    </font>
    <font>
      <i/>
      <sz val="8"/>
      <color rgb="FF595959"/>
      <name val="Calibri"/>
      <family val="2"/>
      <charset val="1"/>
    </font>
    <font>
      <sz val="9"/>
      <color rgb="FF1A1A2E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1A1A2E"/>
      <name val="Calibri"/>
      <family val="2"/>
      <charset val="1"/>
    </font>
    <font>
      <b/>
      <sz val="10"/>
      <color rgb="FF1F4E79"/>
      <name val="Calibri"/>
      <family val="2"/>
      <charset val="1"/>
    </font>
    <font>
      <b/>
      <sz val="10"/>
      <color rgb="FF1F3864"/>
      <name val="Calibri"/>
      <family val="2"/>
    </font>
    <font>
      <b/>
      <sz val="10"/>
      <color rgb="FF0000C0"/>
      <name val="Calibri"/>
      <family val="2"/>
    </font>
    <font>
      <i/>
      <sz val="8"/>
      <color rgb="FF595959"/>
      <name val="Calibri"/>
      <family val="2"/>
    </font>
    <font>
      <b/>
      <sz val="10"/>
      <color rgb="FF1F3864"/>
      <name val="Calibri"/>
      <family val="2"/>
      <charset val="1"/>
    </font>
    <font>
      <sz val="8"/>
      <color rgb="FF595959"/>
      <name val="Calibri"/>
      <family val="2"/>
      <charset val="1"/>
    </font>
    <font>
      <sz val="9"/>
      <color rgb="FF33373D"/>
      <name val="Calibri"/>
      <family val="2"/>
      <charset val="1"/>
    </font>
    <font>
      <b/>
      <sz val="11"/>
      <name val="Arial"/>
      <family val="2"/>
      <charset val="1"/>
    </font>
    <font>
      <b/>
      <sz val="10"/>
      <color rgb="FF1E6B3A"/>
      <name val="Calibri"/>
      <family val="2"/>
      <charset val="1"/>
    </font>
    <font>
      <b/>
      <sz val="16"/>
      <color rgb="FFFFFFFF"/>
      <name val="Calibri"/>
      <family val="2"/>
      <charset val="1"/>
    </font>
    <font>
      <i/>
      <sz val="10"/>
      <color rgb="FFDCE6F2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9"/>
      <color rgb="FF595959"/>
      <name val="Calibri"/>
      <family val="2"/>
      <charset val="1"/>
    </font>
    <font>
      <b/>
      <sz val="9"/>
      <color rgb="FF1A1A2E"/>
      <name val="Calibri"/>
      <family val="2"/>
      <charset val="1"/>
    </font>
    <font>
      <sz val="9"/>
      <color rgb="FF1E6B3A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i/>
      <sz val="9"/>
      <color rgb="FF2E4D7B"/>
      <name val="Calibri"/>
      <family val="2"/>
      <charset val="1"/>
    </font>
    <font>
      <b/>
      <sz val="9"/>
      <color rgb="FF0000C0"/>
      <name val="Calibri"/>
      <family val="2"/>
      <charset val="1"/>
    </font>
    <font>
      <sz val="8"/>
      <color rgb="FF1E6B3A"/>
      <name val="Calibri"/>
      <family val="2"/>
      <charset val="1"/>
    </font>
    <font>
      <b/>
      <sz val="9"/>
      <color rgb="FFC00000"/>
      <name val="Calibri"/>
      <family val="2"/>
      <charset val="1"/>
    </font>
    <font>
      <sz val="9"/>
      <color rgb="FF9C65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73D"/>
      </patternFill>
    </fill>
    <fill>
      <patternFill patternType="solid">
        <fgColor rgb="FF2E4D7B"/>
        <bgColor rgb="FF1F4E79"/>
      </patternFill>
    </fill>
    <fill>
      <patternFill patternType="solid">
        <fgColor rgb="FFFBF3D5"/>
        <bgColor rgb="FFFFF2CC"/>
      </patternFill>
    </fill>
    <fill>
      <patternFill patternType="solid">
        <fgColor rgb="FFFFFFFF"/>
        <bgColor rgb="FFF4F8E8"/>
      </patternFill>
    </fill>
    <fill>
      <patternFill patternType="solid">
        <fgColor rgb="FFEAEEF4"/>
        <bgColor rgb="FFEDF3FB"/>
      </patternFill>
    </fill>
    <fill>
      <patternFill patternType="solid">
        <fgColor rgb="FFC9A227"/>
        <bgColor rgb="FF99CC00"/>
      </patternFill>
    </fill>
    <fill>
      <patternFill patternType="solid">
        <fgColor rgb="FFEDF3FB"/>
        <bgColor rgb="FFEAEEF4"/>
      </patternFill>
    </fill>
    <fill>
      <patternFill patternType="solid">
        <fgColor rgb="FFF4F8E8"/>
        <bgColor rgb="FFECF2DC"/>
      </patternFill>
    </fill>
    <fill>
      <patternFill patternType="solid">
        <fgColor rgb="FFECF2DC"/>
        <bgColor rgb="FFF4F8E8"/>
      </patternFill>
    </fill>
    <fill>
      <patternFill patternType="solid">
        <fgColor rgb="FF1E6B3A"/>
        <bgColor rgb="FF1F4E79"/>
      </patternFill>
    </fill>
    <fill>
      <patternFill patternType="solid">
        <fgColor rgb="FFFCE4E4"/>
        <bgColor rgb="FFFBF3D5"/>
      </patternFill>
    </fill>
    <fill>
      <patternFill patternType="solid">
        <fgColor rgb="FFFFF2CC"/>
        <bgColor rgb="FFFBF3D5"/>
      </patternFill>
    </fill>
  </fills>
  <borders count="2">
    <border>
      <left/>
      <right/>
      <top/>
      <bottom/>
      <diagonal/>
    </border>
    <border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8" fillId="7" borderId="0" xfId="0" applyFont="1" applyFill="1" applyAlignment="1">
      <alignment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5" fillId="4" borderId="1" xfId="0" applyNumberFormat="1" applyFont="1" applyFill="1" applyBorder="1" applyAlignment="1">
      <alignment horizontal="right" indent="1"/>
    </xf>
    <xf numFmtId="0" fontId="6" fillId="0" borderId="0" xfId="0" applyFont="1"/>
    <xf numFmtId="10" fontId="5" fillId="4" borderId="1" xfId="0" applyNumberFormat="1" applyFont="1" applyFill="1" applyBorder="1" applyAlignment="1">
      <alignment horizontal="right" indent="1"/>
    </xf>
    <xf numFmtId="165" fontId="5" fillId="4" borderId="1" xfId="0" applyNumberFormat="1" applyFont="1" applyFill="1" applyBorder="1" applyAlignment="1">
      <alignment horizontal="right" indent="1"/>
    </xf>
    <xf numFmtId="166" fontId="5" fillId="4" borderId="1" xfId="0" applyNumberFormat="1" applyFont="1" applyFill="1" applyBorder="1" applyAlignment="1">
      <alignment horizontal="right" indent="1"/>
    </xf>
    <xf numFmtId="167" fontId="5" fillId="4" borderId="1" xfId="0" applyNumberFormat="1" applyFont="1" applyFill="1" applyBorder="1" applyAlignment="1">
      <alignment horizontal="right" indent="1"/>
    </xf>
    <xf numFmtId="0" fontId="7" fillId="5" borderId="1" xfId="0" applyFont="1" applyFill="1" applyBorder="1" applyAlignment="1">
      <alignment vertical="center" indent="1"/>
    </xf>
    <xf numFmtId="10" fontId="7" fillId="5" borderId="1" xfId="0" applyNumberFormat="1" applyFont="1" applyFill="1" applyBorder="1" applyAlignment="1">
      <alignment horizontal="right" vertical="center" indent="1"/>
    </xf>
    <xf numFmtId="168" fontId="7" fillId="5" borderId="1" xfId="0" applyNumberFormat="1" applyFont="1" applyFill="1" applyBorder="1" applyAlignment="1">
      <alignment horizontal="right" vertical="center" indent="1"/>
    </xf>
    <xf numFmtId="0" fontId="7" fillId="6" borderId="1" xfId="0" applyFont="1" applyFill="1" applyBorder="1" applyAlignment="1">
      <alignment vertical="center" indent="1"/>
    </xf>
    <xf numFmtId="10" fontId="7" fillId="6" borderId="1" xfId="0" applyNumberFormat="1" applyFont="1" applyFill="1" applyBorder="1" applyAlignment="1">
      <alignment horizontal="right" vertical="center" indent="1"/>
    </xf>
    <xf numFmtId="168" fontId="7" fillId="6" borderId="1" xfId="0" applyNumberFormat="1" applyFont="1" applyFill="1" applyBorder="1" applyAlignment="1">
      <alignment horizontal="right" vertical="center" indent="1"/>
    </xf>
    <xf numFmtId="0" fontId="7" fillId="5" borderId="1" xfId="0" applyFont="1" applyFill="1" applyBorder="1" applyAlignment="1">
      <alignment horizontal="center" indent="1"/>
    </xf>
    <xf numFmtId="0" fontId="7" fillId="5" borderId="1" xfId="0" applyFont="1" applyFill="1" applyBorder="1" applyAlignment="1">
      <alignment horizontal="right" indent="1"/>
    </xf>
    <xf numFmtId="10" fontId="7" fillId="5" borderId="1" xfId="0" applyNumberFormat="1" applyFont="1" applyFill="1" applyBorder="1" applyAlignment="1">
      <alignment horizontal="right" indent="1"/>
    </xf>
    <xf numFmtId="168" fontId="7" fillId="5" borderId="1" xfId="0" applyNumberFormat="1" applyFont="1" applyFill="1" applyBorder="1" applyAlignment="1">
      <alignment horizontal="right" indent="1"/>
    </xf>
    <xf numFmtId="166" fontId="7" fillId="5" borderId="1" xfId="0" applyNumberFormat="1" applyFont="1" applyFill="1" applyBorder="1" applyAlignment="1">
      <alignment horizontal="right" indent="1"/>
    </xf>
    <xf numFmtId="0" fontId="7" fillId="6" borderId="1" xfId="0" applyFont="1" applyFill="1" applyBorder="1" applyAlignment="1">
      <alignment horizontal="center" indent="1"/>
    </xf>
    <xf numFmtId="0" fontId="7" fillId="6" borderId="1" xfId="0" applyFont="1" applyFill="1" applyBorder="1" applyAlignment="1">
      <alignment horizontal="right" indent="1"/>
    </xf>
    <xf numFmtId="10" fontId="7" fillId="6" borderId="1" xfId="0" applyNumberFormat="1" applyFont="1" applyFill="1" applyBorder="1" applyAlignment="1">
      <alignment horizontal="right" indent="1"/>
    </xf>
    <xf numFmtId="168" fontId="7" fillId="6" borderId="1" xfId="0" applyNumberFormat="1" applyFont="1" applyFill="1" applyBorder="1" applyAlignment="1">
      <alignment horizontal="right" indent="1"/>
    </xf>
    <xf numFmtId="166" fontId="7" fillId="6" borderId="1" xfId="0" applyNumberFormat="1" applyFont="1" applyFill="1" applyBorder="1" applyAlignment="1">
      <alignment horizontal="right" indent="1"/>
    </xf>
    <xf numFmtId="0" fontId="9" fillId="7" borderId="0" xfId="0" applyFont="1" applyFill="1" applyAlignment="1">
      <alignment vertical="center" indent="1"/>
    </xf>
    <xf numFmtId="2" fontId="10" fillId="8" borderId="1" xfId="0" applyNumberFormat="1" applyFont="1" applyFill="1" applyBorder="1" applyAlignment="1">
      <alignment horizontal="right" indent="1"/>
    </xf>
    <xf numFmtId="10" fontId="10" fillId="8" borderId="1" xfId="0" applyNumberFormat="1" applyFont="1" applyFill="1" applyBorder="1" applyAlignment="1">
      <alignment horizontal="right" indent="1"/>
    </xf>
    <xf numFmtId="169" fontId="10" fillId="8" borderId="1" xfId="0" applyNumberFormat="1" applyFont="1" applyFill="1" applyBorder="1" applyAlignment="1">
      <alignment horizontal="right" indent="1"/>
    </xf>
    <xf numFmtId="0" fontId="11" fillId="0" borderId="0" xfId="0" applyFont="1"/>
    <xf numFmtId="170" fontId="12" fillId="4" borderId="1" xfId="0" applyNumberFormat="1" applyFont="1" applyFill="1" applyBorder="1" applyAlignment="1">
      <alignment horizontal="right" indent="1"/>
    </xf>
    <xf numFmtId="167" fontId="12" fillId="4" borderId="1" xfId="0" applyNumberFormat="1" applyFont="1" applyFill="1" applyBorder="1" applyAlignment="1">
      <alignment horizontal="right" indent="1"/>
    </xf>
    <xf numFmtId="0" fontId="13" fillId="0" borderId="0" xfId="0" applyFont="1"/>
    <xf numFmtId="0" fontId="14" fillId="6" borderId="1" xfId="0" applyFont="1" applyFill="1" applyBorder="1"/>
    <xf numFmtId="166" fontId="7" fillId="6" borderId="1" xfId="0" applyNumberFormat="1" applyFont="1" applyFill="1" applyBorder="1" applyAlignment="1">
      <alignment horizontal="center"/>
    </xf>
    <xf numFmtId="10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vertical="top" wrapText="1"/>
    </xf>
    <xf numFmtId="0" fontId="14" fillId="5" borderId="1" xfId="0" applyFont="1" applyFill="1" applyBorder="1"/>
    <xf numFmtId="166" fontId="7" fillId="5" borderId="1" xfId="0" applyNumberFormat="1" applyFont="1" applyFill="1" applyBorder="1" applyAlignment="1">
      <alignment horizontal="center"/>
    </xf>
    <xf numFmtId="10" fontId="7" fillId="5" borderId="1" xfId="0" applyNumberFormat="1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vertical="top" wrapText="1"/>
    </xf>
    <xf numFmtId="171" fontId="7" fillId="5" borderId="1" xfId="0" applyNumberFormat="1" applyFont="1" applyFill="1" applyBorder="1" applyAlignment="1">
      <alignment horizontal="right" vertical="center" indent="1"/>
    </xf>
    <xf numFmtId="170" fontId="7" fillId="5" borderId="1" xfId="0" applyNumberFormat="1" applyFont="1" applyFill="1" applyBorder="1" applyAlignment="1">
      <alignment horizontal="right" vertical="center" indent="1"/>
    </xf>
    <xf numFmtId="171" fontId="7" fillId="6" borderId="1" xfId="0" applyNumberFormat="1" applyFont="1" applyFill="1" applyBorder="1" applyAlignment="1">
      <alignment horizontal="right" vertical="center" indent="1"/>
    </xf>
    <xf numFmtId="170" fontId="7" fillId="6" borderId="1" xfId="0" applyNumberFormat="1" applyFont="1" applyFill="1" applyBorder="1" applyAlignment="1">
      <alignment horizontal="right" vertical="center" indent="1"/>
    </xf>
    <xf numFmtId="0" fontId="7" fillId="5" borderId="1" xfId="0" applyFont="1" applyFill="1" applyBorder="1" applyAlignment="1">
      <alignment horizontal="center" vertical="center" indent="1"/>
    </xf>
    <xf numFmtId="167" fontId="7" fillId="5" borderId="1" xfId="0" applyNumberFormat="1" applyFont="1" applyFill="1" applyBorder="1" applyAlignment="1">
      <alignment horizontal="right" vertical="center" indent="1"/>
    </xf>
    <xf numFmtId="0" fontId="7" fillId="6" borderId="1" xfId="0" applyFont="1" applyFill="1" applyBorder="1" applyAlignment="1">
      <alignment horizontal="center" vertical="center" indent="1"/>
    </xf>
    <xf numFmtId="167" fontId="7" fillId="6" borderId="1" xfId="0" applyNumberFormat="1" applyFont="1" applyFill="1" applyBorder="1" applyAlignment="1">
      <alignment horizontal="right" vertical="center" indent="1"/>
    </xf>
    <xf numFmtId="165" fontId="7" fillId="5" borderId="1" xfId="0" applyNumberFormat="1" applyFont="1" applyFill="1" applyBorder="1" applyAlignment="1">
      <alignment horizontal="right" vertical="center" indent="1"/>
    </xf>
    <xf numFmtId="165" fontId="7" fillId="6" borderId="1" xfId="0" applyNumberFormat="1" applyFont="1" applyFill="1" applyBorder="1" applyAlignment="1">
      <alignment horizontal="right" vertical="center" indent="1"/>
    </xf>
    <xf numFmtId="172" fontId="7" fillId="5" borderId="1" xfId="0" applyNumberFormat="1" applyFont="1" applyFill="1" applyBorder="1" applyAlignment="1">
      <alignment horizontal="right" vertical="center" indent="1"/>
    </xf>
    <xf numFmtId="0" fontId="0" fillId="5" borderId="0" xfId="0" applyFill="1"/>
    <xf numFmtId="172" fontId="7" fillId="6" borderId="1" xfId="0" applyNumberFormat="1" applyFont="1" applyFill="1" applyBorder="1" applyAlignment="1">
      <alignment horizontal="right" vertical="center" indent="1"/>
    </xf>
    <xf numFmtId="0" fontId="0" fillId="6" borderId="0" xfId="0" applyFill="1"/>
    <xf numFmtId="0" fontId="5" fillId="4" borderId="1" xfId="0" applyFont="1" applyFill="1" applyBorder="1" applyAlignment="1">
      <alignment horizontal="right" indent="1"/>
    </xf>
    <xf numFmtId="0" fontId="17" fillId="0" borderId="0" xfId="0" applyFont="1"/>
    <xf numFmtId="0" fontId="9" fillId="0" borderId="0" xfId="0" applyFont="1"/>
    <xf numFmtId="9" fontId="5" fillId="4" borderId="1" xfId="0" applyNumberFormat="1" applyFont="1" applyFill="1" applyBorder="1" applyAlignment="1">
      <alignment horizontal="right" indent="1"/>
    </xf>
    <xf numFmtId="164" fontId="10" fillId="8" borderId="1" xfId="0" applyNumberFormat="1" applyFont="1" applyFill="1" applyBorder="1" applyAlignment="1">
      <alignment horizontal="right" indent="1"/>
    </xf>
    <xf numFmtId="166" fontId="10" fillId="8" borderId="1" xfId="0" applyNumberFormat="1" applyFont="1" applyFill="1" applyBorder="1" applyAlignment="1">
      <alignment horizontal="right" indent="1"/>
    </xf>
    <xf numFmtId="9" fontId="3" fillId="2" borderId="1" xfId="0" applyNumberFormat="1" applyFont="1" applyFill="1" applyBorder="1" applyAlignment="1">
      <alignment horizontal="center" vertical="center" wrapText="1"/>
    </xf>
    <xf numFmtId="9" fontId="7" fillId="5" borderId="1" xfId="0" applyNumberFormat="1" applyFont="1" applyFill="1" applyBorder="1" applyAlignment="1">
      <alignment vertical="center" indent="1"/>
    </xf>
    <xf numFmtId="2" fontId="7" fillId="5" borderId="1" xfId="0" applyNumberFormat="1" applyFont="1" applyFill="1" applyBorder="1" applyAlignment="1">
      <alignment horizontal="center" vertical="center" indent="1"/>
    </xf>
    <xf numFmtId="170" fontId="5" fillId="4" borderId="1" xfId="0" applyNumberFormat="1" applyFont="1" applyFill="1" applyBorder="1" applyAlignment="1">
      <alignment horizontal="right" indent="1"/>
    </xf>
    <xf numFmtId="0" fontId="14" fillId="0" borderId="0" xfId="0" applyFont="1"/>
    <xf numFmtId="172" fontId="18" fillId="0" borderId="0" xfId="0" applyNumberFormat="1" applyFont="1" applyAlignment="1">
      <alignment horizontal="right" indent="1"/>
    </xf>
    <xf numFmtId="173" fontId="18" fillId="0" borderId="0" xfId="0" applyNumberFormat="1" applyFont="1" applyAlignment="1">
      <alignment horizontal="right" indent="1"/>
    </xf>
    <xf numFmtId="172" fontId="5" fillId="4" borderId="1" xfId="0" applyNumberFormat="1" applyFont="1" applyFill="1" applyBorder="1" applyAlignment="1">
      <alignment horizontal="right" indent="1"/>
    </xf>
    <xf numFmtId="0" fontId="22" fillId="0" borderId="0" xfId="0" applyFont="1"/>
    <xf numFmtId="1" fontId="5" fillId="4" borderId="1" xfId="0" applyNumberFormat="1" applyFont="1" applyFill="1" applyBorder="1" applyAlignment="1">
      <alignment horizontal="right" indent="1"/>
    </xf>
    <xf numFmtId="2" fontId="5" fillId="4" borderId="1" xfId="0" applyNumberFormat="1" applyFont="1" applyFill="1" applyBorder="1" applyAlignment="1">
      <alignment horizontal="right" indent="1"/>
    </xf>
    <xf numFmtId="174" fontId="5" fillId="4" borderId="1" xfId="0" applyNumberFormat="1" applyFont="1" applyFill="1" applyBorder="1" applyAlignment="1">
      <alignment horizontal="right" indent="1"/>
    </xf>
    <xf numFmtId="0" fontId="10" fillId="0" borderId="0" xfId="0" applyFont="1"/>
    <xf numFmtId="174" fontId="10" fillId="8" borderId="1" xfId="0" applyNumberFormat="1" applyFont="1" applyFill="1" applyBorder="1" applyAlignment="1">
      <alignment horizontal="right" indent="1"/>
    </xf>
    <xf numFmtId="172" fontId="10" fillId="8" borderId="1" xfId="0" applyNumberFormat="1" applyFont="1" applyFill="1" applyBorder="1" applyAlignment="1">
      <alignment horizontal="right" indent="1"/>
    </xf>
    <xf numFmtId="172" fontId="8" fillId="3" borderId="1" xfId="0" applyNumberFormat="1" applyFont="1" applyFill="1" applyBorder="1" applyAlignment="1">
      <alignment horizontal="center"/>
    </xf>
    <xf numFmtId="9" fontId="8" fillId="3" borderId="1" xfId="0" applyNumberFormat="1" applyFont="1" applyFill="1" applyBorder="1" applyAlignment="1">
      <alignment horizontal="center"/>
    </xf>
    <xf numFmtId="10" fontId="8" fillId="3" borderId="1" xfId="0" applyNumberFormat="1" applyFont="1" applyFill="1" applyBorder="1" applyAlignment="1">
      <alignment horizontal="center"/>
    </xf>
    <xf numFmtId="172" fontId="5" fillId="6" borderId="1" xfId="0" applyNumberFormat="1" applyFont="1" applyFill="1" applyBorder="1" applyAlignment="1">
      <alignment horizontal="right" indent="1"/>
    </xf>
    <xf numFmtId="9" fontId="4" fillId="6" borderId="1" xfId="0" applyNumberFormat="1" applyFont="1" applyFill="1" applyBorder="1" applyAlignment="1">
      <alignment horizontal="right" indent="1"/>
    </xf>
    <xf numFmtId="10" fontId="4" fillId="6" borderId="1" xfId="0" applyNumberFormat="1" applyFont="1" applyFill="1" applyBorder="1" applyAlignment="1">
      <alignment horizontal="right" indent="1"/>
    </xf>
    <xf numFmtId="172" fontId="5" fillId="5" borderId="1" xfId="0" applyNumberFormat="1" applyFont="1" applyFill="1" applyBorder="1" applyAlignment="1">
      <alignment horizontal="right" indent="1"/>
    </xf>
    <xf numFmtId="9" fontId="4" fillId="5" borderId="1" xfId="0" applyNumberFormat="1" applyFont="1" applyFill="1" applyBorder="1" applyAlignment="1">
      <alignment horizontal="right" indent="1"/>
    </xf>
    <xf numFmtId="10" fontId="4" fillId="5" borderId="1" xfId="0" applyNumberFormat="1" applyFont="1" applyFill="1" applyBorder="1" applyAlignment="1">
      <alignment horizontal="right" indent="1"/>
    </xf>
    <xf numFmtId="0" fontId="9" fillId="5" borderId="1" xfId="0" applyFont="1" applyFill="1" applyBorder="1" applyAlignment="1">
      <alignment horizontal="right" indent="1"/>
    </xf>
    <xf numFmtId="9" fontId="5" fillId="5" borderId="1" xfId="0" applyNumberFormat="1" applyFont="1" applyFill="1" applyBorder="1" applyAlignment="1">
      <alignment horizontal="right" indent="1"/>
    </xf>
    <xf numFmtId="0" fontId="23" fillId="9" borderId="1" xfId="0" applyFont="1" applyFill="1" applyBorder="1" applyAlignment="1">
      <alignment horizontal="center"/>
    </xf>
    <xf numFmtId="172" fontId="23" fillId="9" borderId="1" xfId="0" applyNumberFormat="1" applyFont="1" applyFill="1" applyBorder="1" applyAlignment="1">
      <alignment horizontal="right" indent="1"/>
    </xf>
    <xf numFmtId="0" fontId="24" fillId="9" borderId="1" xfId="0" applyFont="1" applyFill="1" applyBorder="1" applyAlignment="1">
      <alignment horizontal="center"/>
    </xf>
    <xf numFmtId="172" fontId="7" fillId="9" borderId="1" xfId="0" applyNumberFormat="1" applyFont="1" applyFill="1" applyBorder="1" applyAlignment="1">
      <alignment horizontal="right" indent="1"/>
    </xf>
    <xf numFmtId="10" fontId="7" fillId="9" borderId="1" xfId="0" applyNumberFormat="1" applyFont="1" applyFill="1" applyBorder="1" applyAlignment="1">
      <alignment horizontal="center"/>
    </xf>
    <xf numFmtId="174" fontId="7" fillId="9" borderId="1" xfId="0" applyNumberFormat="1" applyFont="1" applyFill="1" applyBorder="1" applyAlignment="1">
      <alignment horizontal="right" indent="1"/>
    </xf>
    <xf numFmtId="0" fontId="23" fillId="10" borderId="1" xfId="0" applyFont="1" applyFill="1" applyBorder="1" applyAlignment="1">
      <alignment horizontal="center"/>
    </xf>
    <xf numFmtId="172" fontId="23" fillId="10" borderId="1" xfId="0" applyNumberFormat="1" applyFont="1" applyFill="1" applyBorder="1" applyAlignment="1">
      <alignment horizontal="right" indent="1"/>
    </xf>
    <xf numFmtId="0" fontId="24" fillId="10" borderId="1" xfId="0" applyFont="1" applyFill="1" applyBorder="1" applyAlignment="1">
      <alignment horizontal="center"/>
    </xf>
    <xf numFmtId="172" fontId="7" fillId="10" borderId="1" xfId="0" applyNumberFormat="1" applyFont="1" applyFill="1" applyBorder="1" applyAlignment="1">
      <alignment horizontal="right" indent="1"/>
    </xf>
    <xf numFmtId="10" fontId="7" fillId="10" borderId="1" xfId="0" applyNumberFormat="1" applyFont="1" applyFill="1" applyBorder="1" applyAlignment="1">
      <alignment horizontal="center"/>
    </xf>
    <xf numFmtId="174" fontId="7" fillId="10" borderId="1" xfId="0" applyNumberFormat="1" applyFont="1" applyFill="1" applyBorder="1" applyAlignment="1">
      <alignment horizontal="right" indent="1"/>
    </xf>
    <xf numFmtId="0" fontId="21" fillId="11" borderId="1" xfId="0" applyFont="1" applyFill="1" applyBorder="1" applyAlignment="1">
      <alignment vertical="center" indent="1"/>
    </xf>
    <xf numFmtId="172" fontId="25" fillId="11" borderId="1" xfId="0" applyNumberFormat="1" applyFont="1" applyFill="1" applyBorder="1" applyAlignment="1">
      <alignment horizontal="right" vertical="center" indent="1"/>
    </xf>
    <xf numFmtId="174" fontId="25" fillId="11" borderId="1" xfId="0" applyNumberFormat="1" applyFont="1" applyFill="1" applyBorder="1" applyAlignment="1">
      <alignment horizontal="right" vertical="center" indent="1"/>
    </xf>
    <xf numFmtId="0" fontId="9" fillId="4" borderId="1" xfId="0" applyFont="1" applyFill="1" applyBorder="1" applyAlignment="1">
      <alignment vertical="center" indent="1"/>
    </xf>
    <xf numFmtId="172" fontId="18" fillId="4" borderId="1" xfId="0" applyNumberFormat="1" applyFont="1" applyFill="1" applyBorder="1" applyAlignment="1">
      <alignment horizontal="right" vertical="center" indent="1"/>
    </xf>
    <xf numFmtId="175" fontId="18" fillId="4" borderId="1" xfId="0" applyNumberFormat="1" applyFont="1" applyFill="1" applyBorder="1" applyAlignment="1">
      <alignment horizontal="right" vertical="center" indent="1"/>
    </xf>
    <xf numFmtId="10" fontId="25" fillId="11" borderId="1" xfId="0" applyNumberFormat="1" applyFont="1" applyFill="1" applyBorder="1" applyAlignment="1">
      <alignment horizontal="right" vertical="center" indent="1"/>
    </xf>
    <xf numFmtId="1" fontId="18" fillId="4" borderId="1" xfId="0" applyNumberFormat="1" applyFont="1" applyFill="1" applyBorder="1" applyAlignment="1">
      <alignment horizontal="right" vertical="center" indent="1"/>
    </xf>
    <xf numFmtId="0" fontId="4" fillId="0" borderId="0" xfId="0" applyFont="1" applyAlignment="1">
      <alignment indent="1"/>
    </xf>
    <xf numFmtId="171" fontId="5" fillId="4" borderId="1" xfId="0" applyNumberFormat="1" applyFont="1" applyFill="1" applyBorder="1" applyAlignment="1">
      <alignment horizontal="right" indent="1"/>
    </xf>
    <xf numFmtId="0" fontId="3" fillId="3" borderId="1" xfId="0" applyFont="1" applyFill="1" applyBorder="1" applyAlignment="1">
      <alignment horizontal="center"/>
    </xf>
    <xf numFmtId="167" fontId="27" fillId="5" borderId="1" xfId="0" applyNumberFormat="1" applyFont="1" applyFill="1" applyBorder="1"/>
    <xf numFmtId="9" fontId="7" fillId="5" borderId="1" xfId="0" applyNumberFormat="1" applyFont="1" applyFill="1" applyBorder="1" applyAlignment="1">
      <alignment horizontal="right" indent="1"/>
    </xf>
    <xf numFmtId="0" fontId="15" fillId="5" borderId="1" xfId="0" applyFont="1" applyFill="1" applyBorder="1" applyAlignment="1">
      <alignment horizontal="center" indent="1"/>
    </xf>
    <xf numFmtId="170" fontId="27" fillId="6" borderId="1" xfId="0" applyNumberFormat="1" applyFont="1" applyFill="1" applyBorder="1"/>
    <xf numFmtId="9" fontId="7" fillId="6" borderId="1" xfId="0" applyNumberFormat="1" applyFont="1" applyFill="1" applyBorder="1" applyAlignment="1">
      <alignment horizontal="right" indent="1"/>
    </xf>
    <xf numFmtId="0" fontId="15" fillId="6" borderId="1" xfId="0" applyFont="1" applyFill="1" applyBorder="1" applyAlignment="1">
      <alignment horizontal="center" indent="1"/>
    </xf>
    <xf numFmtId="167" fontId="27" fillId="6" borderId="1" xfId="0" applyNumberFormat="1" applyFont="1" applyFill="1" applyBorder="1"/>
    <xf numFmtId="170" fontId="7" fillId="5" borderId="1" xfId="0" applyNumberFormat="1" applyFont="1" applyFill="1" applyBorder="1" applyAlignment="1">
      <alignment horizontal="right" indent="1"/>
    </xf>
    <xf numFmtId="167" fontId="7" fillId="5" borderId="1" xfId="0" applyNumberFormat="1" applyFont="1" applyFill="1" applyBorder="1" applyAlignment="1">
      <alignment horizontal="right" indent="1"/>
    </xf>
    <xf numFmtId="164" fontId="7" fillId="5" borderId="1" xfId="0" applyNumberFormat="1" applyFont="1" applyFill="1" applyBorder="1" applyAlignment="1">
      <alignment horizontal="right" indent="1"/>
    </xf>
    <xf numFmtId="171" fontId="7" fillId="5" borderId="1" xfId="0" applyNumberFormat="1" applyFont="1" applyFill="1" applyBorder="1" applyAlignment="1">
      <alignment horizontal="right" indent="1"/>
    </xf>
    <xf numFmtId="170" fontId="7" fillId="6" borderId="1" xfId="0" applyNumberFormat="1" applyFont="1" applyFill="1" applyBorder="1" applyAlignment="1">
      <alignment horizontal="right" indent="1"/>
    </xf>
    <xf numFmtId="167" fontId="7" fillId="6" borderId="1" xfId="0" applyNumberFormat="1" applyFont="1" applyFill="1" applyBorder="1" applyAlignment="1">
      <alignment horizontal="right" indent="1"/>
    </xf>
    <xf numFmtId="164" fontId="7" fillId="6" borderId="1" xfId="0" applyNumberFormat="1" applyFont="1" applyFill="1" applyBorder="1" applyAlignment="1">
      <alignment horizontal="right" indent="1"/>
    </xf>
    <xf numFmtId="171" fontId="7" fillId="6" borderId="1" xfId="0" applyNumberFormat="1" applyFont="1" applyFill="1" applyBorder="1" applyAlignment="1">
      <alignment horizontal="right" indent="1"/>
    </xf>
    <xf numFmtId="0" fontId="23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174" fontId="7" fillId="6" borderId="1" xfId="0" applyNumberFormat="1" applyFont="1" applyFill="1" applyBorder="1" applyAlignment="1">
      <alignment horizontal="right" indent="1"/>
    </xf>
    <xf numFmtId="0" fontId="23" fillId="5" borderId="1" xfId="0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174" fontId="7" fillId="5" borderId="1" xfId="0" applyNumberFormat="1" applyFont="1" applyFill="1" applyBorder="1" applyAlignment="1">
      <alignment horizontal="right" indent="1"/>
    </xf>
    <xf numFmtId="165" fontId="7" fillId="5" borderId="1" xfId="0" applyNumberFormat="1" applyFont="1" applyFill="1" applyBorder="1" applyAlignment="1">
      <alignment horizontal="right" indent="1"/>
    </xf>
    <xf numFmtId="170" fontId="18" fillId="4" borderId="1" xfId="0" applyNumberFormat="1" applyFont="1" applyFill="1" applyBorder="1" applyAlignment="1">
      <alignment horizontal="right" vertical="center" indent="1"/>
    </xf>
    <xf numFmtId="174" fontId="18" fillId="4" borderId="1" xfId="0" applyNumberFormat="1" applyFont="1" applyFill="1" applyBorder="1" applyAlignment="1">
      <alignment horizontal="right" vertical="center" indent="1"/>
    </xf>
    <xf numFmtId="10" fontId="18" fillId="4" borderId="1" xfId="0" applyNumberFormat="1" applyFont="1" applyFill="1" applyBorder="1" applyAlignment="1">
      <alignment horizontal="right" vertical="center" indent="1"/>
    </xf>
    <xf numFmtId="0" fontId="19" fillId="2" borderId="0" xfId="0" applyFont="1" applyFill="1" applyAlignment="1">
      <alignment horizontal="left" vertical="center" indent="1"/>
    </xf>
    <xf numFmtId="0" fontId="20" fillId="3" borderId="0" xfId="0" applyFont="1" applyFill="1" applyAlignment="1">
      <alignment horizontal="left" vertical="center" indent="1"/>
    </xf>
    <xf numFmtId="0" fontId="21" fillId="7" borderId="0" xfId="0" applyFont="1" applyFill="1" applyAlignment="1">
      <alignment vertical="center" indent="1"/>
    </xf>
    <xf numFmtId="0" fontId="16" fillId="0" borderId="0" xfId="0" applyFont="1" applyAlignment="1">
      <alignment vertical="top" wrapText="1" indent="1"/>
    </xf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8" fillId="7" borderId="0" xfId="0" applyFont="1" applyFill="1" applyAlignment="1">
      <alignment vertical="center" indent="1"/>
    </xf>
    <xf numFmtId="0" fontId="16" fillId="3" borderId="0" xfId="0" applyFont="1" applyFill="1" applyAlignment="1">
      <alignment vertical="top" wrapText="1" indent="1"/>
    </xf>
    <xf numFmtId="0" fontId="26" fillId="6" borderId="0" xfId="0" applyFont="1" applyFill="1" applyAlignment="1">
      <alignment indent="1"/>
    </xf>
    <xf numFmtId="0" fontId="16" fillId="5" borderId="1" xfId="0" applyFont="1" applyFill="1" applyBorder="1" applyAlignment="1">
      <alignment vertical="top" wrapText="1" indent="1"/>
    </xf>
    <xf numFmtId="0" fontId="30" fillId="13" borderId="1" xfId="0" applyFont="1" applyFill="1" applyBorder="1" applyAlignment="1">
      <alignment vertical="top" wrapText="1" indent="1"/>
    </xf>
    <xf numFmtId="0" fontId="8" fillId="3" borderId="0" xfId="0" applyFont="1" applyFill="1" applyAlignment="1">
      <alignment vertical="center" indent="1"/>
    </xf>
    <xf numFmtId="0" fontId="29" fillId="12" borderId="1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0"/>
      <rgbColor rgb="FFFFFF00"/>
      <rgbColor rgb="FFFF00FF"/>
      <rgbColor rgb="FF00FFFF"/>
      <rgbColor rgb="FF800000"/>
      <rgbColor rgb="FF1E6B3A"/>
      <rgbColor rgb="FF000080"/>
      <rgbColor rgb="FF9C6500"/>
      <rgbColor rgb="FF800080"/>
      <rgbColor rgb="FF008080"/>
      <rgbColor rgb="FFBFC9D9"/>
      <rgbColor rgb="FF808080"/>
      <rgbColor rgb="FF9999FF"/>
      <rgbColor rgb="FF993366"/>
      <rgbColor rgb="FFFBF3D5"/>
      <rgbColor rgb="FFEDF3FB"/>
      <rgbColor rgb="FF660066"/>
      <rgbColor rgb="FFFF8080"/>
      <rgbColor rgb="FF1F4E79"/>
      <rgbColor rgb="FFDCE6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EF4"/>
      <rgbColor rgb="FFECF2DC"/>
      <rgbColor rgb="FFFFF2CC"/>
      <rgbColor rgb="FFF4F8E8"/>
      <rgbColor rgb="FFFF99CC"/>
      <rgbColor rgb="FFCC99FF"/>
      <rgbColor rgb="FFFCE4E4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1A1A2E"/>
      <rgbColor rgb="FF993300"/>
      <rgbColor rgb="FF993366"/>
      <rgbColor rgb="FF2E4D7B"/>
      <rgbColor rgb="FF3337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'Margin-Move Link'!$D$4</c:f>
              <c:strCache>
                <c:ptCount val="1"/>
                <c:pt idx="0">
                  <c:v>|Move| 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'Margin-Move Link'!$A$5:$A$127</c:f>
              <c:numCache>
                <c:formatCode>General</c:formatCode>
                <c:ptCount val="123"/>
                <c:pt idx="0">
                  <c:v>2020</c:v>
                </c:pt>
                <c:pt idx="1">
                  <c:v>2020</c:v>
                </c:pt>
                <c:pt idx="2">
                  <c:v>2020</c:v>
                </c:pt>
                <c:pt idx="3">
                  <c:v>2020</c:v>
                </c:pt>
                <c:pt idx="4">
                  <c:v>2020</c:v>
                </c:pt>
                <c:pt idx="5">
                  <c:v>2020</c:v>
                </c:pt>
                <c:pt idx="6">
                  <c:v>2020</c:v>
                </c:pt>
                <c:pt idx="7">
                  <c:v>2020</c:v>
                </c:pt>
                <c:pt idx="8">
                  <c:v>2020</c:v>
                </c:pt>
                <c:pt idx="9">
                  <c:v>2020</c:v>
                </c:pt>
                <c:pt idx="10">
                  <c:v>2020</c:v>
                </c:pt>
                <c:pt idx="11">
                  <c:v>2020</c:v>
                </c:pt>
                <c:pt idx="12">
                  <c:v>2020</c:v>
                </c:pt>
                <c:pt idx="13">
                  <c:v>2020</c:v>
                </c:pt>
                <c:pt idx="14">
                  <c:v>2020</c:v>
                </c:pt>
                <c:pt idx="15">
                  <c:v>2020</c:v>
                </c:pt>
                <c:pt idx="16">
                  <c:v>2020</c:v>
                </c:pt>
                <c:pt idx="17">
                  <c:v>2020</c:v>
                </c:pt>
                <c:pt idx="18">
                  <c:v>2020</c:v>
                </c:pt>
                <c:pt idx="19">
                  <c:v>2020</c:v>
                </c:pt>
                <c:pt idx="20">
                  <c:v>2021</c:v>
                </c:pt>
                <c:pt idx="21">
                  <c:v>2021</c:v>
                </c:pt>
                <c:pt idx="22">
                  <c:v>2021</c:v>
                </c:pt>
                <c:pt idx="23">
                  <c:v>2021</c:v>
                </c:pt>
                <c:pt idx="24">
                  <c:v>2021</c:v>
                </c:pt>
                <c:pt idx="25">
                  <c:v>2021</c:v>
                </c:pt>
                <c:pt idx="26">
                  <c:v>2021</c:v>
                </c:pt>
                <c:pt idx="27">
                  <c:v>2021</c:v>
                </c:pt>
                <c:pt idx="28">
                  <c:v>2021</c:v>
                </c:pt>
                <c:pt idx="29">
                  <c:v>2021</c:v>
                </c:pt>
                <c:pt idx="30">
                  <c:v>2021</c:v>
                </c:pt>
                <c:pt idx="31">
                  <c:v>2021</c:v>
                </c:pt>
                <c:pt idx="32">
                  <c:v>2021</c:v>
                </c:pt>
                <c:pt idx="33">
                  <c:v>2021</c:v>
                </c:pt>
                <c:pt idx="34">
                  <c:v>2022</c:v>
                </c:pt>
                <c:pt idx="35">
                  <c:v>2022</c:v>
                </c:pt>
                <c:pt idx="36">
                  <c:v>2022</c:v>
                </c:pt>
                <c:pt idx="37">
                  <c:v>2022</c:v>
                </c:pt>
                <c:pt idx="38">
                  <c:v>2022</c:v>
                </c:pt>
                <c:pt idx="39">
                  <c:v>2022</c:v>
                </c:pt>
                <c:pt idx="40">
                  <c:v>2022</c:v>
                </c:pt>
                <c:pt idx="41">
                  <c:v>2022</c:v>
                </c:pt>
                <c:pt idx="42">
                  <c:v>2022</c:v>
                </c:pt>
                <c:pt idx="43">
                  <c:v>2022</c:v>
                </c:pt>
                <c:pt idx="44">
                  <c:v>2022</c:v>
                </c:pt>
                <c:pt idx="45">
                  <c:v>2022</c:v>
                </c:pt>
                <c:pt idx="46">
                  <c:v>2022</c:v>
                </c:pt>
                <c:pt idx="47">
                  <c:v>2022</c:v>
                </c:pt>
                <c:pt idx="48">
                  <c:v>2022</c:v>
                </c:pt>
                <c:pt idx="49">
                  <c:v>2022</c:v>
                </c:pt>
                <c:pt idx="50">
                  <c:v>2022</c:v>
                </c:pt>
                <c:pt idx="51">
                  <c:v>2022</c:v>
                </c:pt>
                <c:pt idx="52">
                  <c:v>2022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2022</c:v>
                </c:pt>
                <c:pt idx="58">
                  <c:v>2022</c:v>
                </c:pt>
                <c:pt idx="59">
                  <c:v>2023</c:v>
                </c:pt>
                <c:pt idx="60">
                  <c:v>2023</c:v>
                </c:pt>
                <c:pt idx="61">
                  <c:v>2023</c:v>
                </c:pt>
                <c:pt idx="62">
                  <c:v>2023</c:v>
                </c:pt>
                <c:pt idx="63">
                  <c:v>2023</c:v>
                </c:pt>
                <c:pt idx="64">
                  <c:v>2023</c:v>
                </c:pt>
                <c:pt idx="65">
                  <c:v>2023</c:v>
                </c:pt>
                <c:pt idx="66">
                  <c:v>2023</c:v>
                </c:pt>
                <c:pt idx="67">
                  <c:v>2023</c:v>
                </c:pt>
                <c:pt idx="68">
                  <c:v>2023</c:v>
                </c:pt>
                <c:pt idx="69">
                  <c:v>2023</c:v>
                </c:pt>
                <c:pt idx="70">
                  <c:v>2023</c:v>
                </c:pt>
                <c:pt idx="71">
                  <c:v>2023</c:v>
                </c:pt>
                <c:pt idx="72">
                  <c:v>2023</c:v>
                </c:pt>
                <c:pt idx="73">
                  <c:v>2023</c:v>
                </c:pt>
                <c:pt idx="74">
                  <c:v>2023</c:v>
                </c:pt>
                <c:pt idx="75">
                  <c:v>2023</c:v>
                </c:pt>
                <c:pt idx="76">
                  <c:v>2023</c:v>
                </c:pt>
                <c:pt idx="77">
                  <c:v>2023</c:v>
                </c:pt>
                <c:pt idx="78">
                  <c:v>2024</c:v>
                </c:pt>
                <c:pt idx="79">
                  <c:v>2024</c:v>
                </c:pt>
                <c:pt idx="80">
                  <c:v>2024</c:v>
                </c:pt>
                <c:pt idx="81">
                  <c:v>2024</c:v>
                </c:pt>
                <c:pt idx="82">
                  <c:v>2024</c:v>
                </c:pt>
                <c:pt idx="83">
                  <c:v>2024</c:v>
                </c:pt>
                <c:pt idx="84">
                  <c:v>2024</c:v>
                </c:pt>
                <c:pt idx="85">
                  <c:v>2024</c:v>
                </c:pt>
                <c:pt idx="86">
                  <c:v>2024</c:v>
                </c:pt>
                <c:pt idx="87">
                  <c:v>2024</c:v>
                </c:pt>
                <c:pt idx="88">
                  <c:v>2024</c:v>
                </c:pt>
                <c:pt idx="89">
                  <c:v>2024</c:v>
                </c:pt>
                <c:pt idx="90">
                  <c:v>2024</c:v>
                </c:pt>
                <c:pt idx="91">
                  <c:v>2024</c:v>
                </c:pt>
                <c:pt idx="92">
                  <c:v>2024</c:v>
                </c:pt>
                <c:pt idx="93">
                  <c:v>2024</c:v>
                </c:pt>
                <c:pt idx="94">
                  <c:v>2024</c:v>
                </c:pt>
                <c:pt idx="95">
                  <c:v>2024</c:v>
                </c:pt>
                <c:pt idx="96">
                  <c:v>2025</c:v>
                </c:pt>
                <c:pt idx="97">
                  <c:v>2025</c:v>
                </c:pt>
                <c:pt idx="98">
                  <c:v>2025</c:v>
                </c:pt>
                <c:pt idx="99">
                  <c:v>2025</c:v>
                </c:pt>
                <c:pt idx="100">
                  <c:v>2025</c:v>
                </c:pt>
                <c:pt idx="101">
                  <c:v>2025</c:v>
                </c:pt>
                <c:pt idx="102">
                  <c:v>2025</c:v>
                </c:pt>
                <c:pt idx="103">
                  <c:v>2025</c:v>
                </c:pt>
                <c:pt idx="104">
                  <c:v>2025</c:v>
                </c:pt>
                <c:pt idx="105">
                  <c:v>2025</c:v>
                </c:pt>
                <c:pt idx="106">
                  <c:v>2025</c:v>
                </c:pt>
                <c:pt idx="107">
                  <c:v>2025</c:v>
                </c:pt>
                <c:pt idx="108">
                  <c:v>2025</c:v>
                </c:pt>
                <c:pt idx="109">
                  <c:v>2025</c:v>
                </c:pt>
                <c:pt idx="110">
                  <c:v>2025</c:v>
                </c:pt>
                <c:pt idx="111">
                  <c:v>2025</c:v>
                </c:pt>
                <c:pt idx="112">
                  <c:v>2025</c:v>
                </c:pt>
                <c:pt idx="113">
                  <c:v>2026</c:v>
                </c:pt>
                <c:pt idx="114">
                  <c:v>2026</c:v>
                </c:pt>
                <c:pt idx="115">
                  <c:v>2026</c:v>
                </c:pt>
                <c:pt idx="116">
                  <c:v>2026</c:v>
                </c:pt>
                <c:pt idx="117">
                  <c:v>2026</c:v>
                </c:pt>
                <c:pt idx="118">
                  <c:v>2026</c:v>
                </c:pt>
                <c:pt idx="119">
                  <c:v>2026</c:v>
                </c:pt>
                <c:pt idx="120">
                  <c:v>2026</c:v>
                </c:pt>
                <c:pt idx="121">
                  <c:v>2026</c:v>
                </c:pt>
                <c:pt idx="122">
                  <c:v>2026</c:v>
                </c:pt>
              </c:numCache>
            </c:numRef>
          </c:xVal>
          <c:yVal>
            <c:numRef>
              <c:f>'Margin-Move Link'!$D$5:$D$127</c:f>
              <c:numCache>
                <c:formatCode>0.00%</c:formatCode>
                <c:ptCount val="123"/>
                <c:pt idx="0">
                  <c:v>0.24310000000000001</c:v>
                </c:pt>
                <c:pt idx="1">
                  <c:v>0.19270000000000001</c:v>
                </c:pt>
                <c:pt idx="2">
                  <c:v>0.17460000000000001</c:v>
                </c:pt>
                <c:pt idx="3">
                  <c:v>0.16650000000000001</c:v>
                </c:pt>
                <c:pt idx="4">
                  <c:v>0.1842</c:v>
                </c:pt>
                <c:pt idx="5">
                  <c:v>0.19009999999999999</c:v>
                </c:pt>
                <c:pt idx="6">
                  <c:v>0.2155</c:v>
                </c:pt>
                <c:pt idx="7">
                  <c:v>0.21579999999999999</c:v>
                </c:pt>
                <c:pt idx="8">
                  <c:v>0.29780000000000001</c:v>
                </c:pt>
                <c:pt idx="9">
                  <c:v>0.2316</c:v>
                </c:pt>
                <c:pt idx="10">
                  <c:v>0.19270000000000001</c:v>
                </c:pt>
                <c:pt idx="11">
                  <c:v>0.20899999999999999</c:v>
                </c:pt>
                <c:pt idx="12">
                  <c:v>0.433</c:v>
                </c:pt>
                <c:pt idx="13">
                  <c:v>0.3609</c:v>
                </c:pt>
                <c:pt idx="14">
                  <c:v>0.24410000000000001</c:v>
                </c:pt>
                <c:pt idx="15">
                  <c:v>0.1704</c:v>
                </c:pt>
                <c:pt idx="16">
                  <c:v>0.22070000000000001</c:v>
                </c:pt>
                <c:pt idx="17">
                  <c:v>0.21240000000000001</c:v>
                </c:pt>
                <c:pt idx="18">
                  <c:v>0.30270000000000002</c:v>
                </c:pt>
                <c:pt idx="19">
                  <c:v>0.154</c:v>
                </c:pt>
                <c:pt idx="20">
                  <c:v>0.20630000000000001</c:v>
                </c:pt>
                <c:pt idx="21">
                  <c:v>0.36720000000000003</c:v>
                </c:pt>
                <c:pt idx="22">
                  <c:v>0.20749999999999999</c:v>
                </c:pt>
                <c:pt idx="23">
                  <c:v>0.15820000000000001</c:v>
                </c:pt>
                <c:pt idx="24">
                  <c:v>0.17399999999999999</c:v>
                </c:pt>
                <c:pt idx="25">
                  <c:v>0.2223</c:v>
                </c:pt>
                <c:pt idx="26">
                  <c:v>0.3473</c:v>
                </c:pt>
                <c:pt idx="27">
                  <c:v>0.1633</c:v>
                </c:pt>
                <c:pt idx="28">
                  <c:v>0.40029999999999999</c:v>
                </c:pt>
                <c:pt idx="29">
                  <c:v>0.47639999999999999</c:v>
                </c:pt>
                <c:pt idx="30">
                  <c:v>0.15820000000000001</c:v>
                </c:pt>
                <c:pt idx="31">
                  <c:v>0.25369999999999998</c:v>
                </c:pt>
                <c:pt idx="32">
                  <c:v>0.19689999999999999</c:v>
                </c:pt>
                <c:pt idx="33">
                  <c:v>0.36599999999999999</c:v>
                </c:pt>
                <c:pt idx="34">
                  <c:v>0.30890000000000001</c:v>
                </c:pt>
                <c:pt idx="35">
                  <c:v>0.5343</c:v>
                </c:pt>
                <c:pt idx="36">
                  <c:v>0.26619999999999999</c:v>
                </c:pt>
                <c:pt idx="37">
                  <c:v>0.17599999999999999</c:v>
                </c:pt>
                <c:pt idx="38">
                  <c:v>0.17979999999999999</c:v>
                </c:pt>
                <c:pt idx="39">
                  <c:v>0.27779999999999999</c:v>
                </c:pt>
                <c:pt idx="40">
                  <c:v>0.20810000000000001</c:v>
                </c:pt>
                <c:pt idx="41">
                  <c:v>0.34370000000000001</c:v>
                </c:pt>
                <c:pt idx="42">
                  <c:v>0.76349999999999996</c:v>
                </c:pt>
                <c:pt idx="43">
                  <c:v>0.61060000000000003</c:v>
                </c:pt>
                <c:pt idx="44">
                  <c:v>0.33250000000000002</c:v>
                </c:pt>
                <c:pt idx="45">
                  <c:v>0.15840000000000001</c:v>
                </c:pt>
                <c:pt idx="46">
                  <c:v>0.40289999999999998</c:v>
                </c:pt>
                <c:pt idx="47">
                  <c:v>0.28070000000000001</c:v>
                </c:pt>
                <c:pt idx="48">
                  <c:v>0.18379999999999999</c:v>
                </c:pt>
                <c:pt idx="49">
                  <c:v>0.71560000000000001</c:v>
                </c:pt>
                <c:pt idx="50">
                  <c:v>0.47610000000000002</c:v>
                </c:pt>
                <c:pt idx="51">
                  <c:v>0.26929999999999998</c:v>
                </c:pt>
                <c:pt idx="52">
                  <c:v>0.2303</c:v>
                </c:pt>
                <c:pt idx="53">
                  <c:v>0.45669999999999999</c:v>
                </c:pt>
                <c:pt idx="54">
                  <c:v>0.24410000000000001</c:v>
                </c:pt>
                <c:pt idx="55">
                  <c:v>0.27850000000000003</c:v>
                </c:pt>
                <c:pt idx="56">
                  <c:v>0.26919999999999999</c:v>
                </c:pt>
                <c:pt idx="57">
                  <c:v>0.18090000000000001</c:v>
                </c:pt>
                <c:pt idx="58">
                  <c:v>0.31569999999999998</c:v>
                </c:pt>
                <c:pt idx="59">
                  <c:v>0.54820000000000002</c:v>
                </c:pt>
                <c:pt idx="60">
                  <c:v>0.53639999999999999</c:v>
                </c:pt>
                <c:pt idx="61">
                  <c:v>0.24329999999999999</c:v>
                </c:pt>
                <c:pt idx="62">
                  <c:v>0.31830000000000003</c:v>
                </c:pt>
                <c:pt idx="63">
                  <c:v>0.35339999999999999</c:v>
                </c:pt>
                <c:pt idx="64">
                  <c:v>0.27039999999999997</c:v>
                </c:pt>
                <c:pt idx="65">
                  <c:v>0.1641</c:v>
                </c:pt>
                <c:pt idx="66">
                  <c:v>0.23019999999999999</c:v>
                </c:pt>
                <c:pt idx="67">
                  <c:v>0.17749999999999999</c:v>
                </c:pt>
                <c:pt idx="68">
                  <c:v>0.1996</c:v>
                </c:pt>
                <c:pt idx="69">
                  <c:v>0.23830000000000001</c:v>
                </c:pt>
                <c:pt idx="70">
                  <c:v>0.21390000000000001</c:v>
                </c:pt>
                <c:pt idx="71">
                  <c:v>0.1671</c:v>
                </c:pt>
                <c:pt idx="72">
                  <c:v>0.18590000000000001</c:v>
                </c:pt>
                <c:pt idx="73">
                  <c:v>0.15939999999999999</c:v>
                </c:pt>
                <c:pt idx="74">
                  <c:v>0.15060000000000001</c:v>
                </c:pt>
                <c:pt idx="75">
                  <c:v>0.18640000000000001</c:v>
                </c:pt>
                <c:pt idx="76">
                  <c:v>0.21429999999999999</c:v>
                </c:pt>
                <c:pt idx="77">
                  <c:v>0.38900000000000001</c:v>
                </c:pt>
                <c:pt idx="78">
                  <c:v>0.21579999999999999</c:v>
                </c:pt>
                <c:pt idx="79">
                  <c:v>0.43909999999999999</c:v>
                </c:pt>
                <c:pt idx="80">
                  <c:v>0.42909999999999998</c:v>
                </c:pt>
                <c:pt idx="81">
                  <c:v>0.2303</c:v>
                </c:pt>
                <c:pt idx="82">
                  <c:v>0.255</c:v>
                </c:pt>
                <c:pt idx="83">
                  <c:v>0.17660000000000001</c:v>
                </c:pt>
                <c:pt idx="84">
                  <c:v>0.19450000000000001</c:v>
                </c:pt>
                <c:pt idx="85">
                  <c:v>0.34289999999999998</c:v>
                </c:pt>
                <c:pt idx="86">
                  <c:v>0.4592</c:v>
                </c:pt>
                <c:pt idx="87">
                  <c:v>0.17680000000000001</c:v>
                </c:pt>
                <c:pt idx="88">
                  <c:v>0.35</c:v>
                </c:pt>
                <c:pt idx="89">
                  <c:v>0.2462</c:v>
                </c:pt>
                <c:pt idx="90">
                  <c:v>0.16489999999999999</c:v>
                </c:pt>
                <c:pt idx="91">
                  <c:v>0.1827</c:v>
                </c:pt>
                <c:pt idx="92">
                  <c:v>0.20399999999999999</c:v>
                </c:pt>
                <c:pt idx="93">
                  <c:v>0.2339</c:v>
                </c:pt>
                <c:pt idx="94">
                  <c:v>0.19220000000000001</c:v>
                </c:pt>
                <c:pt idx="95">
                  <c:v>0.2964</c:v>
                </c:pt>
                <c:pt idx="96">
                  <c:v>0.43030000000000002</c:v>
                </c:pt>
                <c:pt idx="97">
                  <c:v>0.46929999999999999</c:v>
                </c:pt>
                <c:pt idx="98">
                  <c:v>0.4703</c:v>
                </c:pt>
                <c:pt idx="99">
                  <c:v>0.16120000000000001</c:v>
                </c:pt>
                <c:pt idx="100">
                  <c:v>0.3054</c:v>
                </c:pt>
                <c:pt idx="101">
                  <c:v>0.27689999999999998</c:v>
                </c:pt>
                <c:pt idx="102">
                  <c:v>0.2235</c:v>
                </c:pt>
                <c:pt idx="103">
                  <c:v>0.16900000000000001</c:v>
                </c:pt>
                <c:pt idx="104">
                  <c:v>0.18990000000000001</c:v>
                </c:pt>
                <c:pt idx="105">
                  <c:v>0.18770000000000001</c:v>
                </c:pt>
                <c:pt idx="106">
                  <c:v>0.2601</c:v>
                </c:pt>
                <c:pt idx="107">
                  <c:v>0.25480000000000003</c:v>
                </c:pt>
                <c:pt idx="108">
                  <c:v>0.157</c:v>
                </c:pt>
                <c:pt idx="109">
                  <c:v>0.28510000000000002</c:v>
                </c:pt>
                <c:pt idx="110">
                  <c:v>0.17549999999999999</c:v>
                </c:pt>
                <c:pt idx="111">
                  <c:v>0.33850000000000002</c:v>
                </c:pt>
                <c:pt idx="112">
                  <c:v>0.27050000000000002</c:v>
                </c:pt>
                <c:pt idx="113">
                  <c:v>0.37440000000000001</c:v>
                </c:pt>
                <c:pt idx="114">
                  <c:v>0.20480000000000001</c:v>
                </c:pt>
                <c:pt idx="115">
                  <c:v>0.60899999999999999</c:v>
                </c:pt>
                <c:pt idx="116">
                  <c:v>0.65229999999999999</c:v>
                </c:pt>
                <c:pt idx="117">
                  <c:v>0.31140000000000001</c:v>
                </c:pt>
                <c:pt idx="118">
                  <c:v>0.28660000000000002</c:v>
                </c:pt>
                <c:pt idx="119">
                  <c:v>0.1575</c:v>
                </c:pt>
                <c:pt idx="120">
                  <c:v>0.18740000000000001</c:v>
                </c:pt>
                <c:pt idx="121">
                  <c:v>0.17050000000000001</c:v>
                </c:pt>
                <c:pt idx="122">
                  <c:v>0.18759999999999999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4A-417C-BBAC-67A23C3AD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450208"/>
        <c:axId val="1712447328"/>
      </c:scatterChart>
      <c:valAx>
        <c:axId val="171245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447328"/>
        <c:crossesAt val="0"/>
        <c:crossBetween val="midCat"/>
      </c:valAx>
      <c:valAx>
        <c:axId val="1712447328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450208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502920</xdr:colOff>
      <xdr:row>4</xdr:row>
      <xdr:rowOff>0</xdr:rowOff>
    </xdr:from>
    <xdr:to>
      <xdr:col>16</xdr:col>
      <xdr:colOff>266700</xdr:colOff>
      <xdr:row>31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7033C9-2722-358C-3859-573138CDF9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C12"/>
  <sheetViews>
    <sheetView showGridLines="0" zoomScaleNormal="100" workbookViewId="0">
      <selection sqref="A1:C1"/>
    </sheetView>
  </sheetViews>
  <sheetFormatPr defaultColWidth="8.6640625" defaultRowHeight="14.4" x14ac:dyDescent="0.3"/>
  <cols>
    <col min="1" max="1" width="34" customWidth="1"/>
    <col min="2" max="2" width="16" customWidth="1"/>
    <col min="3" max="3" width="86" customWidth="1"/>
  </cols>
  <sheetData>
    <row r="1" spans="1:3" ht="30" customHeight="1" x14ac:dyDescent="0.3">
      <c r="A1" s="142" t="s">
        <v>0</v>
      </c>
      <c r="B1" s="142"/>
      <c r="C1" s="142"/>
    </row>
    <row r="2" spans="1:3" ht="18" customHeight="1" x14ac:dyDescent="0.3">
      <c r="A2" s="143" t="s">
        <v>1</v>
      </c>
      <c r="B2" s="143"/>
      <c r="C2" s="143"/>
    </row>
    <row r="3" spans="1:3" ht="25.5" customHeight="1" x14ac:dyDescent="0.3">
      <c r="A3" s="2" t="s">
        <v>2</v>
      </c>
      <c r="B3" s="2" t="s">
        <v>3</v>
      </c>
      <c r="C3" s="2" t="s">
        <v>4</v>
      </c>
    </row>
    <row r="4" spans="1:3" ht="15" customHeight="1" x14ac:dyDescent="0.3">
      <c r="A4" s="3" t="s">
        <v>5</v>
      </c>
      <c r="B4" s="4">
        <v>0.25168000000000001</v>
      </c>
      <c r="C4" s="5" t="s">
        <v>6</v>
      </c>
    </row>
    <row r="5" spans="1:3" ht="15" customHeight="1" x14ac:dyDescent="0.3">
      <c r="A5" s="3" t="s">
        <v>7</v>
      </c>
      <c r="B5" s="6">
        <v>5.0000000000000001E-3</v>
      </c>
      <c r="C5" s="5" t="s">
        <v>8</v>
      </c>
    </row>
    <row r="6" spans="1:3" ht="15" customHeight="1" x14ac:dyDescent="0.3">
      <c r="A6" s="3" t="s">
        <v>9</v>
      </c>
      <c r="B6" s="4">
        <v>5.9999999999999995E-4</v>
      </c>
      <c r="C6" s="5" t="s">
        <v>10</v>
      </c>
    </row>
    <row r="7" spans="1:3" ht="15" customHeight="1" x14ac:dyDescent="0.3">
      <c r="A7" s="3" t="s">
        <v>11</v>
      </c>
      <c r="B7" s="6">
        <v>2.8000000000000001E-2</v>
      </c>
      <c r="C7" s="5" t="s">
        <v>12</v>
      </c>
    </row>
    <row r="8" spans="1:3" ht="15" customHeight="1" x14ac:dyDescent="0.3">
      <c r="A8" s="3" t="s">
        <v>13</v>
      </c>
      <c r="B8" s="7">
        <v>37800000000</v>
      </c>
      <c r="C8" s="5" t="s">
        <v>14</v>
      </c>
    </row>
    <row r="9" spans="1:3" ht="15" customHeight="1" x14ac:dyDescent="0.3">
      <c r="A9" s="3" t="s">
        <v>15</v>
      </c>
      <c r="B9" s="7">
        <v>3780000000</v>
      </c>
      <c r="C9" s="5" t="s">
        <v>16</v>
      </c>
    </row>
    <row r="10" spans="1:3" ht="15" customHeight="1" x14ac:dyDescent="0.3">
      <c r="A10" s="3" t="s">
        <v>17</v>
      </c>
      <c r="B10" s="8">
        <v>6.5000000000000002E-2</v>
      </c>
      <c r="C10" s="5" t="s">
        <v>18</v>
      </c>
    </row>
    <row r="11" spans="1:3" ht="15" customHeight="1" x14ac:dyDescent="0.3">
      <c r="A11" s="3" t="s">
        <v>19</v>
      </c>
      <c r="B11" s="9">
        <v>200000000</v>
      </c>
      <c r="C11" s="5" t="s">
        <v>20</v>
      </c>
    </row>
    <row r="12" spans="1:3" ht="15" customHeight="1" x14ac:dyDescent="0.3">
      <c r="A12" s="3" t="s">
        <v>21</v>
      </c>
      <c r="B12" s="8">
        <v>1</v>
      </c>
      <c r="C12" s="5" t="s">
        <v>22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F138"/>
  <sheetViews>
    <sheetView showGridLines="0" zoomScaleNormal="100" workbookViewId="0">
      <pane ySplit="4" topLeftCell="A114" activePane="bottomLeft" state="frozen"/>
      <selection pane="bottomLeft" activeCell="D138" sqref="D138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5" width="12" customWidth="1"/>
    <col min="6" max="6" width="30" customWidth="1"/>
  </cols>
  <sheetData>
    <row r="1" spans="1:5" ht="30" customHeight="1" x14ac:dyDescent="0.3">
      <c r="A1" s="142" t="s">
        <v>23</v>
      </c>
      <c r="B1" s="142"/>
      <c r="C1" s="142"/>
      <c r="D1" s="142"/>
      <c r="E1" s="142"/>
    </row>
    <row r="2" spans="1:5" ht="18" customHeight="1" x14ac:dyDescent="0.3">
      <c r="A2" s="143" t="s">
        <v>24</v>
      </c>
      <c r="B2" s="143"/>
      <c r="C2" s="143"/>
      <c r="D2" s="143"/>
      <c r="E2" s="143"/>
    </row>
    <row r="4" spans="1:5" ht="25.5" customHeight="1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</row>
    <row r="5" spans="1:5" ht="13.5" customHeight="1" x14ac:dyDescent="0.3">
      <c r="A5" s="10">
        <v>2020</v>
      </c>
      <c r="B5" s="11">
        <v>-0.24310000000000001</v>
      </c>
      <c r="C5" s="11">
        <v>0.14119999999999999</v>
      </c>
      <c r="D5" s="11">
        <f t="shared" ref="D5:D36" si="0">ABS(B5)</f>
        <v>0.24310000000000001</v>
      </c>
      <c r="E5" s="12">
        <f t="shared" ref="E5:E36" si="1">D5/C5</f>
        <v>1.7216713881019832</v>
      </c>
    </row>
    <row r="6" spans="1:5" ht="13.5" customHeight="1" x14ac:dyDescent="0.3">
      <c r="A6" s="13">
        <v>2020</v>
      </c>
      <c r="B6" s="14">
        <v>-0.19270000000000001</v>
      </c>
      <c r="C6" s="14">
        <v>0.1153</v>
      </c>
      <c r="D6" s="14">
        <f t="shared" si="0"/>
        <v>0.19270000000000001</v>
      </c>
      <c r="E6" s="15">
        <f t="shared" si="1"/>
        <v>1.6712922810060713</v>
      </c>
    </row>
    <row r="7" spans="1:5" ht="13.5" customHeight="1" x14ac:dyDescent="0.3">
      <c r="A7" s="10">
        <v>2020</v>
      </c>
      <c r="B7" s="11">
        <v>0.17460000000000001</v>
      </c>
      <c r="C7" s="11">
        <v>0.14169999999999999</v>
      </c>
      <c r="D7" s="11">
        <f t="shared" si="0"/>
        <v>0.17460000000000001</v>
      </c>
      <c r="E7" s="12">
        <f t="shared" si="1"/>
        <v>1.2321806633733241</v>
      </c>
    </row>
    <row r="8" spans="1:5" ht="13.5" customHeight="1" x14ac:dyDescent="0.3">
      <c r="A8" s="13">
        <v>2020</v>
      </c>
      <c r="B8" s="14">
        <v>0.16650000000000001</v>
      </c>
      <c r="C8" s="14">
        <v>0.12970000000000001</v>
      </c>
      <c r="D8" s="14">
        <f t="shared" si="0"/>
        <v>0.16650000000000001</v>
      </c>
      <c r="E8" s="15">
        <f t="shared" si="1"/>
        <v>1.2837316885119505</v>
      </c>
    </row>
    <row r="9" spans="1:5" ht="13.5" customHeight="1" x14ac:dyDescent="0.3">
      <c r="A9" s="10">
        <v>2020</v>
      </c>
      <c r="B9" s="11">
        <v>-0.1842</v>
      </c>
      <c r="C9" s="11">
        <v>0.17280000000000001</v>
      </c>
      <c r="D9" s="11">
        <f t="shared" si="0"/>
        <v>0.1842</v>
      </c>
      <c r="E9" s="12">
        <f t="shared" si="1"/>
        <v>1.0659722222222221</v>
      </c>
    </row>
    <row r="10" spans="1:5" ht="13.5" customHeight="1" x14ac:dyDescent="0.3">
      <c r="A10" s="13">
        <v>2020</v>
      </c>
      <c r="B10" s="14">
        <v>-0.19009999999999999</v>
      </c>
      <c r="C10" s="14">
        <v>0.1709</v>
      </c>
      <c r="D10" s="14">
        <f t="shared" si="0"/>
        <v>0.19009999999999999</v>
      </c>
      <c r="E10" s="15">
        <f t="shared" si="1"/>
        <v>1.1123464014043301</v>
      </c>
    </row>
    <row r="11" spans="1:5" ht="13.5" customHeight="1" x14ac:dyDescent="0.3">
      <c r="A11" s="10">
        <v>2020</v>
      </c>
      <c r="B11" s="11">
        <v>0.2155</v>
      </c>
      <c r="C11" s="11">
        <v>0.2316</v>
      </c>
      <c r="D11" s="11">
        <f t="shared" si="0"/>
        <v>0.2155</v>
      </c>
      <c r="E11" s="12">
        <f t="shared" si="1"/>
        <v>0.93048359240069078</v>
      </c>
    </row>
    <row r="12" spans="1:5" ht="13.5" customHeight="1" x14ac:dyDescent="0.3">
      <c r="A12" s="13">
        <v>2020</v>
      </c>
      <c r="B12" s="14">
        <v>0.21579999999999999</v>
      </c>
      <c r="C12" s="14">
        <v>0.24279999999999999</v>
      </c>
      <c r="D12" s="14">
        <f t="shared" si="0"/>
        <v>0.21579999999999999</v>
      </c>
      <c r="E12" s="15">
        <f t="shared" si="1"/>
        <v>0.88879736408566723</v>
      </c>
    </row>
    <row r="13" spans="1:5" ht="13.5" customHeight="1" x14ac:dyDescent="0.3">
      <c r="A13" s="10">
        <v>2020</v>
      </c>
      <c r="B13" s="11">
        <v>-0.29780000000000001</v>
      </c>
      <c r="C13" s="11">
        <v>0.21640000000000001</v>
      </c>
      <c r="D13" s="11">
        <f t="shared" si="0"/>
        <v>0.29780000000000001</v>
      </c>
      <c r="E13" s="12">
        <f t="shared" si="1"/>
        <v>1.3761552680221811</v>
      </c>
    </row>
    <row r="14" spans="1:5" ht="13.5" customHeight="1" x14ac:dyDescent="0.3">
      <c r="A14" s="13">
        <v>2020</v>
      </c>
      <c r="B14" s="14">
        <v>-0.2316</v>
      </c>
      <c r="C14" s="14">
        <v>0.26910000000000001</v>
      </c>
      <c r="D14" s="14">
        <f t="shared" si="0"/>
        <v>0.2316</v>
      </c>
      <c r="E14" s="15">
        <f t="shared" si="1"/>
        <v>0.8606465997770345</v>
      </c>
    </row>
    <row r="15" spans="1:5" ht="13.5" customHeight="1" x14ac:dyDescent="0.3">
      <c r="A15" s="10">
        <v>2020</v>
      </c>
      <c r="B15" s="11">
        <v>-0.19270000000000001</v>
      </c>
      <c r="C15" s="11">
        <v>0.16750000000000001</v>
      </c>
      <c r="D15" s="11">
        <f t="shared" si="0"/>
        <v>0.19270000000000001</v>
      </c>
      <c r="E15" s="12">
        <f t="shared" si="1"/>
        <v>1.1504477611940298</v>
      </c>
    </row>
    <row r="16" spans="1:5" ht="13.5" customHeight="1" x14ac:dyDescent="0.3">
      <c r="A16" s="13">
        <v>2020</v>
      </c>
      <c r="B16" s="14">
        <v>0.20899999999999999</v>
      </c>
      <c r="C16" s="14">
        <v>0.2228</v>
      </c>
      <c r="D16" s="14">
        <f t="shared" si="0"/>
        <v>0.20899999999999999</v>
      </c>
      <c r="E16" s="15">
        <f t="shared" si="1"/>
        <v>0.93806104129263912</v>
      </c>
    </row>
    <row r="17" spans="1:5" ht="13.5" customHeight="1" x14ac:dyDescent="0.3">
      <c r="A17" s="10">
        <v>2020</v>
      </c>
      <c r="B17" s="11">
        <v>0.433</v>
      </c>
      <c r="C17" s="11">
        <v>0.25280000000000002</v>
      </c>
      <c r="D17" s="11">
        <f t="shared" si="0"/>
        <v>0.433</v>
      </c>
      <c r="E17" s="12">
        <f t="shared" si="1"/>
        <v>1.7128164556962024</v>
      </c>
    </row>
    <row r="18" spans="1:5" ht="13.5" customHeight="1" x14ac:dyDescent="0.3">
      <c r="A18" s="13">
        <v>2020</v>
      </c>
      <c r="B18" s="14">
        <v>0.3609</v>
      </c>
      <c r="C18" s="14">
        <v>0.2319</v>
      </c>
      <c r="D18" s="14">
        <f t="shared" si="0"/>
        <v>0.3609</v>
      </c>
      <c r="E18" s="15">
        <f t="shared" si="1"/>
        <v>1.5562742561448901</v>
      </c>
    </row>
    <row r="19" spans="1:5" ht="13.5" customHeight="1" x14ac:dyDescent="0.3">
      <c r="A19" s="10">
        <v>2020</v>
      </c>
      <c r="B19" s="11">
        <v>-0.24410000000000001</v>
      </c>
      <c r="C19" s="11">
        <v>0.2014</v>
      </c>
      <c r="D19" s="11">
        <f t="shared" si="0"/>
        <v>0.24410000000000001</v>
      </c>
      <c r="E19" s="12">
        <f t="shared" si="1"/>
        <v>1.2120158887785502</v>
      </c>
    </row>
    <row r="20" spans="1:5" ht="13.5" customHeight="1" x14ac:dyDescent="0.3">
      <c r="A20" s="13">
        <v>2020</v>
      </c>
      <c r="B20" s="14">
        <v>-0.1704</v>
      </c>
      <c r="C20" s="14">
        <v>0.1588</v>
      </c>
      <c r="D20" s="14">
        <f t="shared" si="0"/>
        <v>0.1704</v>
      </c>
      <c r="E20" s="15">
        <f t="shared" si="1"/>
        <v>1.0730478589420656</v>
      </c>
    </row>
    <row r="21" spans="1:5" ht="13.5" customHeight="1" x14ac:dyDescent="0.3">
      <c r="A21" s="10">
        <v>2020</v>
      </c>
      <c r="B21" s="11">
        <v>0.22070000000000001</v>
      </c>
      <c r="C21" s="11">
        <v>0.23530000000000001</v>
      </c>
      <c r="D21" s="11">
        <f t="shared" si="0"/>
        <v>0.22070000000000001</v>
      </c>
      <c r="E21" s="12">
        <f t="shared" si="1"/>
        <v>0.93795155121121976</v>
      </c>
    </row>
    <row r="22" spans="1:5" ht="13.5" customHeight="1" x14ac:dyDescent="0.3">
      <c r="A22" s="13">
        <v>2020</v>
      </c>
      <c r="B22" s="14">
        <v>-0.21240000000000001</v>
      </c>
      <c r="C22" s="14">
        <v>0.1487</v>
      </c>
      <c r="D22" s="14">
        <f t="shared" si="0"/>
        <v>0.21240000000000001</v>
      </c>
      <c r="E22" s="15">
        <f t="shared" si="1"/>
        <v>1.4283792871553465</v>
      </c>
    </row>
    <row r="23" spans="1:5" ht="13.5" customHeight="1" x14ac:dyDescent="0.3">
      <c r="A23" s="10">
        <v>2020</v>
      </c>
      <c r="B23" s="11">
        <v>-0.30270000000000002</v>
      </c>
      <c r="C23" s="11">
        <v>0.15529999999999999</v>
      </c>
      <c r="D23" s="11">
        <f t="shared" si="0"/>
        <v>0.30270000000000002</v>
      </c>
      <c r="E23" s="12">
        <f t="shared" si="1"/>
        <v>1.9491307147456538</v>
      </c>
    </row>
    <row r="24" spans="1:5" ht="13.5" customHeight="1" x14ac:dyDescent="0.3">
      <c r="A24" s="13">
        <v>2020</v>
      </c>
      <c r="B24" s="14">
        <v>0.154</v>
      </c>
      <c r="C24" s="14">
        <v>0.2152</v>
      </c>
      <c r="D24" s="14">
        <f t="shared" si="0"/>
        <v>0.154</v>
      </c>
      <c r="E24" s="15">
        <f t="shared" si="1"/>
        <v>0.71561338289962828</v>
      </c>
    </row>
    <row r="25" spans="1:5" ht="13.5" customHeight="1" x14ac:dyDescent="0.3">
      <c r="A25" s="10">
        <v>2021</v>
      </c>
      <c r="B25" s="11">
        <v>-0.20630000000000001</v>
      </c>
      <c r="C25" s="11">
        <v>0.19969999999999999</v>
      </c>
      <c r="D25" s="11">
        <f t="shared" si="0"/>
        <v>0.20630000000000001</v>
      </c>
      <c r="E25" s="12">
        <f t="shared" si="1"/>
        <v>1.0330495743615424</v>
      </c>
    </row>
    <row r="26" spans="1:5" ht="13.5" customHeight="1" x14ac:dyDescent="0.3">
      <c r="A26" s="13">
        <v>2021</v>
      </c>
      <c r="B26" s="14">
        <v>0.36720000000000003</v>
      </c>
      <c r="C26" s="14">
        <v>0.2127</v>
      </c>
      <c r="D26" s="14">
        <f t="shared" si="0"/>
        <v>0.36720000000000003</v>
      </c>
      <c r="E26" s="15">
        <f t="shared" si="1"/>
        <v>1.7263751763046546</v>
      </c>
    </row>
    <row r="27" spans="1:5" ht="13.5" customHeight="1" x14ac:dyDescent="0.3">
      <c r="A27" s="10">
        <v>2021</v>
      </c>
      <c r="B27" s="11">
        <v>0.20749999999999999</v>
      </c>
      <c r="C27" s="11">
        <v>0.23480000000000001</v>
      </c>
      <c r="D27" s="11">
        <f t="shared" si="0"/>
        <v>0.20749999999999999</v>
      </c>
      <c r="E27" s="12">
        <f t="shared" si="1"/>
        <v>0.8837308347529812</v>
      </c>
    </row>
    <row r="28" spans="1:5" ht="13.5" customHeight="1" x14ac:dyDescent="0.3">
      <c r="A28" s="13">
        <v>2021</v>
      </c>
      <c r="B28" s="14">
        <v>0.15820000000000001</v>
      </c>
      <c r="C28" s="14">
        <v>0.18390000000000001</v>
      </c>
      <c r="D28" s="14">
        <f t="shared" si="0"/>
        <v>0.15820000000000001</v>
      </c>
      <c r="E28" s="15">
        <f t="shared" si="1"/>
        <v>0.86025013594344757</v>
      </c>
    </row>
    <row r="29" spans="1:5" ht="13.5" customHeight="1" x14ac:dyDescent="0.3">
      <c r="A29" s="10">
        <v>2021</v>
      </c>
      <c r="B29" s="11">
        <v>-0.17399999999999999</v>
      </c>
      <c r="C29" s="11">
        <v>0.1449</v>
      </c>
      <c r="D29" s="11">
        <f t="shared" si="0"/>
        <v>0.17399999999999999</v>
      </c>
      <c r="E29" s="12">
        <f t="shared" si="1"/>
        <v>1.2008281573498965</v>
      </c>
    </row>
    <row r="30" spans="1:5" ht="13.5" customHeight="1" x14ac:dyDescent="0.3">
      <c r="A30" s="13">
        <v>2021</v>
      </c>
      <c r="B30" s="14">
        <v>0.2223</v>
      </c>
      <c r="C30" s="14">
        <v>0.11119999999999999</v>
      </c>
      <c r="D30" s="14">
        <f t="shared" si="0"/>
        <v>0.2223</v>
      </c>
      <c r="E30" s="15">
        <f t="shared" si="1"/>
        <v>1.9991007194244605</v>
      </c>
    </row>
    <row r="31" spans="1:5" ht="13.5" customHeight="1" x14ac:dyDescent="0.3">
      <c r="A31" s="10">
        <v>2021</v>
      </c>
      <c r="B31" s="11">
        <v>0.3473</v>
      </c>
      <c r="C31" s="11">
        <v>0.1226</v>
      </c>
      <c r="D31" s="11">
        <f t="shared" si="0"/>
        <v>0.3473</v>
      </c>
      <c r="E31" s="12">
        <f t="shared" si="1"/>
        <v>2.83278955954323</v>
      </c>
    </row>
    <row r="32" spans="1:5" ht="13.5" customHeight="1" x14ac:dyDescent="0.3">
      <c r="A32" s="13">
        <v>2021</v>
      </c>
      <c r="B32" s="14">
        <v>0.1633</v>
      </c>
      <c r="C32" s="14">
        <v>0.11749999999999999</v>
      </c>
      <c r="D32" s="14">
        <f t="shared" si="0"/>
        <v>0.1633</v>
      </c>
      <c r="E32" s="15">
        <f t="shared" si="1"/>
        <v>1.3897872340425532</v>
      </c>
    </row>
    <row r="33" spans="1:5" ht="13.5" customHeight="1" x14ac:dyDescent="0.3">
      <c r="A33" s="10">
        <v>2021</v>
      </c>
      <c r="B33" s="11">
        <v>0.40029999999999999</v>
      </c>
      <c r="C33" s="11">
        <v>0.16</v>
      </c>
      <c r="D33" s="11">
        <f t="shared" si="0"/>
        <v>0.40029999999999999</v>
      </c>
      <c r="E33" s="12">
        <f t="shared" si="1"/>
        <v>2.5018750000000001</v>
      </c>
    </row>
    <row r="34" spans="1:5" ht="13.5" customHeight="1" x14ac:dyDescent="0.3">
      <c r="A34" s="13">
        <v>2021</v>
      </c>
      <c r="B34" s="14">
        <v>0.47639999999999999</v>
      </c>
      <c r="C34" s="14">
        <v>0.1966</v>
      </c>
      <c r="D34" s="14">
        <f t="shared" si="0"/>
        <v>0.47639999999999999</v>
      </c>
      <c r="E34" s="15">
        <f t="shared" si="1"/>
        <v>2.4231943031536112</v>
      </c>
    </row>
    <row r="35" spans="1:5" ht="13.5" customHeight="1" x14ac:dyDescent="0.3">
      <c r="A35" s="10">
        <v>2021</v>
      </c>
      <c r="B35" s="11">
        <v>0.15820000000000001</v>
      </c>
      <c r="C35" s="11">
        <v>0.24129999999999999</v>
      </c>
      <c r="D35" s="11">
        <f t="shared" si="0"/>
        <v>0.15820000000000001</v>
      </c>
      <c r="E35" s="12">
        <f t="shared" si="1"/>
        <v>0.65561541649399091</v>
      </c>
    </row>
    <row r="36" spans="1:5" ht="13.5" customHeight="1" x14ac:dyDescent="0.3">
      <c r="A36" s="13">
        <v>2021</v>
      </c>
      <c r="B36" s="14">
        <v>-0.25369999999999998</v>
      </c>
      <c r="C36" s="14">
        <v>0.28260000000000002</v>
      </c>
      <c r="D36" s="14">
        <f t="shared" si="0"/>
        <v>0.25369999999999998</v>
      </c>
      <c r="E36" s="15">
        <f t="shared" si="1"/>
        <v>0.89773531493276704</v>
      </c>
    </row>
    <row r="37" spans="1:5" ht="13.5" customHeight="1" x14ac:dyDescent="0.3">
      <c r="A37" s="10">
        <v>2021</v>
      </c>
      <c r="B37" s="11">
        <v>-0.19689999999999999</v>
      </c>
      <c r="C37" s="11">
        <v>0.28410000000000002</v>
      </c>
      <c r="D37" s="11">
        <f t="shared" ref="D37:D68" si="2">ABS(B37)</f>
        <v>0.19689999999999999</v>
      </c>
      <c r="E37" s="12">
        <f t="shared" ref="E37:E68" si="3">D37/C37</f>
        <v>0.69306582189369936</v>
      </c>
    </row>
    <row r="38" spans="1:5" ht="13.5" customHeight="1" x14ac:dyDescent="0.3">
      <c r="A38" s="13">
        <v>2021</v>
      </c>
      <c r="B38" s="14">
        <v>-0.36599999999999999</v>
      </c>
      <c r="C38" s="14">
        <v>0.31059999999999999</v>
      </c>
      <c r="D38" s="14">
        <f t="shared" si="2"/>
        <v>0.36599999999999999</v>
      </c>
      <c r="E38" s="15">
        <f t="shared" si="3"/>
        <v>1.1783644558918223</v>
      </c>
    </row>
    <row r="39" spans="1:5" ht="13.5" customHeight="1" x14ac:dyDescent="0.3">
      <c r="A39" s="10">
        <v>2022</v>
      </c>
      <c r="B39" s="11">
        <v>-0.30890000000000001</v>
      </c>
      <c r="C39" s="11">
        <v>0.312</v>
      </c>
      <c r="D39" s="11">
        <f t="shared" si="2"/>
        <v>0.30890000000000001</v>
      </c>
      <c r="E39" s="12">
        <f t="shared" si="3"/>
        <v>0.9900641025641026</v>
      </c>
    </row>
    <row r="40" spans="1:5" ht="13.5" customHeight="1" x14ac:dyDescent="0.3">
      <c r="A40" s="13">
        <v>2022</v>
      </c>
      <c r="B40" s="14">
        <v>0.5343</v>
      </c>
      <c r="C40" s="14">
        <v>0.25030000000000002</v>
      </c>
      <c r="D40" s="14">
        <f t="shared" si="2"/>
        <v>0.5343</v>
      </c>
      <c r="E40" s="15">
        <f t="shared" si="3"/>
        <v>2.1346384338793447</v>
      </c>
    </row>
    <row r="41" spans="1:5" ht="13.5" customHeight="1" x14ac:dyDescent="0.3">
      <c r="A41" s="10">
        <v>2022</v>
      </c>
      <c r="B41" s="11">
        <v>0.26619999999999999</v>
      </c>
      <c r="C41" s="11">
        <v>0.26629999999999998</v>
      </c>
      <c r="D41" s="11">
        <f t="shared" si="2"/>
        <v>0.26619999999999999</v>
      </c>
      <c r="E41" s="12">
        <f t="shared" si="3"/>
        <v>0.99962448366503942</v>
      </c>
    </row>
    <row r="42" spans="1:5" ht="13.5" customHeight="1" x14ac:dyDescent="0.3">
      <c r="A42" s="13">
        <v>2022</v>
      </c>
      <c r="B42" s="14">
        <v>-0.17599999999999999</v>
      </c>
      <c r="C42" s="14">
        <v>0.31230000000000002</v>
      </c>
      <c r="D42" s="14">
        <f t="shared" si="2"/>
        <v>0.17599999999999999</v>
      </c>
      <c r="E42" s="15">
        <f t="shared" si="3"/>
        <v>0.56356067883445393</v>
      </c>
    </row>
    <row r="43" spans="1:5" ht="13.5" customHeight="1" x14ac:dyDescent="0.3">
      <c r="A43" s="10">
        <v>2022</v>
      </c>
      <c r="B43" s="11">
        <v>0.17979999999999999</v>
      </c>
      <c r="C43" s="11">
        <v>0.26079999999999998</v>
      </c>
      <c r="D43" s="11">
        <f t="shared" si="2"/>
        <v>0.17979999999999999</v>
      </c>
      <c r="E43" s="12">
        <f t="shared" si="3"/>
        <v>0.68941717791411039</v>
      </c>
    </row>
    <row r="44" spans="1:5" ht="13.5" customHeight="1" x14ac:dyDescent="0.3">
      <c r="A44" s="13">
        <v>2022</v>
      </c>
      <c r="B44" s="14">
        <v>-0.27779999999999999</v>
      </c>
      <c r="C44" s="14">
        <v>0.41620000000000001</v>
      </c>
      <c r="D44" s="14">
        <f t="shared" si="2"/>
        <v>0.27779999999999999</v>
      </c>
      <c r="E44" s="15">
        <f t="shared" si="3"/>
        <v>0.66746756367131188</v>
      </c>
    </row>
    <row r="45" spans="1:5" ht="13.5" customHeight="1" x14ac:dyDescent="0.3">
      <c r="A45" s="10">
        <v>2022</v>
      </c>
      <c r="B45" s="11">
        <v>-0.20810000000000001</v>
      </c>
      <c r="C45" s="11">
        <v>0.30209999999999998</v>
      </c>
      <c r="D45" s="11">
        <f t="shared" si="2"/>
        <v>0.20810000000000001</v>
      </c>
      <c r="E45" s="12">
        <f t="shared" si="3"/>
        <v>0.68884475339291629</v>
      </c>
    </row>
    <row r="46" spans="1:5" ht="13.5" customHeight="1" x14ac:dyDescent="0.3">
      <c r="A46" s="13">
        <v>2022</v>
      </c>
      <c r="B46" s="14">
        <v>0.34370000000000001</v>
      </c>
      <c r="C46" s="14">
        <v>0.27229999999999999</v>
      </c>
      <c r="D46" s="14">
        <f t="shared" si="2"/>
        <v>0.34370000000000001</v>
      </c>
      <c r="E46" s="15">
        <f t="shared" si="3"/>
        <v>1.2622107969151672</v>
      </c>
    </row>
    <row r="47" spans="1:5" ht="13.5" customHeight="1" x14ac:dyDescent="0.3">
      <c r="A47" s="10">
        <v>2022</v>
      </c>
      <c r="B47" s="11">
        <v>0.76349999999999996</v>
      </c>
      <c r="C47" s="11">
        <v>0.23400000000000001</v>
      </c>
      <c r="D47" s="11">
        <f t="shared" si="2"/>
        <v>0.76349999999999996</v>
      </c>
      <c r="E47" s="12">
        <f t="shared" si="3"/>
        <v>3.2628205128205123</v>
      </c>
    </row>
    <row r="48" spans="1:5" ht="13.5" customHeight="1" x14ac:dyDescent="0.3">
      <c r="A48" s="13">
        <v>2022</v>
      </c>
      <c r="B48" s="14">
        <v>0.61060000000000003</v>
      </c>
      <c r="C48" s="14">
        <v>0.23749999999999999</v>
      </c>
      <c r="D48" s="14">
        <f t="shared" si="2"/>
        <v>0.61060000000000003</v>
      </c>
      <c r="E48" s="15">
        <f t="shared" si="3"/>
        <v>2.5709473684210531</v>
      </c>
    </row>
    <row r="49" spans="1:5" ht="13.5" customHeight="1" x14ac:dyDescent="0.3">
      <c r="A49" s="10">
        <v>2022</v>
      </c>
      <c r="B49" s="11">
        <v>0.33250000000000002</v>
      </c>
      <c r="C49" s="11">
        <v>0.27260000000000001</v>
      </c>
      <c r="D49" s="11">
        <f t="shared" si="2"/>
        <v>0.33250000000000002</v>
      </c>
      <c r="E49" s="12">
        <f t="shared" si="3"/>
        <v>1.2197358767424797</v>
      </c>
    </row>
    <row r="50" spans="1:5" ht="13.5" customHeight="1" x14ac:dyDescent="0.3">
      <c r="A50" s="13">
        <v>2022</v>
      </c>
      <c r="B50" s="14">
        <v>0.15840000000000001</v>
      </c>
      <c r="C50" s="14">
        <v>0.29399999999999998</v>
      </c>
      <c r="D50" s="14">
        <f t="shared" si="2"/>
        <v>0.15840000000000001</v>
      </c>
      <c r="E50" s="15">
        <f t="shared" si="3"/>
        <v>0.53877551020408165</v>
      </c>
    </row>
    <row r="51" spans="1:5" ht="13.5" customHeight="1" x14ac:dyDescent="0.3">
      <c r="A51" s="10">
        <v>2022</v>
      </c>
      <c r="B51" s="11">
        <v>-0.40289999999999998</v>
      </c>
      <c r="C51" s="11">
        <v>0.31140000000000001</v>
      </c>
      <c r="D51" s="11">
        <f t="shared" si="2"/>
        <v>0.40289999999999998</v>
      </c>
      <c r="E51" s="12">
        <f t="shared" si="3"/>
        <v>1.29383429672447</v>
      </c>
    </row>
    <row r="52" spans="1:5" ht="13.5" customHeight="1" x14ac:dyDescent="0.3">
      <c r="A52" s="13">
        <v>2022</v>
      </c>
      <c r="B52" s="14">
        <v>-0.28070000000000001</v>
      </c>
      <c r="C52" s="14">
        <v>0.2989</v>
      </c>
      <c r="D52" s="14">
        <f t="shared" si="2"/>
        <v>0.28070000000000001</v>
      </c>
      <c r="E52" s="15">
        <f t="shared" si="3"/>
        <v>0.93911007025761128</v>
      </c>
    </row>
    <row r="53" spans="1:5" ht="13.5" customHeight="1" x14ac:dyDescent="0.3">
      <c r="A53" s="10">
        <v>2022</v>
      </c>
      <c r="B53" s="11">
        <v>-0.18379999999999999</v>
      </c>
      <c r="C53" s="11">
        <v>0.36170000000000002</v>
      </c>
      <c r="D53" s="11">
        <f t="shared" si="2"/>
        <v>0.18379999999999999</v>
      </c>
      <c r="E53" s="12">
        <f t="shared" si="3"/>
        <v>0.50815593032900186</v>
      </c>
    </row>
    <row r="54" spans="1:5" ht="13.5" customHeight="1" x14ac:dyDescent="0.3">
      <c r="A54" s="13">
        <v>2022</v>
      </c>
      <c r="B54" s="14">
        <v>0.71560000000000001</v>
      </c>
      <c r="C54" s="14">
        <v>0.3367</v>
      </c>
      <c r="D54" s="14">
        <f t="shared" si="2"/>
        <v>0.71560000000000001</v>
      </c>
      <c r="E54" s="15">
        <f t="shared" si="3"/>
        <v>2.1253341253341254</v>
      </c>
    </row>
    <row r="55" spans="1:5" ht="13.5" customHeight="1" x14ac:dyDescent="0.3">
      <c r="A55" s="10">
        <v>2022</v>
      </c>
      <c r="B55" s="11">
        <v>0.47610000000000002</v>
      </c>
      <c r="C55" s="11">
        <v>0.3755</v>
      </c>
      <c r="D55" s="11">
        <f t="shared" si="2"/>
        <v>0.47610000000000002</v>
      </c>
      <c r="E55" s="12">
        <f t="shared" si="3"/>
        <v>1.2679094540612517</v>
      </c>
    </row>
    <row r="56" spans="1:5" ht="13.5" customHeight="1" x14ac:dyDescent="0.3">
      <c r="A56" s="13">
        <v>2022</v>
      </c>
      <c r="B56" s="14">
        <v>0.26929999999999998</v>
      </c>
      <c r="C56" s="14">
        <v>0.26490000000000002</v>
      </c>
      <c r="D56" s="14">
        <f t="shared" si="2"/>
        <v>0.26929999999999998</v>
      </c>
      <c r="E56" s="15">
        <f t="shared" si="3"/>
        <v>1.0166100415251036</v>
      </c>
    </row>
    <row r="57" spans="1:5" ht="13.5" customHeight="1" x14ac:dyDescent="0.3">
      <c r="A57" s="10">
        <v>2022</v>
      </c>
      <c r="B57" s="11">
        <v>-0.2303</v>
      </c>
      <c r="C57" s="11">
        <v>0.23380000000000001</v>
      </c>
      <c r="D57" s="11">
        <f t="shared" si="2"/>
        <v>0.2303</v>
      </c>
      <c r="E57" s="12">
        <f t="shared" si="3"/>
        <v>0.98502994011976042</v>
      </c>
    </row>
    <row r="58" spans="1:5" ht="13.5" customHeight="1" x14ac:dyDescent="0.3">
      <c r="A58" s="13">
        <v>2022</v>
      </c>
      <c r="B58" s="14">
        <v>-0.45669999999999999</v>
      </c>
      <c r="C58" s="14">
        <v>0.22750000000000001</v>
      </c>
      <c r="D58" s="14">
        <f t="shared" si="2"/>
        <v>0.45669999999999999</v>
      </c>
      <c r="E58" s="15">
        <f t="shared" si="3"/>
        <v>2.0074725274725274</v>
      </c>
    </row>
    <row r="59" spans="1:5" ht="13.5" customHeight="1" x14ac:dyDescent="0.3">
      <c r="A59" s="10">
        <v>2022</v>
      </c>
      <c r="B59" s="11">
        <v>-0.24410000000000001</v>
      </c>
      <c r="C59" s="11">
        <v>0.20619999999999999</v>
      </c>
      <c r="D59" s="11">
        <f t="shared" si="2"/>
        <v>0.24410000000000001</v>
      </c>
      <c r="E59" s="12">
        <f t="shared" si="3"/>
        <v>1.1838021338506306</v>
      </c>
    </row>
    <row r="60" spans="1:5" ht="13.5" customHeight="1" x14ac:dyDescent="0.3">
      <c r="A60" s="13">
        <v>2022</v>
      </c>
      <c r="B60" s="14">
        <v>0.27850000000000003</v>
      </c>
      <c r="C60" s="14">
        <v>0.28029999999999999</v>
      </c>
      <c r="D60" s="14">
        <f t="shared" si="2"/>
        <v>0.27850000000000003</v>
      </c>
      <c r="E60" s="15">
        <f t="shared" si="3"/>
        <v>0.99357830895469157</v>
      </c>
    </row>
    <row r="61" spans="1:5" ht="13.5" customHeight="1" x14ac:dyDescent="0.3">
      <c r="A61" s="10">
        <v>2022</v>
      </c>
      <c r="B61" s="11">
        <v>0.26919999999999999</v>
      </c>
      <c r="C61" s="11">
        <v>0.30299999999999999</v>
      </c>
      <c r="D61" s="11">
        <f t="shared" si="2"/>
        <v>0.26919999999999999</v>
      </c>
      <c r="E61" s="12">
        <f t="shared" si="3"/>
        <v>0.8884488448844885</v>
      </c>
    </row>
    <row r="62" spans="1:5" ht="13.5" customHeight="1" x14ac:dyDescent="0.3">
      <c r="A62" s="13">
        <v>2022</v>
      </c>
      <c r="B62" s="14">
        <v>-0.18090000000000001</v>
      </c>
      <c r="C62" s="14">
        <v>0.40410000000000001</v>
      </c>
      <c r="D62" s="14">
        <f t="shared" si="2"/>
        <v>0.18090000000000001</v>
      </c>
      <c r="E62" s="15">
        <f t="shared" si="3"/>
        <v>0.44766146993318484</v>
      </c>
    </row>
    <row r="63" spans="1:5" ht="13.5" customHeight="1" x14ac:dyDescent="0.3">
      <c r="A63" s="10">
        <v>2022</v>
      </c>
      <c r="B63" s="11">
        <v>-0.31569999999999998</v>
      </c>
      <c r="C63" s="11">
        <v>0.33410000000000001</v>
      </c>
      <c r="D63" s="11">
        <f t="shared" si="2"/>
        <v>0.31569999999999998</v>
      </c>
      <c r="E63" s="12">
        <f t="shared" si="3"/>
        <v>0.9449266686620772</v>
      </c>
    </row>
    <row r="64" spans="1:5" ht="13.5" customHeight="1" x14ac:dyDescent="0.3">
      <c r="A64" s="13">
        <v>2023</v>
      </c>
      <c r="B64" s="14">
        <v>-0.54820000000000002</v>
      </c>
      <c r="C64" s="14">
        <v>0.35089999999999999</v>
      </c>
      <c r="D64" s="14">
        <f t="shared" si="2"/>
        <v>0.54820000000000002</v>
      </c>
      <c r="E64" s="15">
        <f t="shared" si="3"/>
        <v>1.5622684525505843</v>
      </c>
    </row>
    <row r="65" spans="1:5" ht="13.5" customHeight="1" x14ac:dyDescent="0.3">
      <c r="A65" s="10">
        <v>2023</v>
      </c>
      <c r="B65" s="11">
        <v>-0.53639999999999999</v>
      </c>
      <c r="C65" s="11">
        <v>0.29730000000000001</v>
      </c>
      <c r="D65" s="11">
        <f t="shared" si="2"/>
        <v>0.53639999999999999</v>
      </c>
      <c r="E65" s="12">
        <f t="shared" si="3"/>
        <v>1.8042381432896064</v>
      </c>
    </row>
    <row r="66" spans="1:5" ht="13.5" customHeight="1" x14ac:dyDescent="0.3">
      <c r="A66" s="13">
        <v>2023</v>
      </c>
      <c r="B66" s="14">
        <v>-0.24329999999999999</v>
      </c>
      <c r="C66" s="14">
        <v>0.2394</v>
      </c>
      <c r="D66" s="14">
        <f t="shared" si="2"/>
        <v>0.24329999999999999</v>
      </c>
      <c r="E66" s="15">
        <f t="shared" si="3"/>
        <v>1.0162907268170425</v>
      </c>
    </row>
    <row r="67" spans="1:5" ht="13.5" customHeight="1" x14ac:dyDescent="0.3">
      <c r="A67" s="10">
        <v>2023</v>
      </c>
      <c r="B67" s="11">
        <v>0.31830000000000003</v>
      </c>
      <c r="C67" s="11">
        <v>0.26819999999999999</v>
      </c>
      <c r="D67" s="11">
        <f t="shared" si="2"/>
        <v>0.31830000000000003</v>
      </c>
      <c r="E67" s="12">
        <f t="shared" si="3"/>
        <v>1.1868008948545863</v>
      </c>
    </row>
    <row r="68" spans="1:5" ht="13.5" customHeight="1" x14ac:dyDescent="0.3">
      <c r="A68" s="13">
        <v>2023</v>
      </c>
      <c r="B68" s="14">
        <v>-0.35339999999999999</v>
      </c>
      <c r="C68" s="14">
        <v>0.26269999999999999</v>
      </c>
      <c r="D68" s="14">
        <f t="shared" si="2"/>
        <v>0.35339999999999999</v>
      </c>
      <c r="E68" s="15">
        <f t="shared" si="3"/>
        <v>1.345260753711458</v>
      </c>
    </row>
    <row r="69" spans="1:5" ht="13.5" customHeight="1" x14ac:dyDescent="0.3">
      <c r="A69" s="10">
        <v>2023</v>
      </c>
      <c r="B69" s="11">
        <v>-0.27039999999999997</v>
      </c>
      <c r="C69" s="11">
        <v>0.32769999999999999</v>
      </c>
      <c r="D69" s="11">
        <f t="shared" ref="D69:D100" si="4">ABS(B69)</f>
        <v>0.27039999999999997</v>
      </c>
      <c r="E69" s="12">
        <f t="shared" ref="E69:E100" si="5">D69/C69</f>
        <v>0.82514494964906926</v>
      </c>
    </row>
    <row r="70" spans="1:5" ht="13.5" customHeight="1" x14ac:dyDescent="0.3">
      <c r="A70" s="13">
        <v>2023</v>
      </c>
      <c r="B70" s="14">
        <v>-0.1641</v>
      </c>
      <c r="C70" s="14">
        <v>0.2261</v>
      </c>
      <c r="D70" s="14">
        <f t="shared" si="4"/>
        <v>0.1641</v>
      </c>
      <c r="E70" s="15">
        <f t="shared" si="5"/>
        <v>0.72578505086245027</v>
      </c>
    </row>
    <row r="71" spans="1:5" ht="13.5" customHeight="1" x14ac:dyDescent="0.3">
      <c r="A71" s="10">
        <v>2023</v>
      </c>
      <c r="B71" s="11">
        <v>0.23019999999999999</v>
      </c>
      <c r="C71" s="11">
        <v>0.21390000000000001</v>
      </c>
      <c r="D71" s="11">
        <f t="shared" si="4"/>
        <v>0.23019999999999999</v>
      </c>
      <c r="E71" s="12">
        <f t="shared" si="5"/>
        <v>1.0762038335670874</v>
      </c>
    </row>
    <row r="72" spans="1:5" ht="13.5" customHeight="1" x14ac:dyDescent="0.3">
      <c r="A72" s="13">
        <v>2023</v>
      </c>
      <c r="B72" s="14">
        <v>0.17749999999999999</v>
      </c>
      <c r="C72" s="14">
        <v>0.18720000000000001</v>
      </c>
      <c r="D72" s="14">
        <f t="shared" si="4"/>
        <v>0.17749999999999999</v>
      </c>
      <c r="E72" s="15">
        <f t="shared" si="5"/>
        <v>0.94818376068376065</v>
      </c>
    </row>
    <row r="73" spans="1:5" ht="13.5" customHeight="1" x14ac:dyDescent="0.3">
      <c r="A73" s="10">
        <v>2023</v>
      </c>
      <c r="B73" s="11">
        <v>-0.1996</v>
      </c>
      <c r="C73" s="11">
        <v>0.2011</v>
      </c>
      <c r="D73" s="11">
        <f t="shared" si="4"/>
        <v>0.1996</v>
      </c>
      <c r="E73" s="12">
        <f t="shared" si="5"/>
        <v>0.99254102436598701</v>
      </c>
    </row>
    <row r="74" spans="1:5" ht="13.5" customHeight="1" x14ac:dyDescent="0.3">
      <c r="A74" s="13">
        <v>2023</v>
      </c>
      <c r="B74" s="14">
        <v>0.23830000000000001</v>
      </c>
      <c r="C74" s="14">
        <v>0.18679999999999999</v>
      </c>
      <c r="D74" s="14">
        <f t="shared" si="4"/>
        <v>0.23830000000000001</v>
      </c>
      <c r="E74" s="15">
        <f t="shared" si="5"/>
        <v>1.2756959314775163</v>
      </c>
    </row>
    <row r="75" spans="1:5" ht="13.5" customHeight="1" x14ac:dyDescent="0.3">
      <c r="A75" s="10">
        <v>2023</v>
      </c>
      <c r="B75" s="11">
        <v>0.21390000000000001</v>
      </c>
      <c r="C75" s="11">
        <v>0.19650000000000001</v>
      </c>
      <c r="D75" s="11">
        <f t="shared" si="4"/>
        <v>0.21390000000000001</v>
      </c>
      <c r="E75" s="12">
        <f t="shared" si="5"/>
        <v>1.0885496183206107</v>
      </c>
    </row>
    <row r="76" spans="1:5" ht="13.5" customHeight="1" x14ac:dyDescent="0.3">
      <c r="A76" s="13">
        <v>2023</v>
      </c>
      <c r="B76" s="14">
        <v>0.1671</v>
      </c>
      <c r="C76" s="14">
        <v>0.161</v>
      </c>
      <c r="D76" s="14">
        <f t="shared" si="4"/>
        <v>0.1671</v>
      </c>
      <c r="E76" s="15">
        <f t="shared" si="5"/>
        <v>1.0378881987577639</v>
      </c>
    </row>
    <row r="77" spans="1:5" ht="13.5" customHeight="1" x14ac:dyDescent="0.3">
      <c r="A77" s="10">
        <v>2023</v>
      </c>
      <c r="B77" s="11">
        <v>0.18590000000000001</v>
      </c>
      <c r="C77" s="11">
        <v>0.17949999999999999</v>
      </c>
      <c r="D77" s="11">
        <f t="shared" si="4"/>
        <v>0.18590000000000001</v>
      </c>
      <c r="E77" s="12">
        <f t="shared" si="5"/>
        <v>1.0356545961002785</v>
      </c>
    </row>
    <row r="78" spans="1:5" ht="13.5" customHeight="1" x14ac:dyDescent="0.3">
      <c r="A78" s="13">
        <v>2023</v>
      </c>
      <c r="B78" s="14">
        <v>-0.15939999999999999</v>
      </c>
      <c r="C78" s="14">
        <v>0.17929999999999999</v>
      </c>
      <c r="D78" s="14">
        <f t="shared" si="4"/>
        <v>0.15939999999999999</v>
      </c>
      <c r="E78" s="15">
        <f t="shared" si="5"/>
        <v>0.88901282766313439</v>
      </c>
    </row>
    <row r="79" spans="1:5" ht="13.5" customHeight="1" x14ac:dyDescent="0.3">
      <c r="A79" s="10">
        <v>2023</v>
      </c>
      <c r="B79" s="11">
        <v>-0.15060000000000001</v>
      </c>
      <c r="C79" s="11">
        <v>0.2155</v>
      </c>
      <c r="D79" s="11">
        <f t="shared" si="4"/>
        <v>0.15060000000000001</v>
      </c>
      <c r="E79" s="12">
        <f t="shared" si="5"/>
        <v>0.69883990719257549</v>
      </c>
    </row>
    <row r="80" spans="1:5" ht="13.5" customHeight="1" x14ac:dyDescent="0.3">
      <c r="A80" s="13">
        <v>2023</v>
      </c>
      <c r="B80" s="14">
        <v>0.18640000000000001</v>
      </c>
      <c r="C80" s="14">
        <v>0.13739999999999999</v>
      </c>
      <c r="D80" s="14">
        <f t="shared" si="4"/>
        <v>0.18640000000000001</v>
      </c>
      <c r="E80" s="15">
        <f t="shared" si="5"/>
        <v>1.3566229985443961</v>
      </c>
    </row>
    <row r="81" spans="1:5" ht="13.5" customHeight="1" x14ac:dyDescent="0.3">
      <c r="A81" s="10">
        <v>2023</v>
      </c>
      <c r="B81" s="11">
        <v>-0.21429999999999999</v>
      </c>
      <c r="C81" s="11">
        <v>0.16500000000000001</v>
      </c>
      <c r="D81" s="11">
        <f t="shared" si="4"/>
        <v>0.21429999999999999</v>
      </c>
      <c r="E81" s="12">
        <f t="shared" si="5"/>
        <v>1.2987878787878786</v>
      </c>
    </row>
    <row r="82" spans="1:5" ht="13.5" customHeight="1" x14ac:dyDescent="0.3">
      <c r="A82" s="13">
        <v>2023</v>
      </c>
      <c r="B82" s="14">
        <v>-0.38900000000000001</v>
      </c>
      <c r="C82" s="14">
        <v>0.16980000000000001</v>
      </c>
      <c r="D82" s="14">
        <f t="shared" si="4"/>
        <v>0.38900000000000001</v>
      </c>
      <c r="E82" s="15">
        <f t="shared" si="5"/>
        <v>2.2909305064782095</v>
      </c>
    </row>
    <row r="83" spans="1:5" ht="13.5" customHeight="1" x14ac:dyDescent="0.3">
      <c r="A83" s="10">
        <v>2024</v>
      </c>
      <c r="B83" s="11">
        <v>-0.21579999999999999</v>
      </c>
      <c r="C83" s="11">
        <v>0.20710000000000001</v>
      </c>
      <c r="D83" s="11">
        <f t="shared" si="4"/>
        <v>0.21579999999999999</v>
      </c>
      <c r="E83" s="12">
        <f t="shared" si="5"/>
        <v>1.0420086914534041</v>
      </c>
    </row>
    <row r="84" spans="1:5" ht="13.5" customHeight="1" x14ac:dyDescent="0.3">
      <c r="A84" s="13">
        <v>2024</v>
      </c>
      <c r="B84" s="14">
        <v>0.43909999999999999</v>
      </c>
      <c r="C84" s="14">
        <v>0.2341</v>
      </c>
      <c r="D84" s="14">
        <f t="shared" si="4"/>
        <v>0.43909999999999999</v>
      </c>
      <c r="E84" s="15">
        <f t="shared" si="5"/>
        <v>1.8756941478000855</v>
      </c>
    </row>
    <row r="85" spans="1:5" ht="13.5" customHeight="1" x14ac:dyDescent="0.3">
      <c r="A85" s="10">
        <v>2024</v>
      </c>
      <c r="B85" s="11">
        <v>-0.42909999999999998</v>
      </c>
      <c r="C85" s="11">
        <v>0.21490000000000001</v>
      </c>
      <c r="D85" s="11">
        <f t="shared" si="4"/>
        <v>0.42909999999999998</v>
      </c>
      <c r="E85" s="12">
        <f t="shared" si="5"/>
        <v>1.9967426710097718</v>
      </c>
    </row>
    <row r="86" spans="1:5" ht="13.5" customHeight="1" x14ac:dyDescent="0.3">
      <c r="A86" s="13">
        <v>2024</v>
      </c>
      <c r="B86" s="14">
        <v>-0.2303</v>
      </c>
      <c r="C86" s="14">
        <v>0.33110000000000001</v>
      </c>
      <c r="D86" s="14">
        <f t="shared" si="4"/>
        <v>0.2303</v>
      </c>
      <c r="E86" s="15">
        <f t="shared" si="5"/>
        <v>0.69556025369978858</v>
      </c>
    </row>
    <row r="87" spans="1:5" ht="13.5" customHeight="1" x14ac:dyDescent="0.3">
      <c r="A87" s="10">
        <v>2024</v>
      </c>
      <c r="B87" s="11">
        <v>-0.255</v>
      </c>
      <c r="C87" s="11">
        <v>0.1983</v>
      </c>
      <c r="D87" s="11">
        <f t="shared" si="4"/>
        <v>0.255</v>
      </c>
      <c r="E87" s="12">
        <f t="shared" si="5"/>
        <v>1.285930408472012</v>
      </c>
    </row>
    <row r="88" spans="1:5" ht="13.5" customHeight="1" x14ac:dyDescent="0.3">
      <c r="A88" s="13">
        <v>2024</v>
      </c>
      <c r="B88" s="14">
        <v>0.17660000000000001</v>
      </c>
      <c r="C88" s="14">
        <v>0.2445</v>
      </c>
      <c r="D88" s="14">
        <f t="shared" si="4"/>
        <v>0.17660000000000001</v>
      </c>
      <c r="E88" s="15">
        <f t="shared" si="5"/>
        <v>0.72229038854805727</v>
      </c>
    </row>
    <row r="89" spans="1:5" ht="13.5" customHeight="1" x14ac:dyDescent="0.3">
      <c r="A89" s="10">
        <v>2024</v>
      </c>
      <c r="B89" s="11">
        <v>-0.19450000000000001</v>
      </c>
      <c r="C89" s="11">
        <v>0.19539999999999999</v>
      </c>
      <c r="D89" s="11">
        <f t="shared" si="4"/>
        <v>0.19450000000000001</v>
      </c>
      <c r="E89" s="12">
        <f t="shared" si="5"/>
        <v>0.99539406345957016</v>
      </c>
    </row>
    <row r="90" spans="1:5" ht="13.5" customHeight="1" x14ac:dyDescent="0.3">
      <c r="A90" s="13">
        <v>2024</v>
      </c>
      <c r="B90" s="14">
        <v>0.34289999999999998</v>
      </c>
      <c r="C90" s="14">
        <v>0.1784</v>
      </c>
      <c r="D90" s="14">
        <f t="shared" si="4"/>
        <v>0.34289999999999998</v>
      </c>
      <c r="E90" s="15">
        <f t="shared" si="5"/>
        <v>1.9220852017937218</v>
      </c>
    </row>
    <row r="91" spans="1:5" ht="13.5" customHeight="1" x14ac:dyDescent="0.3">
      <c r="A91" s="10">
        <v>2024</v>
      </c>
      <c r="B91" s="11">
        <v>0.4592</v>
      </c>
      <c r="C91" s="11">
        <v>0.1767</v>
      </c>
      <c r="D91" s="11">
        <f t="shared" si="4"/>
        <v>0.4592</v>
      </c>
      <c r="E91" s="12">
        <f t="shared" si="5"/>
        <v>2.5987549518958688</v>
      </c>
    </row>
    <row r="92" spans="1:5" ht="13.5" customHeight="1" x14ac:dyDescent="0.3">
      <c r="A92" s="13">
        <v>2024</v>
      </c>
      <c r="B92" s="14">
        <v>0.17680000000000001</v>
      </c>
      <c r="C92" s="14">
        <v>0.1792</v>
      </c>
      <c r="D92" s="14">
        <f t="shared" si="4"/>
        <v>0.17680000000000001</v>
      </c>
      <c r="E92" s="15">
        <f t="shared" si="5"/>
        <v>0.9866071428571429</v>
      </c>
    </row>
    <row r="93" spans="1:5" ht="13.5" customHeight="1" x14ac:dyDescent="0.3">
      <c r="A93" s="10">
        <v>2024</v>
      </c>
      <c r="B93" s="11">
        <v>-0.35</v>
      </c>
      <c r="C93" s="11">
        <v>0.20200000000000001</v>
      </c>
      <c r="D93" s="11">
        <f t="shared" si="4"/>
        <v>0.35</v>
      </c>
      <c r="E93" s="12">
        <f t="shared" si="5"/>
        <v>1.7326732673267324</v>
      </c>
    </row>
    <row r="94" spans="1:5" ht="13.5" customHeight="1" x14ac:dyDescent="0.3">
      <c r="A94" s="13">
        <v>2024</v>
      </c>
      <c r="B94" s="14">
        <v>-0.2462</v>
      </c>
      <c r="C94" s="14">
        <v>0.18590000000000001</v>
      </c>
      <c r="D94" s="14">
        <f t="shared" si="4"/>
        <v>0.2462</v>
      </c>
      <c r="E94" s="15">
        <f t="shared" si="5"/>
        <v>1.3243679397525552</v>
      </c>
    </row>
    <row r="95" spans="1:5" ht="13.5" customHeight="1" x14ac:dyDescent="0.3">
      <c r="A95" s="10">
        <v>2024</v>
      </c>
      <c r="B95" s="11">
        <v>0.16489999999999999</v>
      </c>
      <c r="C95" s="11">
        <v>0.182</v>
      </c>
      <c r="D95" s="11">
        <f t="shared" si="4"/>
        <v>0.16489999999999999</v>
      </c>
      <c r="E95" s="12">
        <f t="shared" si="5"/>
        <v>0.90604395604395604</v>
      </c>
    </row>
    <row r="96" spans="1:5" ht="13.5" customHeight="1" x14ac:dyDescent="0.3">
      <c r="A96" s="13">
        <v>2024</v>
      </c>
      <c r="B96" s="14">
        <v>0.1827</v>
      </c>
      <c r="C96" s="14">
        <v>0.1605</v>
      </c>
      <c r="D96" s="14">
        <f t="shared" si="4"/>
        <v>0.1827</v>
      </c>
      <c r="E96" s="15">
        <f t="shared" si="5"/>
        <v>1.1383177570093457</v>
      </c>
    </row>
    <row r="97" spans="1:5" ht="13.5" customHeight="1" x14ac:dyDescent="0.3">
      <c r="A97" s="10">
        <v>2024</v>
      </c>
      <c r="B97" s="11">
        <v>-0.20399999999999999</v>
      </c>
      <c r="C97" s="11">
        <v>0.18770000000000001</v>
      </c>
      <c r="D97" s="11">
        <f t="shared" si="4"/>
        <v>0.20399999999999999</v>
      </c>
      <c r="E97" s="12">
        <f t="shared" si="5"/>
        <v>1.0868407032498668</v>
      </c>
    </row>
    <row r="98" spans="1:5" ht="13.5" customHeight="1" x14ac:dyDescent="0.3">
      <c r="A98" s="13">
        <v>2024</v>
      </c>
      <c r="B98" s="14">
        <v>-0.2339</v>
      </c>
      <c r="C98" s="14">
        <v>0.18049999999999999</v>
      </c>
      <c r="D98" s="14">
        <f t="shared" si="4"/>
        <v>0.2339</v>
      </c>
      <c r="E98" s="15">
        <f t="shared" si="5"/>
        <v>1.2958448753462604</v>
      </c>
    </row>
    <row r="99" spans="1:5" ht="13.5" customHeight="1" x14ac:dyDescent="0.3">
      <c r="A99" s="10">
        <v>2024</v>
      </c>
      <c r="B99" s="11">
        <v>0.19220000000000001</v>
      </c>
      <c r="C99" s="11">
        <v>0.22520000000000001</v>
      </c>
      <c r="D99" s="11">
        <f t="shared" si="4"/>
        <v>0.19220000000000001</v>
      </c>
      <c r="E99" s="12">
        <f t="shared" si="5"/>
        <v>0.85346358792184729</v>
      </c>
    </row>
    <row r="100" spans="1:5" ht="13.5" customHeight="1" x14ac:dyDescent="0.3">
      <c r="A100" s="13">
        <v>2024</v>
      </c>
      <c r="B100" s="14">
        <v>0.2964</v>
      </c>
      <c r="C100" s="14">
        <v>0.20930000000000001</v>
      </c>
      <c r="D100" s="14">
        <f t="shared" si="4"/>
        <v>0.2964</v>
      </c>
      <c r="E100" s="15">
        <f t="shared" si="5"/>
        <v>1.4161490683229812</v>
      </c>
    </row>
    <row r="101" spans="1:5" ht="13.5" customHeight="1" x14ac:dyDescent="0.3">
      <c r="A101" s="10">
        <v>2025</v>
      </c>
      <c r="B101" s="11">
        <v>0.43030000000000002</v>
      </c>
      <c r="C101" s="11">
        <v>0.3019</v>
      </c>
      <c r="D101" s="11">
        <f t="shared" ref="D101:D127" si="6">ABS(B101)</f>
        <v>0.43030000000000002</v>
      </c>
      <c r="E101" s="12">
        <f t="shared" ref="E101:E127" si="7">D101/C101</f>
        <v>1.4253063928453131</v>
      </c>
    </row>
    <row r="102" spans="1:5" ht="13.5" customHeight="1" x14ac:dyDescent="0.3">
      <c r="A102" s="13">
        <v>2025</v>
      </c>
      <c r="B102" s="14">
        <v>0.46929999999999999</v>
      </c>
      <c r="C102" s="14">
        <v>0.2364</v>
      </c>
      <c r="D102" s="14">
        <f t="shared" si="6"/>
        <v>0.46929999999999999</v>
      </c>
      <c r="E102" s="15">
        <f t="shared" si="7"/>
        <v>1.9851945854483926</v>
      </c>
    </row>
    <row r="103" spans="1:5" ht="13.5" customHeight="1" x14ac:dyDescent="0.3">
      <c r="A103" s="10">
        <v>2025</v>
      </c>
      <c r="B103" s="11">
        <v>0.4703</v>
      </c>
      <c r="C103" s="11">
        <v>0.22689999999999999</v>
      </c>
      <c r="D103" s="11">
        <f t="shared" si="6"/>
        <v>0.4703</v>
      </c>
      <c r="E103" s="12">
        <f t="shared" si="7"/>
        <v>2.0727192595857207</v>
      </c>
    </row>
    <row r="104" spans="1:5" ht="13.5" customHeight="1" x14ac:dyDescent="0.3">
      <c r="A104" s="13">
        <v>2025</v>
      </c>
      <c r="B104" s="14">
        <v>0.16120000000000001</v>
      </c>
      <c r="C104" s="14">
        <v>0.31</v>
      </c>
      <c r="D104" s="14">
        <f t="shared" si="6"/>
        <v>0.16120000000000001</v>
      </c>
      <c r="E104" s="15">
        <f t="shared" si="7"/>
        <v>0.52</v>
      </c>
    </row>
    <row r="105" spans="1:5" ht="13.5" customHeight="1" x14ac:dyDescent="0.3">
      <c r="A105" s="10">
        <v>2025</v>
      </c>
      <c r="B105" s="11">
        <v>-0.3054</v>
      </c>
      <c r="C105" s="11">
        <v>0.26029999999999998</v>
      </c>
      <c r="D105" s="11">
        <f t="shared" si="6"/>
        <v>0.3054</v>
      </c>
      <c r="E105" s="12">
        <f t="shared" si="7"/>
        <v>1.1732616212063005</v>
      </c>
    </row>
    <row r="106" spans="1:5" ht="13.5" customHeight="1" x14ac:dyDescent="0.3">
      <c r="A106" s="13">
        <v>2025</v>
      </c>
      <c r="B106" s="14">
        <v>-0.27689999999999998</v>
      </c>
      <c r="C106" s="14">
        <v>0.2908</v>
      </c>
      <c r="D106" s="14">
        <f t="shared" si="6"/>
        <v>0.27689999999999998</v>
      </c>
      <c r="E106" s="15">
        <f t="shared" si="7"/>
        <v>0.95220082530949102</v>
      </c>
    </row>
    <row r="107" spans="1:5" ht="13.5" customHeight="1" x14ac:dyDescent="0.3">
      <c r="A107" s="10">
        <v>2025</v>
      </c>
      <c r="B107" s="11">
        <v>0.2235</v>
      </c>
      <c r="C107" s="11">
        <v>0.26200000000000001</v>
      </c>
      <c r="D107" s="11">
        <f t="shared" si="6"/>
        <v>0.2235</v>
      </c>
      <c r="E107" s="12">
        <f t="shared" si="7"/>
        <v>0.85305343511450382</v>
      </c>
    </row>
    <row r="108" spans="1:5" ht="13.5" customHeight="1" x14ac:dyDescent="0.3">
      <c r="A108" s="13">
        <v>2025</v>
      </c>
      <c r="B108" s="14">
        <v>-0.16900000000000001</v>
      </c>
      <c r="C108" s="14">
        <v>0.2465</v>
      </c>
      <c r="D108" s="14">
        <f t="shared" si="6"/>
        <v>0.16900000000000001</v>
      </c>
      <c r="E108" s="15">
        <f t="shared" si="7"/>
        <v>0.68559837728194728</v>
      </c>
    </row>
    <row r="109" spans="1:5" ht="13.5" customHeight="1" x14ac:dyDescent="0.3">
      <c r="A109" s="10">
        <v>2025</v>
      </c>
      <c r="B109" s="11">
        <v>0.18990000000000001</v>
      </c>
      <c r="C109" s="11">
        <v>0.223</v>
      </c>
      <c r="D109" s="11">
        <f t="shared" si="6"/>
        <v>0.18990000000000001</v>
      </c>
      <c r="E109" s="12">
        <f t="shared" si="7"/>
        <v>0.85156950672645748</v>
      </c>
    </row>
    <row r="110" spans="1:5" ht="13.5" customHeight="1" x14ac:dyDescent="0.3">
      <c r="A110" s="13">
        <v>2025</v>
      </c>
      <c r="B110" s="14">
        <v>0.18770000000000001</v>
      </c>
      <c r="C110" s="14">
        <v>0.21690000000000001</v>
      </c>
      <c r="D110" s="14">
        <f t="shared" si="6"/>
        <v>0.18770000000000001</v>
      </c>
      <c r="E110" s="15">
        <f t="shared" si="7"/>
        <v>0.86537574919317661</v>
      </c>
    </row>
    <row r="111" spans="1:5" ht="13.5" customHeight="1" x14ac:dyDescent="0.3">
      <c r="A111" s="10">
        <v>2025</v>
      </c>
      <c r="B111" s="11">
        <v>-0.2601</v>
      </c>
      <c r="C111" s="11">
        <v>0.22689999999999999</v>
      </c>
      <c r="D111" s="11">
        <f t="shared" si="6"/>
        <v>0.2601</v>
      </c>
      <c r="E111" s="12">
        <f t="shared" si="7"/>
        <v>1.1463199647421771</v>
      </c>
    </row>
    <row r="112" spans="1:5" ht="13.5" customHeight="1" x14ac:dyDescent="0.3">
      <c r="A112" s="13">
        <v>2025</v>
      </c>
      <c r="B112" s="14">
        <v>-0.25480000000000003</v>
      </c>
      <c r="C112" s="14">
        <v>0.21759999999999999</v>
      </c>
      <c r="D112" s="14">
        <f t="shared" si="6"/>
        <v>0.25480000000000003</v>
      </c>
      <c r="E112" s="15">
        <f t="shared" si="7"/>
        <v>1.1709558823529413</v>
      </c>
    </row>
    <row r="113" spans="1:5" ht="13.5" customHeight="1" x14ac:dyDescent="0.3">
      <c r="A113" s="10">
        <v>2025</v>
      </c>
      <c r="B113" s="11">
        <v>-0.157</v>
      </c>
      <c r="C113" s="11">
        <v>0.14860000000000001</v>
      </c>
      <c r="D113" s="11">
        <f t="shared" si="6"/>
        <v>0.157</v>
      </c>
      <c r="E113" s="12">
        <f t="shared" si="7"/>
        <v>1.0565275908479137</v>
      </c>
    </row>
    <row r="114" spans="1:5" ht="13.5" customHeight="1" x14ac:dyDescent="0.3">
      <c r="A114" s="13">
        <v>2025</v>
      </c>
      <c r="B114" s="14">
        <v>0.28510000000000002</v>
      </c>
      <c r="C114" s="14">
        <v>0.16139999999999999</v>
      </c>
      <c r="D114" s="14">
        <f t="shared" si="6"/>
        <v>0.28510000000000002</v>
      </c>
      <c r="E114" s="15">
        <f t="shared" si="7"/>
        <v>1.7664188351920695</v>
      </c>
    </row>
    <row r="115" spans="1:5" ht="13.5" customHeight="1" x14ac:dyDescent="0.3">
      <c r="A115" s="10">
        <v>2025</v>
      </c>
      <c r="B115" s="11">
        <v>0.17549999999999999</v>
      </c>
      <c r="C115" s="11">
        <v>0.19639999999999999</v>
      </c>
      <c r="D115" s="11">
        <f t="shared" si="6"/>
        <v>0.17549999999999999</v>
      </c>
      <c r="E115" s="12">
        <f t="shared" si="7"/>
        <v>0.89358452138492872</v>
      </c>
    </row>
    <row r="116" spans="1:5" ht="13.5" customHeight="1" x14ac:dyDescent="0.3">
      <c r="A116" s="13">
        <v>2025</v>
      </c>
      <c r="B116" s="14">
        <v>0.33850000000000002</v>
      </c>
      <c r="C116" s="14">
        <v>0.14929999999999999</v>
      </c>
      <c r="D116" s="14">
        <f t="shared" si="6"/>
        <v>0.33850000000000002</v>
      </c>
      <c r="E116" s="15">
        <f t="shared" si="7"/>
        <v>2.2672471533824519</v>
      </c>
    </row>
    <row r="117" spans="1:5" ht="13.5" customHeight="1" x14ac:dyDescent="0.3">
      <c r="A117" s="10">
        <v>2025</v>
      </c>
      <c r="B117" s="11">
        <v>-0.27050000000000002</v>
      </c>
      <c r="C117" s="11">
        <v>0.25330000000000003</v>
      </c>
      <c r="D117" s="11">
        <f t="shared" si="6"/>
        <v>0.27050000000000002</v>
      </c>
      <c r="E117" s="12">
        <f t="shared" si="7"/>
        <v>1.0679036715357284</v>
      </c>
    </row>
    <row r="118" spans="1:5" ht="13.5" customHeight="1" x14ac:dyDescent="0.3">
      <c r="A118" s="13">
        <v>2026</v>
      </c>
      <c r="B118" s="14">
        <v>-0.37440000000000001</v>
      </c>
      <c r="C118" s="14">
        <v>0.2346</v>
      </c>
      <c r="D118" s="14">
        <f t="shared" si="6"/>
        <v>0.37440000000000001</v>
      </c>
      <c r="E118" s="15">
        <f t="shared" si="7"/>
        <v>1.5959079283887467</v>
      </c>
    </row>
    <row r="119" spans="1:5" ht="13.5" customHeight="1" x14ac:dyDescent="0.3">
      <c r="A119" s="10">
        <v>2026</v>
      </c>
      <c r="B119" s="11">
        <v>-0.20480000000000001</v>
      </c>
      <c r="C119" s="11">
        <v>0.2157</v>
      </c>
      <c r="D119" s="11">
        <f t="shared" si="6"/>
        <v>0.20480000000000001</v>
      </c>
      <c r="E119" s="12">
        <f t="shared" si="7"/>
        <v>0.94946685210941129</v>
      </c>
    </row>
    <row r="120" spans="1:5" ht="13.5" customHeight="1" x14ac:dyDescent="0.3">
      <c r="A120" s="13">
        <v>2026</v>
      </c>
      <c r="B120" s="14">
        <v>0.60899999999999999</v>
      </c>
      <c r="C120" s="14">
        <v>0.29699999999999999</v>
      </c>
      <c r="D120" s="14">
        <f t="shared" si="6"/>
        <v>0.60899999999999999</v>
      </c>
      <c r="E120" s="15">
        <f t="shared" si="7"/>
        <v>2.0505050505050506</v>
      </c>
    </row>
    <row r="121" spans="1:5" ht="13.5" customHeight="1" x14ac:dyDescent="0.3">
      <c r="A121" s="10">
        <v>2026</v>
      </c>
      <c r="B121" s="11">
        <v>0.65229999999999999</v>
      </c>
      <c r="C121" s="11">
        <v>0.41289999999999999</v>
      </c>
      <c r="D121" s="11">
        <f t="shared" si="6"/>
        <v>0.65229999999999999</v>
      </c>
      <c r="E121" s="12">
        <f t="shared" si="7"/>
        <v>1.5798014046984743</v>
      </c>
    </row>
    <row r="122" spans="1:5" ht="13.5" customHeight="1" x14ac:dyDescent="0.3">
      <c r="A122" s="13">
        <v>2026</v>
      </c>
      <c r="B122" s="14">
        <v>-0.31140000000000001</v>
      </c>
      <c r="C122" s="14">
        <v>0.54900000000000004</v>
      </c>
      <c r="D122" s="14">
        <f t="shared" si="6"/>
        <v>0.31140000000000001</v>
      </c>
      <c r="E122" s="15">
        <f t="shared" si="7"/>
        <v>0.5672131147540983</v>
      </c>
    </row>
    <row r="123" spans="1:5" ht="13.5" customHeight="1" x14ac:dyDescent="0.3">
      <c r="A123" s="10">
        <v>2026</v>
      </c>
      <c r="B123" s="11">
        <v>-0.28660000000000002</v>
      </c>
      <c r="C123" s="11">
        <v>0.42249999999999999</v>
      </c>
      <c r="D123" s="11">
        <f t="shared" si="6"/>
        <v>0.28660000000000002</v>
      </c>
      <c r="E123" s="12">
        <f t="shared" si="7"/>
        <v>0.67834319526627229</v>
      </c>
    </row>
    <row r="124" spans="1:5" ht="13.5" customHeight="1" x14ac:dyDescent="0.3">
      <c r="A124" s="13">
        <v>2026</v>
      </c>
      <c r="B124" s="14">
        <v>0.1575</v>
      </c>
      <c r="C124" s="14">
        <v>0.32490000000000002</v>
      </c>
      <c r="D124" s="14">
        <f t="shared" si="6"/>
        <v>0.1575</v>
      </c>
      <c r="E124" s="15">
        <f t="shared" si="7"/>
        <v>0.48476454293628807</v>
      </c>
    </row>
    <row r="125" spans="1:5" ht="13.5" customHeight="1" x14ac:dyDescent="0.3">
      <c r="A125" s="10">
        <v>2026</v>
      </c>
      <c r="B125" s="11">
        <v>-0.18740000000000001</v>
      </c>
      <c r="C125" s="11">
        <v>0.2611</v>
      </c>
      <c r="D125" s="11">
        <f t="shared" si="6"/>
        <v>0.18740000000000001</v>
      </c>
      <c r="E125" s="12">
        <f t="shared" si="7"/>
        <v>0.7177326694752969</v>
      </c>
    </row>
    <row r="126" spans="1:5" ht="13.5" customHeight="1" x14ac:dyDescent="0.3">
      <c r="A126" s="13">
        <v>2026</v>
      </c>
      <c r="B126" s="14">
        <v>-0.17050000000000001</v>
      </c>
      <c r="C126" s="14">
        <v>0.18160000000000001</v>
      </c>
      <c r="D126" s="14">
        <f t="shared" si="6"/>
        <v>0.17050000000000001</v>
      </c>
      <c r="E126" s="15">
        <f t="shared" si="7"/>
        <v>0.93887665198237891</v>
      </c>
    </row>
    <row r="127" spans="1:5" ht="13.5" customHeight="1" x14ac:dyDescent="0.3">
      <c r="A127" s="10">
        <v>2026</v>
      </c>
      <c r="B127" s="11">
        <v>0.18759999999999999</v>
      </c>
      <c r="C127" s="11">
        <v>0.16439999999999999</v>
      </c>
      <c r="D127" s="11">
        <f t="shared" si="6"/>
        <v>0.18759999999999999</v>
      </c>
      <c r="E127" s="12">
        <f t="shared" si="7"/>
        <v>1.1411192214111923</v>
      </c>
    </row>
    <row r="130" spans="1:6" ht="19.5" customHeight="1" x14ac:dyDescent="0.3">
      <c r="A130" s="1" t="s">
        <v>30</v>
      </c>
    </row>
    <row r="131" spans="1:6" ht="25.5" customHeight="1" x14ac:dyDescent="0.3">
      <c r="A131" s="2" t="s">
        <v>31</v>
      </c>
      <c r="B131" s="2" t="s">
        <v>32</v>
      </c>
      <c r="C131" s="2" t="s">
        <v>33</v>
      </c>
      <c r="D131" s="2" t="s">
        <v>34</v>
      </c>
      <c r="E131" s="2" t="s">
        <v>35</v>
      </c>
      <c r="F131" s="2" t="s">
        <v>36</v>
      </c>
    </row>
    <row r="132" spans="1:6" ht="13.5" customHeight="1" x14ac:dyDescent="0.3">
      <c r="A132" s="16" t="s">
        <v>37</v>
      </c>
      <c r="B132" s="17">
        <f>COUNTIFS(D5:D127,"&gt;="&amp;0.15,D5:D127,"&lt;"&amp;0.2)</f>
        <v>42</v>
      </c>
      <c r="C132" s="18">
        <f>AVERAGEIFS(D5:D127,D5:D127,"&gt;="&amp;0.15,D5:D127,"&lt;"&amp;0.2)</f>
        <v>0.17562619047619041</v>
      </c>
      <c r="D132" s="18">
        <f>AVERAGEIFS(C5:C127,D5:D127,"&gt;="&amp;0.15,D5:D127,"&lt;"&amp;0.2)</f>
        <v>0.21009047619047619</v>
      </c>
      <c r="E132" s="19">
        <f>AVERAGEIFS(E5:E127,D5:D127,"&gt;="&amp;0.15,D5:D127,"&lt;"&amp;0.2)</f>
        <v>0.91175104485099734</v>
      </c>
      <c r="F132" s="20">
        <f>C132/D132</f>
        <v>0.83595503071239119</v>
      </c>
    </row>
    <row r="133" spans="1:6" ht="13.5" customHeight="1" x14ac:dyDescent="0.3">
      <c r="A133" s="21" t="s">
        <v>38</v>
      </c>
      <c r="B133" s="22">
        <f>COUNTIFS(D5:D127,"&gt;="&amp;0.2,D5:D127,"&lt;"&amp;0.25)</f>
        <v>26</v>
      </c>
      <c r="C133" s="23">
        <f>AVERAGEIFS(D5:D127,D5:D127,"&gt;="&amp;0.2,D5:D127,"&lt;"&amp;0.25)</f>
        <v>0.22343461538461534</v>
      </c>
      <c r="D133" s="23">
        <f>AVERAGEIFS(C5:C127,D5:D127,"&gt;="&amp;0.2,D5:D127,"&lt;"&amp;0.25)</f>
        <v>0.21355000000000002</v>
      </c>
      <c r="E133" s="24">
        <f>AVERAGEIFS(E5:E127,D5:D127,"&gt;="&amp;0.2,D5:D127,"&lt;"&amp;0.25)</f>
        <v>1.1036244387846672</v>
      </c>
      <c r="F133" s="25">
        <f>C133/D133</f>
        <v>1.0462871242548131</v>
      </c>
    </row>
    <row r="134" spans="1:6" ht="13.5" customHeight="1" x14ac:dyDescent="0.3">
      <c r="A134" s="16" t="s">
        <v>39</v>
      </c>
      <c r="B134" s="17">
        <f>COUNTIFS(D5:D127,"&gt;="&amp;0.25,D5:D127,"&lt;"&amp;0.3)</f>
        <v>17</v>
      </c>
      <c r="C134" s="18">
        <f>AVERAGEIFS(D5:D127,D5:D127,"&gt;="&amp;0.25,D5:D127,"&lt;"&amp;0.3)</f>
        <v>0.27347058823529413</v>
      </c>
      <c r="D134" s="18">
        <f>AVERAGEIFS(C5:C127,D5:D127,"&gt;="&amp;0.25,D5:D127,"&lt;"&amp;0.3)</f>
        <v>0.27272941176470589</v>
      </c>
      <c r="E134" s="19">
        <f>AVERAGEIFS(E5:E127,D5:D127,"&gt;="&amp;0.25,D5:D127,"&lt;"&amp;0.3)</f>
        <v>1.0640056880444668</v>
      </c>
      <c r="F134" s="20">
        <f>C134/D134</f>
        <v>1.0027176257441119</v>
      </c>
    </row>
    <row r="135" spans="1:6" ht="13.5" customHeight="1" x14ac:dyDescent="0.3">
      <c r="A135" s="21" t="s">
        <v>40</v>
      </c>
      <c r="B135" s="22">
        <f>COUNTIFS(D5:D127,"&gt;="&amp;0.3,D5:D127,"&lt;"&amp;10)</f>
        <v>38</v>
      </c>
      <c r="C135" s="23">
        <f>AVERAGEIFS(D5:D127,D5:D127,"&gt;="&amp;0.3,D5:D127,"&lt;"&amp;10)</f>
        <v>0.43265263157894723</v>
      </c>
      <c r="D135" s="23">
        <f>AVERAGEIFS(C5:C127,D5:D127,"&gt;="&amp;0.3,D5:D127,"&lt;"&amp;10)</f>
        <v>0.2586763157894737</v>
      </c>
      <c r="E135" s="24">
        <f>AVERAGEIFS(E5:E127,D5:D127,"&gt;="&amp;0.3,D5:D127,"&lt;"&amp;10)</f>
        <v>1.7892978838579559</v>
      </c>
      <c r="F135" s="25">
        <f>C135/D135</f>
        <v>1.6725637608472277</v>
      </c>
    </row>
    <row r="137" spans="1:6" ht="19.5" customHeight="1" x14ac:dyDescent="0.3">
      <c r="A137" s="26" t="s">
        <v>41</v>
      </c>
      <c r="B137" s="27">
        <f>CORREL(D5:D127,C5:C127)</f>
        <v>0.29945112977501848</v>
      </c>
    </row>
    <row r="138" spans="1:6" ht="19.5" customHeight="1" x14ac:dyDescent="0.3">
      <c r="A138" s="26" t="s">
        <v>42</v>
      </c>
      <c r="B138" s="28">
        <f>INTERCEPT(C5:C127,D5:D127)</f>
        <v>0.18662725399495969</v>
      </c>
      <c r="C138" s="29">
        <f>SLOPE(C5:C127,D5:D127)</f>
        <v>0.17175722992641851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K78"/>
  <sheetViews>
    <sheetView showGridLines="0" topLeftCell="A7" zoomScaleNormal="100" workbookViewId="0">
      <selection activeCell="E14" sqref="E14"/>
    </sheetView>
  </sheetViews>
  <sheetFormatPr defaultColWidth="8.6640625" defaultRowHeight="14.4" x14ac:dyDescent="0.3"/>
  <cols>
    <col min="1" max="5" width="14" customWidth="1"/>
    <col min="6" max="6" width="42" customWidth="1"/>
    <col min="7" max="12" width="14" customWidth="1"/>
  </cols>
  <sheetData>
    <row r="1" spans="1:11" ht="30" customHeight="1" x14ac:dyDescent="0.3">
      <c r="A1" s="142" t="s">
        <v>43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2" spans="1:11" ht="18" customHeight="1" x14ac:dyDescent="0.3">
      <c r="A2" s="143" t="s">
        <v>44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14.25" customHeight="1" x14ac:dyDescent="0.3">
      <c r="A3" s="30" t="s">
        <v>45</v>
      </c>
      <c r="C3" s="31">
        <v>2000000</v>
      </c>
      <c r="D3" s="31">
        <v>7500000</v>
      </c>
      <c r="E3" s="32">
        <v>20000000</v>
      </c>
      <c r="F3" s="33" t="s">
        <v>46</v>
      </c>
    </row>
    <row r="4" spans="1:11" ht="25.5" customHeight="1" x14ac:dyDescent="0.3">
      <c r="A4" s="2" t="s">
        <v>47</v>
      </c>
      <c r="B4" s="2" t="s">
        <v>26</v>
      </c>
      <c r="C4" s="2" t="s">
        <v>48</v>
      </c>
      <c r="D4" s="2" t="s">
        <v>49</v>
      </c>
      <c r="E4" s="2" t="s">
        <v>50</v>
      </c>
      <c r="F4" s="2" t="s">
        <v>51</v>
      </c>
    </row>
    <row r="5" spans="1:11" ht="39.75" customHeight="1" x14ac:dyDescent="0.3">
      <c r="A5" s="34" t="s">
        <v>52</v>
      </c>
      <c r="B5" s="35">
        <v>0.3</v>
      </c>
      <c r="C5" s="36">
        <f>'Margin-Move Link'!D135</f>
        <v>0.2586763157894737</v>
      </c>
      <c r="D5" s="37">
        <v>2</v>
      </c>
      <c r="E5" s="35">
        <f>B5/C5</f>
        <v>1.1597505518988371</v>
      </c>
      <c r="F5" s="38" t="s">
        <v>53</v>
      </c>
    </row>
    <row r="6" spans="1:11" ht="39.75" customHeight="1" x14ac:dyDescent="0.3">
      <c r="A6" s="39" t="s">
        <v>54</v>
      </c>
      <c r="B6" s="40">
        <v>0.18</v>
      </c>
      <c r="C6" s="41">
        <f>'Margin-Move Link'!D134</f>
        <v>0.27272941176470589</v>
      </c>
      <c r="D6" s="42">
        <v>2</v>
      </c>
      <c r="E6" s="40">
        <f>B6/C6</f>
        <v>0.65999482357001116</v>
      </c>
      <c r="F6" s="43" t="s">
        <v>55</v>
      </c>
    </row>
    <row r="7" spans="1:11" ht="39.75" customHeight="1" x14ac:dyDescent="0.3">
      <c r="A7" s="34" t="s">
        <v>56</v>
      </c>
      <c r="B7" s="35">
        <v>0.15</v>
      </c>
      <c r="C7" s="36">
        <v>0.28000000000000003</v>
      </c>
      <c r="D7" s="37">
        <v>1</v>
      </c>
      <c r="E7" s="35">
        <f>B7/C7</f>
        <v>0.5357142857142857</v>
      </c>
      <c r="F7" s="38" t="s">
        <v>57</v>
      </c>
    </row>
    <row r="9" spans="1:11" ht="19.5" customHeight="1" x14ac:dyDescent="0.3">
      <c r="A9" s="144" t="s">
        <v>58</v>
      </c>
      <c r="B9" s="144"/>
      <c r="C9" s="144"/>
      <c r="D9" s="144"/>
      <c r="E9" s="144"/>
      <c r="F9" s="144"/>
    </row>
    <row r="10" spans="1:11" ht="25.5" customHeight="1" x14ac:dyDescent="0.3">
      <c r="A10" s="2" t="s">
        <v>25</v>
      </c>
      <c r="B10" s="2" t="str">
        <f>IF($C$3&gt;=10000000,"₹"&amp;TEXT($C$3/10000000,"0.##")&amp;"Cr","₹"&amp;TEXT($C$3/100000,"0.##")&amp;"L")&amp;" start"</f>
        <v>₹20.L start</v>
      </c>
      <c r="C10" s="2" t="str">
        <f>IF($D$3&gt;=10000000,"₹"&amp;TEXT($D$3/10000000,"0.##")&amp;"Cr","₹"&amp;TEXT($D$3/100000,"0.##")&amp;"L")&amp;" start"</f>
        <v>₹75.L start</v>
      </c>
      <c r="D10" s="2" t="str">
        <f>IF($E$3&gt;=10000000,"₹"&amp;TEXT($E$3/10000000,"0.##")&amp;"Cr","₹"&amp;TEXT($E$3/100000,"0.##")&amp;"L")&amp;" start"</f>
        <v>₹2.Cr start</v>
      </c>
    </row>
    <row r="11" spans="1:11" ht="13.5" customHeight="1" x14ac:dyDescent="0.3">
      <c r="A11" s="10">
        <v>1</v>
      </c>
      <c r="B11" s="44">
        <f>ROUND(0.01*$C$3,0)</f>
        <v>20000</v>
      </c>
      <c r="C11" s="44">
        <f>ROUND(0.01*$D$3,0)</f>
        <v>75000</v>
      </c>
      <c r="D11" s="45">
        <f>ROUND(0.01*$E$3,0)</f>
        <v>200000</v>
      </c>
    </row>
    <row r="12" spans="1:11" ht="13.5" customHeight="1" x14ac:dyDescent="0.3">
      <c r="A12" s="13">
        <v>2</v>
      </c>
      <c r="B12" s="46">
        <f>ROUND(0.01*$C$3,0)</f>
        <v>20000</v>
      </c>
      <c r="C12" s="46">
        <f>ROUND(0.01*$D$3,0)</f>
        <v>75000</v>
      </c>
      <c r="D12" s="47">
        <f>ROUND(0.01*$E$3,0)</f>
        <v>200000</v>
      </c>
    </row>
    <row r="13" spans="1:11" ht="13.5" customHeight="1" x14ac:dyDescent="0.3">
      <c r="A13" s="10">
        <v>3</v>
      </c>
      <c r="B13" s="44">
        <f>ROUND(0.025*$C$3,0)</f>
        <v>50000</v>
      </c>
      <c r="C13" s="45">
        <f>ROUND(0.025*$D$3,0)</f>
        <v>187500</v>
      </c>
      <c r="D13" s="45">
        <f>ROUND(0.025*$E$3,0)</f>
        <v>500000</v>
      </c>
    </row>
    <row r="14" spans="1:11" ht="13.5" customHeight="1" x14ac:dyDescent="0.3">
      <c r="A14" s="13">
        <v>4</v>
      </c>
      <c r="B14" s="46">
        <f>ROUND(0.025*$C$3,0)</f>
        <v>50000</v>
      </c>
      <c r="C14" s="47">
        <f>ROUND(0.025*$D$3,0)</f>
        <v>187500</v>
      </c>
      <c r="D14" s="47">
        <f>ROUND(0.025*$E$3,0)</f>
        <v>500000</v>
      </c>
    </row>
    <row r="15" spans="1:11" ht="13.5" customHeight="1" x14ac:dyDescent="0.3">
      <c r="A15" s="10">
        <v>5</v>
      </c>
      <c r="B15" s="45">
        <f>ROUND(0.05*$C$3,0)</f>
        <v>100000</v>
      </c>
      <c r="C15" s="45">
        <f>ROUND(0.05*$D$3,0)</f>
        <v>375000</v>
      </c>
      <c r="D15" s="45">
        <f>ROUND(0.05*$E$3,0)</f>
        <v>1000000</v>
      </c>
    </row>
    <row r="16" spans="1:11" ht="13.5" customHeight="1" x14ac:dyDescent="0.3">
      <c r="A16" s="13">
        <v>6</v>
      </c>
      <c r="B16" s="47">
        <f>ROUND(0.05*$C$3,0)</f>
        <v>100000</v>
      </c>
      <c r="C16" s="47">
        <f>ROUND(0.05*$D$3,0)</f>
        <v>375000</v>
      </c>
      <c r="D16" s="47">
        <f>ROUND(0.05*$E$3,0)</f>
        <v>1000000</v>
      </c>
    </row>
    <row r="17" spans="1:11" ht="13.5" customHeight="1" x14ac:dyDescent="0.3">
      <c r="A17" s="10">
        <v>7</v>
      </c>
      <c r="B17" s="45">
        <f>ROUND(0.05*$C$3,0)</f>
        <v>100000</v>
      </c>
      <c r="C17" s="45">
        <f>ROUND(0.05*$D$3,0)</f>
        <v>375000</v>
      </c>
      <c r="D17" s="45">
        <f>ROUND(0.05*$E$3,0)</f>
        <v>1000000</v>
      </c>
    </row>
    <row r="18" spans="1:11" ht="13.5" customHeight="1" x14ac:dyDescent="0.3">
      <c r="A18" s="13">
        <v>8</v>
      </c>
      <c r="B18" s="47">
        <f t="shared" ref="B18:B25" si="0">ROUND(0.1*$C$3,0)</f>
        <v>200000</v>
      </c>
      <c r="C18" s="47">
        <f t="shared" ref="C18:C25" si="1">ROUND(0.1*$D$3,0)</f>
        <v>750000</v>
      </c>
      <c r="D18" s="47">
        <f t="shared" ref="D18:D25" si="2">ROUND(0.1*$E$3,0)</f>
        <v>2000000</v>
      </c>
    </row>
    <row r="19" spans="1:11" ht="13.5" customHeight="1" x14ac:dyDescent="0.3">
      <c r="A19" s="10">
        <v>9</v>
      </c>
      <c r="B19" s="45">
        <f t="shared" si="0"/>
        <v>200000</v>
      </c>
      <c r="C19" s="45">
        <f t="shared" si="1"/>
        <v>750000</v>
      </c>
      <c r="D19" s="45">
        <f t="shared" si="2"/>
        <v>2000000</v>
      </c>
    </row>
    <row r="20" spans="1:11" ht="13.5" customHeight="1" x14ac:dyDescent="0.3">
      <c r="A20" s="13">
        <v>10</v>
      </c>
      <c r="B20" s="47">
        <f t="shared" si="0"/>
        <v>200000</v>
      </c>
      <c r="C20" s="47">
        <f t="shared" si="1"/>
        <v>750000</v>
      </c>
      <c r="D20" s="47">
        <f t="shared" si="2"/>
        <v>2000000</v>
      </c>
    </row>
    <row r="21" spans="1:11" ht="13.5" customHeight="1" x14ac:dyDescent="0.3">
      <c r="A21" s="10">
        <v>11</v>
      </c>
      <c r="B21" s="45">
        <f t="shared" si="0"/>
        <v>200000</v>
      </c>
      <c r="C21" s="45">
        <f t="shared" si="1"/>
        <v>750000</v>
      </c>
      <c r="D21" s="45">
        <f t="shared" si="2"/>
        <v>2000000</v>
      </c>
    </row>
    <row r="22" spans="1:11" ht="13.5" customHeight="1" x14ac:dyDescent="0.3">
      <c r="A22" s="13">
        <v>12</v>
      </c>
      <c r="B22" s="47">
        <f t="shared" si="0"/>
        <v>200000</v>
      </c>
      <c r="C22" s="47">
        <f t="shared" si="1"/>
        <v>750000</v>
      </c>
      <c r="D22" s="47">
        <f t="shared" si="2"/>
        <v>2000000</v>
      </c>
    </row>
    <row r="23" spans="1:11" ht="13.5" customHeight="1" x14ac:dyDescent="0.3">
      <c r="A23" s="10">
        <v>13</v>
      </c>
      <c r="B23" s="45">
        <f t="shared" si="0"/>
        <v>200000</v>
      </c>
      <c r="C23" s="45">
        <f t="shared" si="1"/>
        <v>750000</v>
      </c>
      <c r="D23" s="45">
        <f t="shared" si="2"/>
        <v>2000000</v>
      </c>
    </row>
    <row r="24" spans="1:11" ht="13.5" customHeight="1" x14ac:dyDescent="0.3">
      <c r="A24" s="13">
        <v>14</v>
      </c>
      <c r="B24" s="47">
        <f t="shared" si="0"/>
        <v>200000</v>
      </c>
      <c r="C24" s="47">
        <f t="shared" si="1"/>
        <v>750000</v>
      </c>
      <c r="D24" s="47">
        <f t="shared" si="2"/>
        <v>2000000</v>
      </c>
    </row>
    <row r="25" spans="1:11" ht="13.5" customHeight="1" x14ac:dyDescent="0.3">
      <c r="A25" s="10">
        <v>15</v>
      </c>
      <c r="B25" s="45">
        <f t="shared" si="0"/>
        <v>200000</v>
      </c>
      <c r="C25" s="45">
        <f t="shared" si="1"/>
        <v>750000</v>
      </c>
      <c r="D25" s="45">
        <f t="shared" si="2"/>
        <v>2000000</v>
      </c>
    </row>
    <row r="27" spans="1:11" ht="19.5" customHeight="1" x14ac:dyDescent="0.3">
      <c r="A27" s="144" t="s">
        <v>59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</row>
    <row r="28" spans="1:11" ht="25.5" customHeight="1" x14ac:dyDescent="0.3">
      <c r="A28" s="2" t="s">
        <v>60</v>
      </c>
      <c r="B28" s="2" t="s">
        <v>25</v>
      </c>
      <c r="C28" s="2" t="str">
        <f>"BULL "&amp;IF($C$3&gt;=10000000,"₹"&amp;TEXT($C$3/10000000,"0.##")&amp;"Cr","₹"&amp;TEXT($C$3/100000,"0.##")&amp;"L")</f>
        <v>BULL ₹20.L</v>
      </c>
      <c r="D28" s="2" t="str">
        <f>"BULL "&amp;IF($D$3&gt;=10000000,"₹"&amp;TEXT($D$3/10000000,"0.##")&amp;"Cr","₹"&amp;TEXT($D$3/100000,"0.##")&amp;"L")</f>
        <v>BULL ₹75.L</v>
      </c>
      <c r="E28" s="2" t="str">
        <f>"BULL "&amp;IF($E$3&gt;=10000000,"₹"&amp;TEXT($E$3/10000000,"0.##")&amp;"Cr","₹"&amp;TEXT($E$3/100000,"0.##")&amp;"L")</f>
        <v>BULL ₹2.Cr</v>
      </c>
      <c r="F28" s="2" t="str">
        <f>"BASE "&amp;IF($C$3&gt;=10000000,"₹"&amp;TEXT($C$3/10000000,"0.##")&amp;"Cr","₹"&amp;TEXT($C$3/100000,"0.##")&amp;"L")</f>
        <v>BASE ₹20.L</v>
      </c>
      <c r="G28" s="2" t="str">
        <f>"BASE "&amp;IF($D$3&gt;=10000000,"₹"&amp;TEXT($D$3/10000000,"0.##")&amp;"Cr","₹"&amp;TEXT($D$3/100000,"0.##")&amp;"L")</f>
        <v>BASE ₹75.L</v>
      </c>
      <c r="H28" s="2" t="str">
        <f>"BASE "&amp;IF($E$3&gt;=10000000,"₹"&amp;TEXT($E$3/10000000,"0.##")&amp;"Cr","₹"&amp;TEXT($E$3/100000,"0.##")&amp;"L")</f>
        <v>BASE ₹2.Cr</v>
      </c>
      <c r="I28" s="2" t="str">
        <f>"BEAR "&amp;IF($C$3&gt;=10000000,"₹"&amp;TEXT($C$3/10000000,"0.##")&amp;"Cr","₹"&amp;TEXT($C$3/100000,"0.##")&amp;"L")</f>
        <v>BEAR ₹20.L</v>
      </c>
      <c r="J28" s="2" t="str">
        <f>"BEAR "&amp;IF($D$3&gt;=10000000,"₹"&amp;TEXT($D$3/10000000,"0.##")&amp;"Cr","₹"&amp;TEXT($D$3/100000,"0.##")&amp;"L")</f>
        <v>BEAR ₹75.L</v>
      </c>
      <c r="K28" s="2" t="str">
        <f>"BEAR "&amp;IF($E$3&gt;=10000000,"₹"&amp;TEXT($E$3/10000000,"0.##")&amp;"Cr","₹"&amp;TEXT($E$3/100000,"0.##")&amp;"L")</f>
        <v>BEAR ₹2.Cr</v>
      </c>
    </row>
    <row r="29" spans="1:11" ht="13.5" customHeight="1" x14ac:dyDescent="0.3">
      <c r="A29" s="10">
        <v>1</v>
      </c>
      <c r="B29" s="48">
        <f t="shared" ref="B29:B58" si="3">ROUNDUP(A29/2,0)</f>
        <v>1</v>
      </c>
      <c r="C29" s="45">
        <f>$C$3+IF(OR($D$5=2,MOD(A29,2)=1),1,0)*(MIN('Engine Inputs'!$B$12*$C$3/$C$5,'Engine Inputs'!$B$9)*($B$5-'Engine Inputs'!$B$5-'Engine Inputs'!$B$6-2*'Engine Inputs'!$B$7*SQRT(MIN('Engine Inputs'!$B$12*$C$3/$C$5,'Engine Inputs'!$B$9)/'Engine Inputs'!$B$8))+MAX($C$3-MIN('Engine Inputs'!$B$12*$C$3/$C$5,'Engine Inputs'!$B$9)*$C$5,0)*'Engine Inputs'!$B$10/$D$5)*(1-'Engine Inputs'!$B$4)+IF($D$5=1,(1-IF(OR($D$5=2,MOD(A29,2)=1),1,0))*$C$3*'Engine Inputs'!$B$10*(1-'Engine Inputs'!$B$4)/2,0)-IF(MOD(A29,2)=0,INDEX($B$11:$D$25,B29,1)*(1-'Engine Inputs'!$B$4),0)</f>
        <v>3698694.9667537715</v>
      </c>
      <c r="D29" s="49">
        <f>$D$3+IF(OR($D$5=2,MOD(A29,2)=1),1,0)*(MIN('Engine Inputs'!$B$12*$D$3/$C$5,'Engine Inputs'!$B$9)*($B$5-'Engine Inputs'!$B$5-'Engine Inputs'!$B$6-2*'Engine Inputs'!$B$7*SQRT(MIN('Engine Inputs'!$B$12*$D$3/$C$5,'Engine Inputs'!$B$9)/'Engine Inputs'!$B$8))+MAX($D$3-MIN('Engine Inputs'!$B$12*$D$3/$C$5,'Engine Inputs'!$B$9)*$C$5,0)*'Engine Inputs'!$B$10/$D$5)*(1-'Engine Inputs'!$B$4)+IF($D$5=1,(1-IF(OR($D$5=2,MOD(A29,2)=1),1,0))*$D$3*'Engine Inputs'!$B$10*(1-'Engine Inputs'!$B$4)/2,0)-IF(MOD(A29,2)=0,INDEX($B$11:$D$25,B29,2)*(1-'Engine Inputs'!$B$4),0)</f>
        <v>13853832.861674152</v>
      </c>
      <c r="E29" s="49">
        <f>$E$3+IF(OR($D$5=2,MOD(A29,2)=1),1,0)*(MIN('Engine Inputs'!$B$12*$E$3/$C$5,'Engine Inputs'!$B$9)*($B$5-'Engine Inputs'!$B$5-'Engine Inputs'!$B$6-2*'Engine Inputs'!$B$7*SQRT(MIN('Engine Inputs'!$B$12*$E$3/$C$5,'Engine Inputs'!$B$9)/'Engine Inputs'!$B$8))+MAX($E$3-MIN('Engine Inputs'!$B$12*$E$3/$C$5,'Engine Inputs'!$B$9)*$C$5,0)*'Engine Inputs'!$B$10/$D$5)*(1-'Engine Inputs'!$B$4)+IF($D$5=1,(1-IF(OR($D$5=2,MOD(A29,2)=1),1,0))*$E$3*'Engine Inputs'!$B$10*(1-'Engine Inputs'!$B$4)/2,0)-IF(MOD(A29,2)=0,INDEX($B$11:$D$25,B29,3)*(1-'Engine Inputs'!$B$4),0)</f>
        <v>36886753.540611669</v>
      </c>
      <c r="F29" s="45">
        <f>$C$3+IF(OR($D$6=2,MOD(A29,2)=1),1,0)*(MIN('Engine Inputs'!$B$12*$C$3/$C$6,'Engine Inputs'!$B$9)*($B$6-'Engine Inputs'!$B$5-'Engine Inputs'!$B$6-2*'Engine Inputs'!$B$7*SQRT(MIN('Engine Inputs'!$B$12*$C$3/$C$6,'Engine Inputs'!$B$9)/'Engine Inputs'!$B$8))+MAX($C$3-MIN('Engine Inputs'!$B$12*$C$3/$C$6,'Engine Inputs'!$B$9)*$C$6,0)*'Engine Inputs'!$B$10/$D$6)*(1-'Engine Inputs'!$B$4)+IF($D$6=1,(1-IF(OR($D$6=2,MOD(A29,2)=1),1,0))*$C$3*'Engine Inputs'!$B$10*(1-'Engine Inputs'!$B$4)/2,0)-IF(MOD(A29,2)=0,INDEX($B$11:$D$25,B29,1)*(1-'Engine Inputs'!$B$4),0)</f>
        <v>2952763.5631018896</v>
      </c>
      <c r="G29" s="49">
        <f>$D$3+IF(OR($D$6=2,MOD(A29,2)=1),1,0)*(MIN('Engine Inputs'!$B$12*$D$3/$C$6,'Engine Inputs'!$B$9)*($B$6-'Engine Inputs'!$B$5-'Engine Inputs'!$B$6-2*'Engine Inputs'!$B$7*SQRT(MIN('Engine Inputs'!$B$12*$D$3/$C$6,'Engine Inputs'!$B$9)/'Engine Inputs'!$B$8))+MAX($D$3-MIN('Engine Inputs'!$B$12*$D$3/$C$6,'Engine Inputs'!$B$9)*$C$6,0)*'Engine Inputs'!$B$10/$D$6)*(1-'Engine Inputs'!$B$4)+IF($D$6=1,(1-IF(OR($D$6=2,MOD(A29,2)=1),1,0))*$D$3*'Engine Inputs'!$B$10*(1-'Engine Inputs'!$B$4)/2,0)-IF(MOD(A29,2)=0,INDEX($B$11:$D$25,B29,2)*(1-'Engine Inputs'!$B$4),0)</f>
        <v>11057831.537106678</v>
      </c>
      <c r="H29" s="49">
        <f>$E$3+IF(OR($D$6=2,MOD(A29,2)=1),1,0)*(MIN('Engine Inputs'!$B$12*$E$3/$C$6,'Engine Inputs'!$B$9)*($B$6-'Engine Inputs'!$B$5-'Engine Inputs'!$B$6-2*'Engine Inputs'!$B$7*SQRT(MIN('Engine Inputs'!$B$12*$E$3/$C$6,'Engine Inputs'!$B$9)/'Engine Inputs'!$B$8))+MAX($E$3-MIN('Engine Inputs'!$B$12*$E$3/$C$6,'Engine Inputs'!$B$9)*$C$6,0)*'Engine Inputs'!$B$10/$D$6)*(1-'Engine Inputs'!$B$4)+IF($D$6=1,(1-IF(OR($D$6=2,MOD(A29,2)=1),1,0))*$E$3*'Engine Inputs'!$B$10*(1-'Engine Inputs'!$B$4)/2,0)-IF(MOD(A29,2)=0,INDEX($B$11:$D$25,B29,3)*(1-'Engine Inputs'!$B$4),0)</f>
        <v>29435083.170108728</v>
      </c>
      <c r="I29" s="45">
        <f>$C$3+IF(OR($D$7=2,MOD(A29,2)=1),1,0)*(MIN('Engine Inputs'!$B$12*$C$3/$C$7,'Engine Inputs'!$B$9)*($B$7-'Engine Inputs'!$B$5-'Engine Inputs'!$B$6-2*'Engine Inputs'!$B$7*SQRT(MIN('Engine Inputs'!$B$12*$C$3/$C$7,'Engine Inputs'!$B$9)/'Engine Inputs'!$B$8))+MAX($C$3-MIN('Engine Inputs'!$B$12*$C$3/$C$7,'Engine Inputs'!$B$9)*$C$7,0)*'Engine Inputs'!$B$10/$D$7)*(1-'Engine Inputs'!$B$4)+IF($D$7=1,(1-IF(OR($D$7=2,MOD(A29,2)=1),1,0))*$C$3*'Engine Inputs'!$B$10*(1-'Engine Inputs'!$B$4)/2,0)-IF(MOD(A29,2)=0,INDEX($B$11:$D$25,B29,1)*(1-'Engine Inputs'!$B$4),0)</f>
        <v>2767723.9356815238</v>
      </c>
      <c r="J29" s="49">
        <f>$D$3+IF(OR($D$7=2,MOD(A29,2)=1),1,0)*(MIN('Engine Inputs'!$B$12*$D$3/$C$7,'Engine Inputs'!$B$9)*($B$7-'Engine Inputs'!$B$5-'Engine Inputs'!$B$6-2*'Engine Inputs'!$B$7*SQRT(MIN('Engine Inputs'!$B$12*$D$3/$C$7,'Engine Inputs'!$B$9)/'Engine Inputs'!$B$8))+MAX($D$3-MIN('Engine Inputs'!$B$12*$D$3/$C$7,'Engine Inputs'!$B$9)*$C$7,0)*'Engine Inputs'!$B$10/$D$7)*(1-'Engine Inputs'!$B$4)+IF($D$7=1,(1-IF(OR($D$7=2,MOD(A29,2)=1),1,0))*$D$3*'Engine Inputs'!$B$10*(1-'Engine Inputs'!$B$4)/2,0)-IF(MOD(A29,2)=0,INDEX($B$11:$D$25,B29,2)*(1-'Engine Inputs'!$B$4),0)</f>
        <v>10364514.600197811</v>
      </c>
      <c r="K29" s="49">
        <f>$E$3+IF(OR($D$7=2,MOD(A29,2)=1),1,0)*(MIN('Engine Inputs'!$B$12*$E$3/$C$7,'Engine Inputs'!$B$9)*($B$7-'Engine Inputs'!$B$5-'Engine Inputs'!$B$6-2*'Engine Inputs'!$B$7*SQRT(MIN('Engine Inputs'!$B$12*$E$3/$C$7,'Engine Inputs'!$B$9)/'Engine Inputs'!$B$8))+MAX($E$3-MIN('Engine Inputs'!$B$12*$E$3/$C$7,'Engine Inputs'!$B$9)*$C$7,0)*'Engine Inputs'!$B$10/$D$7)*(1-'Engine Inputs'!$B$4)+IF($D$7=1,(1-IF(OR($D$7=2,MOD(A29,2)=1),1,0))*$E$3*'Engine Inputs'!$B$10*(1-'Engine Inputs'!$B$4)/2,0)-IF(MOD(A29,2)=0,INDEX($B$11:$D$25,B29,3)*(1-'Engine Inputs'!$B$4),0)</f>
        <v>27588268.271672294</v>
      </c>
    </row>
    <row r="30" spans="1:11" ht="13.5" customHeight="1" x14ac:dyDescent="0.3">
      <c r="A30" s="13">
        <v>2</v>
      </c>
      <c r="B30" s="50">
        <f t="shared" si="3"/>
        <v>1</v>
      </c>
      <c r="C30" s="47">
        <f>C29+IF(OR($D$5=2,MOD(A30,2)=1),1,0)*(MIN('Engine Inputs'!$B$12*C29/$C$5,'Engine Inputs'!$B$9)*($B$5-'Engine Inputs'!$B$5-'Engine Inputs'!$B$6-2*'Engine Inputs'!$B$7*SQRT(MIN('Engine Inputs'!$B$12*C29/$C$5,'Engine Inputs'!$B$9)/'Engine Inputs'!$B$8))+MAX(C29-MIN('Engine Inputs'!$B$12*C29/$C$5,'Engine Inputs'!$B$9)*$C$5,0)*'Engine Inputs'!$B$10/$D$5)*(1-'Engine Inputs'!$B$4)+IF($D$5=1,(1-IF(OR($D$5=2,MOD(A30,2)=1),1,0))*C29*'Engine Inputs'!$B$10*(1-'Engine Inputs'!$B$4)/2,0)-IF(MOD(A30,2)=0,INDEX($B$11:$D$25,B30,1)*(1-'Engine Inputs'!$B$4),0)</f>
        <v>6822121.5863105729</v>
      </c>
      <c r="D30" s="51">
        <f>D29+IF(OR($D$5=2,MOD(A30,2)=1),1,0)*(MIN('Engine Inputs'!$B$12*D29/$C$5,'Engine Inputs'!$B$9)*($B$5-'Engine Inputs'!$B$5-'Engine Inputs'!$B$6-2*'Engine Inputs'!$B$7*SQRT(MIN('Engine Inputs'!$B$12*D29/$C$5,'Engine Inputs'!$B$9)/'Engine Inputs'!$B$8))+MAX(D29-MIN('Engine Inputs'!$B$12*D29/$C$5,'Engine Inputs'!$B$9)*$C$5,0)*'Engine Inputs'!$B$10/$D$5)*(1-'Engine Inputs'!$B$4)+IF($D$5=1,(1-IF(OR($D$5=2,MOD(A30,2)=1),1,0))*D29*'Engine Inputs'!$B$10*(1-'Engine Inputs'!$B$4)/2,0)-IF(MOD(A30,2)=0,INDEX($B$11:$D$25,B30,2)*(1-'Engine Inputs'!$B$4),0)</f>
        <v>25512045.922211505</v>
      </c>
      <c r="E30" s="51">
        <f>E29+IF(OR($D$5=2,MOD(A30,2)=1),1,0)*(MIN('Engine Inputs'!$B$12*E29/$C$5,'Engine Inputs'!$B$9)*($B$5-'Engine Inputs'!$B$5-'Engine Inputs'!$B$6-2*'Engine Inputs'!$B$7*SQRT(MIN('Engine Inputs'!$B$12*E29/$C$5,'Engine Inputs'!$B$9)/'Engine Inputs'!$B$8))+MAX(E29-MIN('Engine Inputs'!$B$12*E29/$C$5,'Engine Inputs'!$B$9)*$C$5,0)*'Engine Inputs'!$B$10/$D$5)*(1-'Engine Inputs'!$B$4)+IF($D$5=1,(1-IF(OR($D$5=2,MOD(A30,2)=1),1,0))*E29*'Engine Inputs'!$B$10*(1-'Engine Inputs'!$B$4)/2,0)-IF(MOD(A30,2)=0,INDEX($B$11:$D$25,B30,3)*(1-'Engine Inputs'!$B$4),0)</f>
        <v>67785195.391407549</v>
      </c>
      <c r="F30" s="47">
        <f>F29+IF(OR($D$6=2,MOD(A30,2)=1),1,0)*(MIN('Engine Inputs'!$B$12*F29/$C$6,'Engine Inputs'!$B$9)*($B$6-'Engine Inputs'!$B$5-'Engine Inputs'!$B$6-2*'Engine Inputs'!$B$7*SQRT(MIN('Engine Inputs'!$B$12*F29/$C$6,'Engine Inputs'!$B$9)/'Engine Inputs'!$B$8))+MAX(F29-MIN('Engine Inputs'!$B$12*F29/$C$6,'Engine Inputs'!$B$9)*$C$6,0)*'Engine Inputs'!$B$10/$D$6)*(1-'Engine Inputs'!$B$4)+IF($D$6=1,(1-IF(OR($D$6=2,MOD(A30,2)=1),1,0))*F29*'Engine Inputs'!$B$10*(1-'Engine Inputs'!$B$4)/2,0)-IF(MOD(A30,2)=0,INDEX($B$11:$D$25,B30,1)*(1-'Engine Inputs'!$B$4),0)</f>
        <v>4343080.8531417064</v>
      </c>
      <c r="G30" s="51">
        <f>G29+IF(OR($D$6=2,MOD(A30,2)=1),1,0)*(MIN('Engine Inputs'!$B$12*G29/$C$6,'Engine Inputs'!$B$9)*($B$6-'Engine Inputs'!$B$5-'Engine Inputs'!$B$6-2*'Engine Inputs'!$B$7*SQRT(MIN('Engine Inputs'!$B$12*G29/$C$6,'Engine Inputs'!$B$9)/'Engine Inputs'!$B$8))+MAX(G29-MIN('Engine Inputs'!$B$12*G29/$C$6,'Engine Inputs'!$B$9)*$C$6,0)*'Engine Inputs'!$B$10/$D$6)*(1-'Engine Inputs'!$B$4)+IF($D$6=1,(1-IF(OR($D$6=2,MOD(A30,2)=1),1,0))*G29*'Engine Inputs'!$B$10*(1-'Engine Inputs'!$B$4)/2,0)-IF(MOD(A30,2)=0,INDEX($B$11:$D$25,B30,2)*(1-'Engine Inputs'!$B$4),0)</f>
        <v>16237476.245658848</v>
      </c>
      <c r="H30" s="51">
        <f>H29+IF(OR($D$6=2,MOD(A30,2)=1),1,0)*(MIN('Engine Inputs'!$B$12*H29/$C$6,'Engine Inputs'!$B$9)*($B$6-'Engine Inputs'!$B$5-'Engine Inputs'!$B$6-2*'Engine Inputs'!$B$7*SQRT(MIN('Engine Inputs'!$B$12*H29/$C$6,'Engine Inputs'!$B$9)/'Engine Inputs'!$B$8))+MAX(H29-MIN('Engine Inputs'!$B$12*H29/$C$6,'Engine Inputs'!$B$9)*$C$6,0)*'Engine Inputs'!$B$10/$D$6)*(1-'Engine Inputs'!$B$4)+IF($D$6=1,(1-IF(OR($D$6=2,MOD(A30,2)=1),1,0))*H29*'Engine Inputs'!$B$10*(1-'Engine Inputs'!$B$4)/2,0)-IF(MOD(A30,2)=0,INDEX($B$11:$D$25,B30,3)*(1-'Engine Inputs'!$B$4),0)</f>
        <v>43129078.64337194</v>
      </c>
      <c r="I30" s="47">
        <f>I29+IF(OR($D$7=2,MOD(A30,2)=1),1,0)*(MIN('Engine Inputs'!$B$12*I29/$C$7,'Engine Inputs'!$B$9)*($B$7-'Engine Inputs'!$B$5-'Engine Inputs'!$B$6-2*'Engine Inputs'!$B$7*SQRT(MIN('Engine Inputs'!$B$12*I29/$C$7,'Engine Inputs'!$B$9)/'Engine Inputs'!$B$8))+MAX(I29-MIN('Engine Inputs'!$B$12*I29/$C$7,'Engine Inputs'!$B$9)*$C$7,0)*'Engine Inputs'!$B$10/$D$7)*(1-'Engine Inputs'!$B$4)+IF($D$7=1,(1-IF(OR($D$7=2,MOD(A30,2)=1),1,0))*I29*'Engine Inputs'!$B$10*(1-'Engine Inputs'!$B$4)/2,0)-IF(MOD(A30,2)=0,INDEX($B$11:$D$25,B30,1)*(1-'Engine Inputs'!$B$4),0)</f>
        <v>2820069.688886873</v>
      </c>
      <c r="J30" s="51">
        <f>J29+IF(OR($D$7=2,MOD(A30,2)=1),1,0)*(MIN('Engine Inputs'!$B$12*J29/$C$7,'Engine Inputs'!$B$9)*($B$7-'Engine Inputs'!$B$5-'Engine Inputs'!$B$6-2*'Engine Inputs'!$B$7*SQRT(MIN('Engine Inputs'!$B$12*J29/$C$7,'Engine Inputs'!$B$9)/'Engine Inputs'!$B$8))+MAX(J29-MIN('Engine Inputs'!$B$12*J29/$C$7,'Engine Inputs'!$B$9)*$C$7,0)*'Engine Inputs'!$B$10/$D$7)*(1-'Engine Inputs'!$B$4)+IF($D$7=1,(1-IF(OR($D$7=2,MOD(A30,2)=1),1,0))*J29*'Engine Inputs'!$B$10*(1-'Engine Inputs'!$B$4)/2,0)-IF(MOD(A30,2)=0,INDEX($B$11:$D$25,B30,2)*(1-'Engine Inputs'!$B$4),0)</f>
        <v>10560459.741080461</v>
      </c>
      <c r="K30" s="51">
        <f>K29+IF(OR($D$7=2,MOD(A30,2)=1),1,0)*(MIN('Engine Inputs'!$B$12*K29/$C$7,'Engine Inputs'!$B$9)*($B$7-'Engine Inputs'!$B$5-'Engine Inputs'!$B$6-2*'Engine Inputs'!$B$7*SQRT(MIN('Engine Inputs'!$B$12*K29/$C$7,'Engine Inputs'!$B$9)/'Engine Inputs'!$B$8))+MAX(K29-MIN('Engine Inputs'!$B$12*K29/$C$7,'Engine Inputs'!$B$9)*$C$7,0)*'Engine Inputs'!$B$10/$D$7)*(1-'Engine Inputs'!$B$4)+IF($D$7=1,(1-IF(OR($D$7=2,MOD(A30,2)=1),1,0))*K29*'Engine Inputs'!$B$10*(1-'Engine Inputs'!$B$4)/2,0)-IF(MOD(A30,2)=0,INDEX($B$11:$D$25,B30,3)*(1-'Engine Inputs'!$B$4),0)</f>
        <v>28109561.991346672</v>
      </c>
    </row>
    <row r="31" spans="1:11" ht="13.5" customHeight="1" x14ac:dyDescent="0.3">
      <c r="A31" s="10">
        <v>3</v>
      </c>
      <c r="B31" s="48">
        <f t="shared" si="3"/>
        <v>2</v>
      </c>
      <c r="C31" s="49">
        <f>C30+IF(OR($D$5=2,MOD(A31,2)=1),1,0)*(MIN('Engine Inputs'!$B$12*C30/$C$5,'Engine Inputs'!$B$9)*($B$5-'Engine Inputs'!$B$5-'Engine Inputs'!$B$6-2*'Engine Inputs'!$B$7*SQRT(MIN('Engine Inputs'!$B$12*C30/$C$5,'Engine Inputs'!$B$9)/'Engine Inputs'!$B$8))+MAX(C30-MIN('Engine Inputs'!$B$12*C30/$C$5,'Engine Inputs'!$B$9)*$C$5,0)*'Engine Inputs'!$B$10/$D$5)*(1-'Engine Inputs'!$B$4)+IF($D$5=1,(1-IF(OR($D$5=2,MOD(A31,2)=1),1,0))*C30*'Engine Inputs'!$B$10*(1-'Engine Inputs'!$B$4)/2,0)-IF(MOD(A31,2)=0,INDEX($B$11:$D$25,B31,1)*(1-'Engine Inputs'!$B$4),0)</f>
        <v>12603086.980519556</v>
      </c>
      <c r="D31" s="49">
        <f>D30+IF(OR($D$5=2,MOD(A31,2)=1),1,0)*(MIN('Engine Inputs'!$B$12*D30/$C$5,'Engine Inputs'!$B$9)*($B$5-'Engine Inputs'!$B$5-'Engine Inputs'!$B$6-2*'Engine Inputs'!$B$7*SQRT(MIN('Engine Inputs'!$B$12*D30/$C$5,'Engine Inputs'!$B$9)/'Engine Inputs'!$B$8))+MAX(D30-MIN('Engine Inputs'!$B$12*D30/$C$5,'Engine Inputs'!$B$9)*$C$5,0)*'Engine Inputs'!$B$10/$D$5)*(1-'Engine Inputs'!$B$4)+IF($D$5=1,(1-IF(OR($D$5=2,MOD(A31,2)=1),1,0))*D30*'Engine Inputs'!$B$10*(1-'Engine Inputs'!$B$4)/2,0)-IF(MOD(A31,2)=0,INDEX($B$11:$D$25,B31,2)*(1-'Engine Inputs'!$B$4),0)</f>
        <v>47028635.326304756</v>
      </c>
      <c r="E31" s="49">
        <f>E30+IF(OR($D$5=2,MOD(A31,2)=1),1,0)*(MIN('Engine Inputs'!$B$12*E30/$C$5,'Engine Inputs'!$B$9)*($B$5-'Engine Inputs'!$B$5-'Engine Inputs'!$B$6-2*'Engine Inputs'!$B$7*SQRT(MIN('Engine Inputs'!$B$12*E30/$C$5,'Engine Inputs'!$B$9)/'Engine Inputs'!$B$8))+MAX(E30-MIN('Engine Inputs'!$B$12*E30/$C$5,'Engine Inputs'!$B$9)*$C$5,0)*'Engine Inputs'!$B$10/$D$5)*(1-'Engine Inputs'!$B$4)+IF($D$5=1,(1-IF(OR($D$5=2,MOD(A31,2)=1),1,0))*E30*'Engine Inputs'!$B$10*(1-'Engine Inputs'!$B$4)/2,0)-IF(MOD(A31,2)=0,INDEX($B$11:$D$25,B31,3)*(1-'Engine Inputs'!$B$4),0)</f>
        <v>124601115.895504</v>
      </c>
      <c r="F31" s="45">
        <f>F30+IF(OR($D$6=2,MOD(A31,2)=1),1,0)*(MIN('Engine Inputs'!$B$12*F30/$C$6,'Engine Inputs'!$B$9)*($B$6-'Engine Inputs'!$B$5-'Engine Inputs'!$B$6-2*'Engine Inputs'!$B$7*SQRT(MIN('Engine Inputs'!$B$12*F30/$C$6,'Engine Inputs'!$B$9)/'Engine Inputs'!$B$8))+MAX(F30-MIN('Engine Inputs'!$B$12*F30/$C$6,'Engine Inputs'!$B$9)*$C$6,0)*'Engine Inputs'!$B$10/$D$6)*(1-'Engine Inputs'!$B$4)+IF($D$6=1,(1-IF(OR($D$6=2,MOD(A31,2)=1),1,0))*F30*'Engine Inputs'!$B$10*(1-'Engine Inputs'!$B$4)/2,0)-IF(MOD(A31,2)=0,INDEX($B$11:$D$25,B31,1)*(1-'Engine Inputs'!$B$4),0)</f>
        <v>6407643.2486309372</v>
      </c>
      <c r="G31" s="49">
        <f>G30+IF(OR($D$6=2,MOD(A31,2)=1),1,0)*(MIN('Engine Inputs'!$B$12*G30/$C$6,'Engine Inputs'!$B$9)*($B$6-'Engine Inputs'!$B$5-'Engine Inputs'!$B$6-2*'Engine Inputs'!$B$7*SQRT(MIN('Engine Inputs'!$B$12*G30/$C$6,'Engine Inputs'!$B$9)/'Engine Inputs'!$B$8))+MAX(G30-MIN('Engine Inputs'!$B$12*G30/$C$6,'Engine Inputs'!$B$9)*$C$6,0)*'Engine Inputs'!$B$10/$D$6)*(1-'Engine Inputs'!$B$4)+IF($D$6=1,(1-IF(OR($D$6=2,MOD(A31,2)=1),1,0))*G30*'Engine Inputs'!$B$10*(1-'Engine Inputs'!$B$4)/2,0)-IF(MOD(A31,2)=0,INDEX($B$11:$D$25,B31,2)*(1-'Engine Inputs'!$B$4),0)</f>
        <v>23908448.030029286</v>
      </c>
      <c r="H31" s="49">
        <f>H30+IF(OR($D$6=2,MOD(A31,2)=1),1,0)*(MIN('Engine Inputs'!$B$12*H30/$C$6,'Engine Inputs'!$B$9)*($B$6-'Engine Inputs'!$B$5-'Engine Inputs'!$B$6-2*'Engine Inputs'!$B$7*SQRT(MIN('Engine Inputs'!$B$12*H30/$C$6,'Engine Inputs'!$B$9)/'Engine Inputs'!$B$8))+MAX(H30-MIN('Engine Inputs'!$B$12*H30/$C$6,'Engine Inputs'!$B$9)*$C$6,0)*'Engine Inputs'!$B$10/$D$6)*(1-'Engine Inputs'!$B$4)+IF($D$6=1,(1-IF(OR($D$6=2,MOD(A31,2)=1),1,0))*H30*'Engine Inputs'!$B$10*(1-'Engine Inputs'!$B$4)/2,0)-IF(MOD(A31,2)=0,INDEX($B$11:$D$25,B31,3)*(1-'Engine Inputs'!$B$4),0)</f>
        <v>63338654.983245224</v>
      </c>
      <c r="I31" s="45">
        <f>I30+IF(OR($D$7=2,MOD(A31,2)=1),1,0)*(MIN('Engine Inputs'!$B$12*I30/$C$7,'Engine Inputs'!$B$9)*($B$7-'Engine Inputs'!$B$5-'Engine Inputs'!$B$6-2*'Engine Inputs'!$B$7*SQRT(MIN('Engine Inputs'!$B$12*I30/$C$7,'Engine Inputs'!$B$9)/'Engine Inputs'!$B$8))+MAX(I30-MIN('Engine Inputs'!$B$12*I30/$C$7,'Engine Inputs'!$B$9)*$C$7,0)*'Engine Inputs'!$B$10/$D$7)*(1-'Engine Inputs'!$B$4)+IF($D$7=1,(1-IF(OR($D$7=2,MOD(A31,2)=1),1,0))*I30*'Engine Inputs'!$B$10*(1-'Engine Inputs'!$B$4)/2,0)-IF(MOD(A31,2)=0,INDEX($B$11:$D$25,B31,1)*(1-'Engine Inputs'!$B$4),0)</f>
        <v>3901499.6368822753</v>
      </c>
      <c r="J31" s="49">
        <f>J30+IF(OR($D$7=2,MOD(A31,2)=1),1,0)*(MIN('Engine Inputs'!$B$12*J30/$C$7,'Engine Inputs'!$B$9)*($B$7-'Engine Inputs'!$B$5-'Engine Inputs'!$B$6-2*'Engine Inputs'!$B$7*SQRT(MIN('Engine Inputs'!$B$12*J30/$C$7,'Engine Inputs'!$B$9)/'Engine Inputs'!$B$8))+MAX(J30-MIN('Engine Inputs'!$B$12*J30/$C$7,'Engine Inputs'!$B$9)*$C$7,0)*'Engine Inputs'!$B$10/$D$7)*(1-'Engine Inputs'!$B$4)+IF($D$7=1,(1-IF(OR($D$7=2,MOD(A31,2)=1),1,0))*J30*'Engine Inputs'!$B$10*(1-'Engine Inputs'!$B$4)/2,0)-IF(MOD(A31,2)=0,INDEX($B$11:$D$25,B31,2)*(1-'Engine Inputs'!$B$4),0)</f>
        <v>14586020.284184042</v>
      </c>
      <c r="K31" s="49">
        <f>K30+IF(OR($D$7=2,MOD(A31,2)=1),1,0)*(MIN('Engine Inputs'!$B$12*K30/$C$7,'Engine Inputs'!$B$9)*($B$7-'Engine Inputs'!$B$5-'Engine Inputs'!$B$6-2*'Engine Inputs'!$B$7*SQRT(MIN('Engine Inputs'!$B$12*K30/$C$7,'Engine Inputs'!$B$9)/'Engine Inputs'!$B$8))+MAX(K30-MIN('Engine Inputs'!$B$12*K30/$C$7,'Engine Inputs'!$B$9)*$C$7,0)*'Engine Inputs'!$B$10/$D$7)*(1-'Engine Inputs'!$B$4)+IF($D$7=1,(1-IF(OR($D$7=2,MOD(A31,2)=1),1,0))*K30*'Engine Inputs'!$B$10*(1-'Engine Inputs'!$B$4)/2,0)-IF(MOD(A31,2)=0,INDEX($B$11:$D$25,B31,3)*(1-'Engine Inputs'!$B$4),0)</f>
        <v>38740777.755027801</v>
      </c>
    </row>
    <row r="32" spans="1:11" ht="13.5" customHeight="1" x14ac:dyDescent="0.3">
      <c r="A32" s="13">
        <v>4</v>
      </c>
      <c r="B32" s="50">
        <f t="shared" si="3"/>
        <v>2</v>
      </c>
      <c r="C32" s="51">
        <f>C31+IF(OR($D$5=2,MOD(A32,2)=1),1,0)*(MIN('Engine Inputs'!$B$12*C31/$C$5,'Engine Inputs'!$B$9)*($B$5-'Engine Inputs'!$B$5-'Engine Inputs'!$B$6-2*'Engine Inputs'!$B$7*SQRT(MIN('Engine Inputs'!$B$12*C31/$C$5,'Engine Inputs'!$B$9)/'Engine Inputs'!$B$8))+MAX(C31-MIN('Engine Inputs'!$B$12*C31/$C$5,'Engine Inputs'!$B$9)*$C$5,0)*'Engine Inputs'!$B$10/$D$5)*(1-'Engine Inputs'!$B$4)+IF($D$5=1,(1-IF(OR($D$5=2,MOD(A32,2)=1),1,0))*C31*'Engine Inputs'!$B$10*(1-'Engine Inputs'!$B$4)/2,0)-IF(MOD(A32,2)=0,INDEX($B$11:$D$25,B32,1)*(1-'Engine Inputs'!$B$4),0)</f>
        <v>23248420.032855809</v>
      </c>
      <c r="D32" s="51">
        <f>D31+IF(OR($D$5=2,MOD(A32,2)=1),1,0)*(MIN('Engine Inputs'!$B$12*D31/$C$5,'Engine Inputs'!$B$9)*($B$5-'Engine Inputs'!$B$5-'Engine Inputs'!$B$6-2*'Engine Inputs'!$B$7*SQRT(MIN('Engine Inputs'!$B$12*D31/$C$5,'Engine Inputs'!$B$9)/'Engine Inputs'!$B$8))+MAX(D31-MIN('Engine Inputs'!$B$12*D31/$C$5,'Engine Inputs'!$B$9)*$C$5,0)*'Engine Inputs'!$B$10/$D$5)*(1-'Engine Inputs'!$B$4)+IF($D$5=1,(1-IF(OR($D$5=2,MOD(A32,2)=1),1,0))*D31*'Engine Inputs'!$B$10*(1-'Engine Inputs'!$B$4)/2,0)-IF(MOD(A32,2)=0,INDEX($B$11:$D$25,B32,2)*(1-'Engine Inputs'!$B$4),0)</f>
        <v>86496755.711372614</v>
      </c>
      <c r="E32" s="51">
        <f>E31+IF(OR($D$5=2,MOD(A32,2)=1),1,0)*(MIN('Engine Inputs'!$B$12*E31/$C$5,'Engine Inputs'!$B$9)*($B$5-'Engine Inputs'!$B$5-'Engine Inputs'!$B$6-2*'Engine Inputs'!$B$7*SQRT(MIN('Engine Inputs'!$B$12*E31/$C$5,'Engine Inputs'!$B$9)/'Engine Inputs'!$B$8))+MAX(E31-MIN('Engine Inputs'!$B$12*E31/$C$5,'Engine Inputs'!$B$9)*$C$5,0)*'Engine Inputs'!$B$10/$D$5)*(1-'Engine Inputs'!$B$4)+IF($D$5=1,(1-IF(OR($D$5=2,MOD(A32,2)=1),1,0))*E31*'Engine Inputs'!$B$10*(1-'Engine Inputs'!$B$4)/2,0)-IF(MOD(A32,2)=0,INDEX($B$11:$D$25,B32,3)*(1-'Engine Inputs'!$B$4),0)</f>
        <v>228291137.17642638</v>
      </c>
      <c r="F32" s="51">
        <f>F31+IF(OR($D$6=2,MOD(A32,2)=1),1,0)*(MIN('Engine Inputs'!$B$12*F31/$C$6,'Engine Inputs'!$B$9)*($B$6-'Engine Inputs'!$B$5-'Engine Inputs'!$B$6-2*'Engine Inputs'!$B$7*SQRT(MIN('Engine Inputs'!$B$12*F31/$C$6,'Engine Inputs'!$B$9)/'Engine Inputs'!$B$8))+MAX(F31-MIN('Engine Inputs'!$B$12*F31/$C$6,'Engine Inputs'!$B$9)*$C$6,0)*'Engine Inputs'!$B$10/$D$6)*(1-'Engine Inputs'!$B$4)+IF($D$6=1,(1-IF(OR($D$6=2,MOD(A32,2)=1),1,0))*F31*'Engine Inputs'!$B$10*(1-'Engine Inputs'!$B$4)/2,0)-IF(MOD(A32,2)=0,INDEX($B$11:$D$25,B32,1)*(1-'Engine Inputs'!$B$4),0)</f>
        <v>9434328.8429494258</v>
      </c>
      <c r="G32" s="51">
        <f>G31+IF(OR($D$6=2,MOD(A32,2)=1),1,0)*(MIN('Engine Inputs'!$B$12*G31/$C$6,'Engine Inputs'!$B$9)*($B$6-'Engine Inputs'!$B$5-'Engine Inputs'!$B$6-2*'Engine Inputs'!$B$7*SQRT(MIN('Engine Inputs'!$B$12*G31/$C$6,'Engine Inputs'!$B$9)/'Engine Inputs'!$B$8))+MAX(G31-MIN('Engine Inputs'!$B$12*G31/$C$6,'Engine Inputs'!$B$9)*$C$6,0)*'Engine Inputs'!$B$10/$D$6)*(1-'Engine Inputs'!$B$4)+IF($D$6=1,(1-IF(OR($D$6=2,MOD(A32,2)=1),1,0))*G31*'Engine Inputs'!$B$10*(1-'Engine Inputs'!$B$4)/2,0)-IF(MOD(A32,2)=0,INDEX($B$11:$D$25,B32,2)*(1-'Engine Inputs'!$B$4),0)</f>
        <v>35116128.502298586</v>
      </c>
      <c r="H32" s="51">
        <f>H31+IF(OR($D$6=2,MOD(A32,2)=1),1,0)*(MIN('Engine Inputs'!$B$12*H31/$C$6,'Engine Inputs'!$B$9)*($B$6-'Engine Inputs'!$B$5-'Engine Inputs'!$B$6-2*'Engine Inputs'!$B$7*SQRT(MIN('Engine Inputs'!$B$12*H31/$C$6,'Engine Inputs'!$B$9)/'Engine Inputs'!$B$8))+MAX(H31-MIN('Engine Inputs'!$B$12*H31/$C$6,'Engine Inputs'!$B$9)*$C$6,0)*'Engine Inputs'!$B$10/$D$6)*(1-'Engine Inputs'!$B$4)+IF($D$6=1,(1-IF(OR($D$6=2,MOD(A32,2)=1),1,0))*H31*'Engine Inputs'!$B$10*(1-'Engine Inputs'!$B$4)/2,0)-IF(MOD(A32,2)=0,INDEX($B$11:$D$25,B32,3)*(1-'Engine Inputs'!$B$4),0)</f>
        <v>92735084.918258399</v>
      </c>
      <c r="I32" s="47">
        <f>I31+IF(OR($D$7=2,MOD(A32,2)=1),1,0)*(MIN('Engine Inputs'!$B$12*I31/$C$7,'Engine Inputs'!$B$9)*($B$7-'Engine Inputs'!$B$5-'Engine Inputs'!$B$6-2*'Engine Inputs'!$B$7*SQRT(MIN('Engine Inputs'!$B$12*I31/$C$7,'Engine Inputs'!$B$9)/'Engine Inputs'!$B$8))+MAX(I31-MIN('Engine Inputs'!$B$12*I31/$C$7,'Engine Inputs'!$B$9)*$C$7,0)*'Engine Inputs'!$B$10/$D$7)*(1-'Engine Inputs'!$B$4)+IF($D$7=1,(1-IF(OR($D$7=2,MOD(A32,2)=1),1,0))*I31*'Engine Inputs'!$B$10*(1-'Engine Inputs'!$B$4)/2,0)-IF(MOD(A32,2)=0,INDEX($B$11:$D$25,B32,1)*(1-'Engine Inputs'!$B$4),0)</f>
        <v>3981419.2686511073</v>
      </c>
      <c r="J32" s="51">
        <f>J31+IF(OR($D$7=2,MOD(A32,2)=1),1,0)*(MIN('Engine Inputs'!$B$12*J31/$C$7,'Engine Inputs'!$B$9)*($B$7-'Engine Inputs'!$B$5-'Engine Inputs'!$B$6-2*'Engine Inputs'!$B$7*SQRT(MIN('Engine Inputs'!$B$12*J31/$C$7,'Engine Inputs'!$B$9)/'Engine Inputs'!$B$8))+MAX(J31-MIN('Engine Inputs'!$B$12*J31/$C$7,'Engine Inputs'!$B$9)*$C$7,0)*'Engine Inputs'!$B$10/$D$7)*(1-'Engine Inputs'!$B$4)+IF($D$7=1,(1-IF(OR($D$7=2,MOD(A32,2)=1),1,0))*J31*'Engine Inputs'!$B$10*(1-'Engine Inputs'!$B$4)/2,0)-IF(MOD(A32,2)=0,INDEX($B$11:$D$25,B32,2)*(1-'Engine Inputs'!$B$4),0)</f>
        <v>14884634.131903512</v>
      </c>
      <c r="K32" s="51">
        <f>K31+IF(OR($D$7=2,MOD(A32,2)=1),1,0)*(MIN('Engine Inputs'!$B$12*K31/$C$7,'Engine Inputs'!$B$9)*($B$7-'Engine Inputs'!$B$5-'Engine Inputs'!$B$6-2*'Engine Inputs'!$B$7*SQRT(MIN('Engine Inputs'!$B$12*K31/$C$7,'Engine Inputs'!$B$9)/'Engine Inputs'!$B$8))+MAX(K31-MIN('Engine Inputs'!$B$12*K31/$C$7,'Engine Inputs'!$B$9)*$C$7,0)*'Engine Inputs'!$B$10/$D$7)*(1-'Engine Inputs'!$B$4)+IF($D$7=1,(1-IF(OR($D$7=2,MOD(A32,2)=1),1,0))*K31*'Engine Inputs'!$B$10*(1-'Engine Inputs'!$B$4)/2,0)-IF(MOD(A32,2)=0,INDEX($B$11:$D$25,B32,3)*(1-'Engine Inputs'!$B$4),0)</f>
        <v>39533304.966341183</v>
      </c>
    </row>
    <row r="33" spans="1:11" ht="13.5" customHeight="1" x14ac:dyDescent="0.3">
      <c r="A33" s="10">
        <v>5</v>
      </c>
      <c r="B33" s="48">
        <f t="shared" si="3"/>
        <v>3</v>
      </c>
      <c r="C33" s="49">
        <f>C32+IF(OR($D$5=2,MOD(A33,2)=1),1,0)*(MIN('Engine Inputs'!$B$12*C32/$C$5,'Engine Inputs'!$B$9)*($B$5-'Engine Inputs'!$B$5-'Engine Inputs'!$B$6-2*'Engine Inputs'!$B$7*SQRT(MIN('Engine Inputs'!$B$12*C32/$C$5,'Engine Inputs'!$B$9)/'Engine Inputs'!$B$8))+MAX(C32-MIN('Engine Inputs'!$B$12*C32/$C$5,'Engine Inputs'!$B$9)*$C$5,0)*'Engine Inputs'!$B$10/$D$5)*(1-'Engine Inputs'!$B$4)+IF($D$5=1,(1-IF(OR($D$5=2,MOD(A33,2)=1),1,0))*C32*'Engine Inputs'!$B$10*(1-'Engine Inputs'!$B$4)/2,0)-IF(MOD(A33,2)=0,INDEX($B$11:$D$25,B33,1)*(1-'Engine Inputs'!$B$4),0)</f>
        <v>42864624.274971098</v>
      </c>
      <c r="D33" s="49">
        <f>D32+IF(OR($D$5=2,MOD(A33,2)=1),1,0)*(MIN('Engine Inputs'!$B$12*D32/$C$5,'Engine Inputs'!$B$9)*($B$5-'Engine Inputs'!$B$5-'Engine Inputs'!$B$6-2*'Engine Inputs'!$B$7*SQRT(MIN('Engine Inputs'!$B$12*D32/$C$5,'Engine Inputs'!$B$9)/'Engine Inputs'!$B$8))+MAX(D32-MIN('Engine Inputs'!$B$12*D32/$C$5,'Engine Inputs'!$B$9)*$C$5,0)*'Engine Inputs'!$B$10/$D$5)*(1-'Engine Inputs'!$B$4)+IF($D$5=1,(1-IF(OR($D$5=2,MOD(A33,2)=1),1,0))*D32*'Engine Inputs'!$B$10*(1-'Engine Inputs'!$B$4)/2,0)-IF(MOD(A33,2)=0,INDEX($B$11:$D$25,B33,2)*(1-'Engine Inputs'!$B$4),0)</f>
        <v>158845027.18416399</v>
      </c>
      <c r="E33" s="49">
        <f>E32+IF(OR($D$5=2,MOD(A33,2)=1),1,0)*(MIN('Engine Inputs'!$B$12*E32/$C$5,'Engine Inputs'!$B$9)*($B$5-'Engine Inputs'!$B$5-'Engine Inputs'!$B$6-2*'Engine Inputs'!$B$7*SQRT(MIN('Engine Inputs'!$B$12*E32/$C$5,'Engine Inputs'!$B$9)/'Engine Inputs'!$B$8))+MAX(E32-MIN('Engine Inputs'!$B$12*E32/$C$5,'Engine Inputs'!$B$9)*$C$5,0)*'Engine Inputs'!$B$10/$D$5)*(1-'Engine Inputs'!$B$4)+IF($D$5=1,(1-IF(OR($D$5=2,MOD(A33,2)=1),1,0))*E32*'Engine Inputs'!$B$10*(1-'Engine Inputs'!$B$4)/2,0)-IF(MOD(A33,2)=0,INDEX($B$11:$D$25,B33,3)*(1-'Engine Inputs'!$B$4),0)</f>
        <v>417067534.64177811</v>
      </c>
      <c r="F33" s="49">
        <f>F32+IF(OR($D$6=2,MOD(A33,2)=1),1,0)*(MIN('Engine Inputs'!$B$12*F32/$C$6,'Engine Inputs'!$B$9)*($B$6-'Engine Inputs'!$B$5-'Engine Inputs'!$B$6-2*'Engine Inputs'!$B$7*SQRT(MIN('Engine Inputs'!$B$12*F32/$C$6,'Engine Inputs'!$B$9)/'Engine Inputs'!$B$8))+MAX(F32-MIN('Engine Inputs'!$B$12*F32/$C$6,'Engine Inputs'!$B$9)*$C$6,0)*'Engine Inputs'!$B$10/$D$6)*(1-'Engine Inputs'!$B$4)+IF($D$6=1,(1-IF(OR($D$6=2,MOD(A33,2)=1),1,0))*F32*'Engine Inputs'!$B$10*(1-'Engine Inputs'!$B$4)/2,0)-IF(MOD(A33,2)=0,INDEX($B$11:$D$25,B33,1)*(1-'Engine Inputs'!$B$4),0)</f>
        <v>13905009.339763109</v>
      </c>
      <c r="G33" s="49">
        <f>G32+IF(OR($D$6=2,MOD(A33,2)=1),1,0)*(MIN('Engine Inputs'!$B$12*G32/$C$6,'Engine Inputs'!$B$9)*($B$6-'Engine Inputs'!$B$5-'Engine Inputs'!$B$6-2*'Engine Inputs'!$B$7*SQRT(MIN('Engine Inputs'!$B$12*G32/$C$6,'Engine Inputs'!$B$9)/'Engine Inputs'!$B$8))+MAX(G32-MIN('Engine Inputs'!$B$12*G32/$C$6,'Engine Inputs'!$B$9)*$C$6,0)*'Engine Inputs'!$B$10/$D$6)*(1-'Engine Inputs'!$B$4)+IF($D$6=1,(1-IF(OR($D$6=2,MOD(A33,2)=1),1,0))*G32*'Engine Inputs'!$B$10*(1-'Engine Inputs'!$B$4)/2,0)-IF(MOD(A33,2)=0,INDEX($B$11:$D$25,B33,2)*(1-'Engine Inputs'!$B$4),0)</f>
        <v>51605052.908195093</v>
      </c>
      <c r="H33" s="49">
        <f>H32+IF(OR($D$6=2,MOD(A33,2)=1),1,0)*(MIN('Engine Inputs'!$B$12*H32/$C$6,'Engine Inputs'!$B$9)*($B$6-'Engine Inputs'!$B$5-'Engine Inputs'!$B$6-2*'Engine Inputs'!$B$7*SQRT(MIN('Engine Inputs'!$B$12*H32/$C$6,'Engine Inputs'!$B$9)/'Engine Inputs'!$B$8))+MAX(H32-MIN('Engine Inputs'!$B$12*H32/$C$6,'Engine Inputs'!$B$9)*$C$6,0)*'Engine Inputs'!$B$10/$D$6)*(1-'Engine Inputs'!$B$4)+IF($D$6=1,(1-IF(OR($D$6=2,MOD(A33,2)=1),1,0))*H32*'Engine Inputs'!$B$10*(1-'Engine Inputs'!$B$4)/2,0)-IF(MOD(A33,2)=0,INDEX($B$11:$D$25,B33,3)*(1-'Engine Inputs'!$B$4),0)</f>
        <v>135759415.2574411</v>
      </c>
      <c r="I33" s="45">
        <f>I32+IF(OR($D$7=2,MOD(A33,2)=1),1,0)*(MIN('Engine Inputs'!$B$12*I32/$C$7,'Engine Inputs'!$B$9)*($B$7-'Engine Inputs'!$B$5-'Engine Inputs'!$B$6-2*'Engine Inputs'!$B$7*SQRT(MIN('Engine Inputs'!$B$12*I32/$C$7,'Engine Inputs'!$B$9)/'Engine Inputs'!$B$8))+MAX(I32-MIN('Engine Inputs'!$B$12*I32/$C$7,'Engine Inputs'!$B$9)*$C$7,0)*'Engine Inputs'!$B$10/$D$7)*(1-'Engine Inputs'!$B$4)+IF($D$7=1,(1-IF(OR($D$7=2,MOD(A33,2)=1),1,0))*I32*'Engine Inputs'!$B$10*(1-'Engine Inputs'!$B$4)/2,0)-IF(MOD(A33,2)=0,INDEX($B$11:$D$25,B33,1)*(1-'Engine Inputs'!$B$4),0)</f>
        <v>5506368.7511847056</v>
      </c>
      <c r="J33" s="49">
        <f>J32+IF(OR($D$7=2,MOD(A33,2)=1),1,0)*(MIN('Engine Inputs'!$B$12*J32/$C$7,'Engine Inputs'!$B$9)*($B$7-'Engine Inputs'!$B$5-'Engine Inputs'!$B$6-2*'Engine Inputs'!$B$7*SQRT(MIN('Engine Inputs'!$B$12*J32/$C$7,'Engine Inputs'!$B$9)/'Engine Inputs'!$B$8))+MAX(J32-MIN('Engine Inputs'!$B$12*J32/$C$7,'Engine Inputs'!$B$9)*$C$7,0)*'Engine Inputs'!$B$10/$D$7)*(1-'Engine Inputs'!$B$4)+IF($D$7=1,(1-IF(OR($D$7=2,MOD(A33,2)=1),1,0))*J32*'Engine Inputs'!$B$10*(1-'Engine Inputs'!$B$4)/2,0)-IF(MOD(A33,2)=0,INDEX($B$11:$D$25,B33,2)*(1-'Engine Inputs'!$B$4),0)</f>
        <v>20545360.927718077</v>
      </c>
      <c r="K33" s="49">
        <f>K32+IF(OR($D$7=2,MOD(A33,2)=1),1,0)*(MIN('Engine Inputs'!$B$12*K32/$C$7,'Engine Inputs'!$B$9)*($B$7-'Engine Inputs'!$B$5-'Engine Inputs'!$B$6-2*'Engine Inputs'!$B$7*SQRT(MIN('Engine Inputs'!$B$12*K32/$C$7,'Engine Inputs'!$B$9)/'Engine Inputs'!$B$8))+MAX(K32-MIN('Engine Inputs'!$B$12*K32/$C$7,'Engine Inputs'!$B$9)*$C$7,0)*'Engine Inputs'!$B$10/$D$7)*(1-'Engine Inputs'!$B$4)+IF($D$7=1,(1-IF(OR($D$7=2,MOD(A33,2)=1),1,0))*K32*'Engine Inputs'!$B$10*(1-'Engine Inputs'!$B$4)/2,0)-IF(MOD(A33,2)=0,INDEX($B$11:$D$25,B33,3)*(1-'Engine Inputs'!$B$4),0)</f>
        <v>54428363.670859471</v>
      </c>
    </row>
    <row r="34" spans="1:11" ht="13.5" customHeight="1" x14ac:dyDescent="0.3">
      <c r="A34" s="13">
        <v>6</v>
      </c>
      <c r="B34" s="50">
        <f t="shared" si="3"/>
        <v>3</v>
      </c>
      <c r="C34" s="51">
        <f>C33+IF(OR($D$5=2,MOD(A34,2)=1),1,0)*(MIN('Engine Inputs'!$B$12*C33/$C$5,'Engine Inputs'!$B$9)*($B$5-'Engine Inputs'!$B$5-'Engine Inputs'!$B$6-2*'Engine Inputs'!$B$7*SQRT(MIN('Engine Inputs'!$B$12*C33/$C$5,'Engine Inputs'!$B$9)/'Engine Inputs'!$B$8))+MAX(C33-MIN('Engine Inputs'!$B$12*C33/$C$5,'Engine Inputs'!$B$9)*$C$5,0)*'Engine Inputs'!$B$10/$D$5)*(1-'Engine Inputs'!$B$4)+IF($D$5=1,(1-IF(OR($D$5=2,MOD(A34,2)=1),1,0))*C33*'Engine Inputs'!$B$10*(1-'Engine Inputs'!$B$4)/2,0)-IF(MOD(A34,2)=0,INDEX($B$11:$D$25,B34,1)*(1-'Engine Inputs'!$B$4),0)</f>
        <v>78873710.056162521</v>
      </c>
      <c r="D34" s="51">
        <f>D33+IF(OR($D$5=2,MOD(A34,2)=1),1,0)*(MIN('Engine Inputs'!$B$12*D33/$C$5,'Engine Inputs'!$B$9)*($B$5-'Engine Inputs'!$B$5-'Engine Inputs'!$B$6-2*'Engine Inputs'!$B$7*SQRT(MIN('Engine Inputs'!$B$12*D33/$C$5,'Engine Inputs'!$B$9)/'Engine Inputs'!$B$8))+MAX(D33-MIN('Engine Inputs'!$B$12*D33/$C$5,'Engine Inputs'!$B$9)*$C$5,0)*'Engine Inputs'!$B$10/$D$5)*(1-'Engine Inputs'!$B$4)+IF($D$5=1,(1-IF(OR($D$5=2,MOD(A34,2)=1),1,0))*D33*'Engine Inputs'!$B$10*(1-'Engine Inputs'!$B$4)/2,0)-IF(MOD(A34,2)=0,INDEX($B$11:$D$25,B34,2)*(1-'Engine Inputs'!$B$4),0)</f>
        <v>290707514.12786716</v>
      </c>
      <c r="E34" s="51">
        <f>E33+IF(OR($D$5=2,MOD(A34,2)=1),1,0)*(MIN('Engine Inputs'!$B$12*E33/$C$5,'Engine Inputs'!$B$9)*($B$5-'Engine Inputs'!$B$5-'Engine Inputs'!$B$6-2*'Engine Inputs'!$B$7*SQRT(MIN('Engine Inputs'!$B$12*E33/$C$5,'Engine Inputs'!$B$9)/'Engine Inputs'!$B$8))+MAX(E33-MIN('Engine Inputs'!$B$12*E33/$C$5,'Engine Inputs'!$B$9)*$C$5,0)*'Engine Inputs'!$B$10/$D$5)*(1-'Engine Inputs'!$B$4)+IF($D$5=1,(1-IF(OR($D$5=2,MOD(A34,2)=1),1,0))*E33*'Engine Inputs'!$B$10*(1-'Engine Inputs'!$B$4)/2,0)-IF(MOD(A34,2)=0,INDEX($B$11:$D$25,B34,3)*(1-'Engine Inputs'!$B$4),0)</f>
        <v>757940772.71540022</v>
      </c>
      <c r="F34" s="51">
        <f>F33+IF(OR($D$6=2,MOD(A34,2)=1),1,0)*(MIN('Engine Inputs'!$B$12*F33/$C$6,'Engine Inputs'!$B$9)*($B$6-'Engine Inputs'!$B$5-'Engine Inputs'!$B$6-2*'Engine Inputs'!$B$7*SQRT(MIN('Engine Inputs'!$B$12*F33/$C$6,'Engine Inputs'!$B$9)/'Engine Inputs'!$B$8))+MAX(F33-MIN('Engine Inputs'!$B$12*F33/$C$6,'Engine Inputs'!$B$9)*$C$6,0)*'Engine Inputs'!$B$10/$D$6)*(1-'Engine Inputs'!$B$4)+IF($D$6=1,(1-IF(OR($D$6=2,MOD(A34,2)=1),1,0))*F33*'Engine Inputs'!$B$10*(1-'Engine Inputs'!$B$4)/2,0)-IF(MOD(A34,2)=0,INDEX($B$11:$D$25,B34,1)*(1-'Engine Inputs'!$B$4),0)</f>
        <v>20442978.172904722</v>
      </c>
      <c r="G34" s="51">
        <f>G33+IF(OR($D$6=2,MOD(A34,2)=1),1,0)*(MIN('Engine Inputs'!$B$12*G33/$C$6,'Engine Inputs'!$B$9)*($B$6-'Engine Inputs'!$B$5-'Engine Inputs'!$B$6-2*'Engine Inputs'!$B$7*SQRT(MIN('Engine Inputs'!$B$12*G33/$C$6,'Engine Inputs'!$B$9)/'Engine Inputs'!$B$8))+MAX(G33-MIN('Engine Inputs'!$B$12*G33/$C$6,'Engine Inputs'!$B$9)*$C$6,0)*'Engine Inputs'!$B$10/$D$6)*(1-'Engine Inputs'!$B$4)+IF($D$6=1,(1-IF(OR($D$6=2,MOD(A34,2)=1),1,0))*G33*'Engine Inputs'!$B$10*(1-'Engine Inputs'!$B$4)/2,0)-IF(MOD(A34,2)=0,INDEX($B$11:$D$25,B34,2)*(1-'Engine Inputs'!$B$4),0)</f>
        <v>75597884.051181003</v>
      </c>
      <c r="H34" s="51">
        <f>H33+IF(OR($D$6=2,MOD(A34,2)=1),1,0)*(MIN('Engine Inputs'!$B$12*H33/$C$6,'Engine Inputs'!$B$9)*($B$6-'Engine Inputs'!$B$5-'Engine Inputs'!$B$6-2*'Engine Inputs'!$B$7*SQRT(MIN('Engine Inputs'!$B$12*H33/$C$6,'Engine Inputs'!$B$9)/'Engine Inputs'!$B$8))+MAX(H33-MIN('Engine Inputs'!$B$12*H33/$C$6,'Engine Inputs'!$B$9)*$C$6,0)*'Engine Inputs'!$B$10/$D$6)*(1-'Engine Inputs'!$B$4)+IF($D$6=1,(1-IF(OR($D$6=2,MOD(A34,2)=1),1,0))*H33*'Engine Inputs'!$B$10*(1-'Engine Inputs'!$B$4)/2,0)-IF(MOD(A34,2)=0,INDEX($B$11:$D$25,B34,3)*(1-'Engine Inputs'!$B$4),0)</f>
        <v>197955322.17556286</v>
      </c>
      <c r="I34" s="47">
        <f>I33+IF(OR($D$7=2,MOD(A34,2)=1),1,0)*(MIN('Engine Inputs'!$B$12*I33/$C$7,'Engine Inputs'!$B$9)*($B$7-'Engine Inputs'!$B$5-'Engine Inputs'!$B$6-2*'Engine Inputs'!$B$7*SQRT(MIN('Engine Inputs'!$B$12*I33/$C$7,'Engine Inputs'!$B$9)/'Engine Inputs'!$B$8))+MAX(I33-MIN('Engine Inputs'!$B$12*I33/$C$7,'Engine Inputs'!$B$9)*$C$7,0)*'Engine Inputs'!$B$10/$D$7)*(1-'Engine Inputs'!$B$4)+IF($D$7=1,(1-IF(OR($D$7=2,MOD(A34,2)=1),1,0))*I33*'Engine Inputs'!$B$10*(1-'Engine Inputs'!$B$4)/2,0)-IF(MOD(A34,2)=0,INDEX($B$11:$D$25,B34,1)*(1-'Engine Inputs'!$B$4),0)</f>
        <v>5602869.8417610181</v>
      </c>
      <c r="J34" s="51">
        <f>J33+IF(OR($D$7=2,MOD(A34,2)=1),1,0)*(MIN('Engine Inputs'!$B$12*J33/$C$7,'Engine Inputs'!$B$9)*($B$7-'Engine Inputs'!$B$5-'Engine Inputs'!$B$6-2*'Engine Inputs'!$B$7*SQRT(MIN('Engine Inputs'!$B$12*J33/$C$7,'Engine Inputs'!$B$9)/'Engine Inputs'!$B$8))+MAX(J33-MIN('Engine Inputs'!$B$12*J33/$C$7,'Engine Inputs'!$B$9)*$C$7,0)*'Engine Inputs'!$B$10/$D$7)*(1-'Engine Inputs'!$B$4)+IF($D$7=1,(1-IF(OR($D$7=2,MOD(A34,2)=1),1,0))*J33*'Engine Inputs'!$B$10*(1-'Engine Inputs'!$B$4)/2,0)-IF(MOD(A34,2)=0,INDEX($B$11:$D$25,B34,2)*(1-'Engine Inputs'!$B$4),0)</f>
        <v>20904722.323624551</v>
      </c>
      <c r="K34" s="51">
        <f>K33+IF(OR($D$7=2,MOD(A34,2)=1),1,0)*(MIN('Engine Inputs'!$B$12*K33/$C$7,'Engine Inputs'!$B$9)*($B$7-'Engine Inputs'!$B$5-'Engine Inputs'!$B$6-2*'Engine Inputs'!$B$7*SQRT(MIN('Engine Inputs'!$B$12*K33/$C$7,'Engine Inputs'!$B$9)/'Engine Inputs'!$B$8))+MAX(K33-MIN('Engine Inputs'!$B$12*K33/$C$7,'Engine Inputs'!$B$9)*$C$7,0)*'Engine Inputs'!$B$10/$D$7)*(1-'Engine Inputs'!$B$4)+IF($D$7=1,(1-IF(OR($D$7=2,MOD(A34,2)=1),1,0))*K33*'Engine Inputs'!$B$10*(1-'Engine Inputs'!$B$4)/2,0)-IF(MOD(A34,2)=0,INDEX($B$11:$D$25,B34,3)*(1-'Engine Inputs'!$B$4),0)</f>
        <v>55377923.246680245</v>
      </c>
    </row>
    <row r="35" spans="1:11" ht="13.5" customHeight="1" x14ac:dyDescent="0.3">
      <c r="A35" s="10">
        <v>7</v>
      </c>
      <c r="B35" s="48">
        <f t="shared" si="3"/>
        <v>4</v>
      </c>
      <c r="C35" s="49">
        <f>C34+IF(OR($D$5=2,MOD(A35,2)=1),1,0)*(MIN('Engine Inputs'!$B$12*C34/$C$5,'Engine Inputs'!$B$9)*($B$5-'Engine Inputs'!$B$5-'Engine Inputs'!$B$6-2*'Engine Inputs'!$B$7*SQRT(MIN('Engine Inputs'!$B$12*C34/$C$5,'Engine Inputs'!$B$9)/'Engine Inputs'!$B$8))+MAX(C34-MIN('Engine Inputs'!$B$12*C34/$C$5,'Engine Inputs'!$B$9)*$C$5,0)*'Engine Inputs'!$B$10/$D$5)*(1-'Engine Inputs'!$B$4)+IF($D$5=1,(1-IF(OR($D$5=2,MOD(A35,2)=1),1,0))*C34*'Engine Inputs'!$B$10*(1-'Engine Inputs'!$B$4)/2,0)-IF(MOD(A35,2)=0,INDEX($B$11:$D$25,B35,1)*(1-'Engine Inputs'!$B$4),0)</f>
        <v>144900034.42181081</v>
      </c>
      <c r="D35" s="49">
        <f>D34+IF(OR($D$5=2,MOD(A35,2)=1),1,0)*(MIN('Engine Inputs'!$B$12*D34/$C$5,'Engine Inputs'!$B$9)*($B$5-'Engine Inputs'!$B$5-'Engine Inputs'!$B$6-2*'Engine Inputs'!$B$7*SQRT(MIN('Engine Inputs'!$B$12*D34/$C$5,'Engine Inputs'!$B$9)/'Engine Inputs'!$B$8))+MAX(D34-MIN('Engine Inputs'!$B$12*D34/$C$5,'Engine Inputs'!$B$9)*$C$5,0)*'Engine Inputs'!$B$10/$D$5)*(1-'Engine Inputs'!$B$4)+IF($D$5=1,(1-IF(OR($D$5=2,MOD(A35,2)=1),1,0))*D34*'Engine Inputs'!$B$10*(1-'Engine Inputs'!$B$4)/2,0)-IF(MOD(A35,2)=0,INDEX($B$11:$D$25,B35,2)*(1-'Engine Inputs'!$B$4),0)</f>
        <v>530172326.30237281</v>
      </c>
      <c r="E35" s="52">
        <f>E34+IF(OR($D$5=2,MOD(A35,2)=1),1,0)*(MIN('Engine Inputs'!$B$12*E34/$C$5,'Engine Inputs'!$B$9)*($B$5-'Engine Inputs'!$B$5-'Engine Inputs'!$B$6-2*'Engine Inputs'!$B$7*SQRT(MIN('Engine Inputs'!$B$12*E34/$C$5,'Engine Inputs'!$B$9)/'Engine Inputs'!$B$8))+MAX(E34-MIN('Engine Inputs'!$B$12*E34/$C$5,'Engine Inputs'!$B$9)*$C$5,0)*'Engine Inputs'!$B$10/$D$5)*(1-'Engine Inputs'!$B$4)+IF($D$5=1,(1-IF(OR($D$5=2,MOD(A35,2)=1),1,0))*E34*'Engine Inputs'!$B$10*(1-'Engine Inputs'!$B$4)/2,0)-IF(MOD(A35,2)=0,INDEX($B$11:$D$25,B35,3)*(1-'Engine Inputs'!$B$4),0)</f>
        <v>1369266013.5266767</v>
      </c>
      <c r="F35" s="49">
        <f>F34+IF(OR($D$6=2,MOD(A35,2)=1),1,0)*(MIN('Engine Inputs'!$B$12*F34/$C$6,'Engine Inputs'!$B$9)*($B$6-'Engine Inputs'!$B$5-'Engine Inputs'!$B$6-2*'Engine Inputs'!$B$7*SQRT(MIN('Engine Inputs'!$B$12*F34/$C$6,'Engine Inputs'!$B$9)/'Engine Inputs'!$B$8))+MAX(F34-MIN('Engine Inputs'!$B$12*F34/$C$6,'Engine Inputs'!$B$9)*$C$6,0)*'Engine Inputs'!$B$10/$D$6)*(1-'Engine Inputs'!$B$4)+IF($D$6=1,(1-IF(OR($D$6=2,MOD(A35,2)=1),1,0))*F34*'Engine Inputs'!$B$10*(1-'Engine Inputs'!$B$4)/2,0)-IF(MOD(A35,2)=0,INDEX($B$11:$D$25,B35,1)*(1-'Engine Inputs'!$B$4),0)</f>
        <v>30085514.33824335</v>
      </c>
      <c r="G35" s="49">
        <f>G34+IF(OR($D$6=2,MOD(A35,2)=1),1,0)*(MIN('Engine Inputs'!$B$12*G34/$C$6,'Engine Inputs'!$B$9)*($B$6-'Engine Inputs'!$B$5-'Engine Inputs'!$B$6-2*'Engine Inputs'!$B$7*SQRT(MIN('Engine Inputs'!$B$12*G34/$C$6,'Engine Inputs'!$B$9)/'Engine Inputs'!$B$8))+MAX(G34-MIN('Engine Inputs'!$B$12*G34/$C$6,'Engine Inputs'!$B$9)*$C$6,0)*'Engine Inputs'!$B$10/$D$6)*(1-'Engine Inputs'!$B$4)+IF($D$6=1,(1-IF(OR($D$6=2,MOD(A35,2)=1),1,0))*G34*'Engine Inputs'!$B$10*(1-'Engine Inputs'!$B$4)/2,0)-IF(MOD(A35,2)=0,INDEX($B$11:$D$25,B35,2)*(1-'Engine Inputs'!$B$4),0)</f>
        <v>110778421.56913677</v>
      </c>
      <c r="H35" s="49">
        <f>H34+IF(OR($D$6=2,MOD(A35,2)=1),1,0)*(MIN('Engine Inputs'!$B$12*H34/$C$6,'Engine Inputs'!$B$9)*($B$6-'Engine Inputs'!$B$5-'Engine Inputs'!$B$6-2*'Engine Inputs'!$B$7*SQRT(MIN('Engine Inputs'!$B$12*H34/$C$6,'Engine Inputs'!$B$9)/'Engine Inputs'!$B$8))+MAX(H34-MIN('Engine Inputs'!$B$12*H34/$C$6,'Engine Inputs'!$B$9)*$C$6,0)*'Engine Inputs'!$B$10/$D$6)*(1-'Engine Inputs'!$B$4)+IF($D$6=1,(1-IF(OR($D$6=2,MOD(A35,2)=1),1,0))*H34*'Engine Inputs'!$B$10*(1-'Engine Inputs'!$B$4)/2,0)-IF(MOD(A35,2)=0,INDEX($B$11:$D$25,B35,3)*(1-'Engine Inputs'!$B$4),0)</f>
        <v>288466435.93209958</v>
      </c>
      <c r="I35" s="45">
        <f>I34+IF(OR($D$7=2,MOD(A35,2)=1),1,0)*(MIN('Engine Inputs'!$B$12*I34/$C$7,'Engine Inputs'!$B$9)*($B$7-'Engine Inputs'!$B$5-'Engine Inputs'!$B$6-2*'Engine Inputs'!$B$7*SQRT(MIN('Engine Inputs'!$B$12*I34/$C$7,'Engine Inputs'!$B$9)/'Engine Inputs'!$B$8))+MAX(I34-MIN('Engine Inputs'!$B$12*I34/$C$7,'Engine Inputs'!$B$9)*$C$7,0)*'Engine Inputs'!$B$10/$D$7)*(1-'Engine Inputs'!$B$4)+IF($D$7=1,(1-IF(OR($D$7=2,MOD(A35,2)=1),1,0))*I34*'Engine Inputs'!$B$10*(1-'Engine Inputs'!$B$4)/2,0)-IF(MOD(A35,2)=0,INDEX($B$11:$D$25,B35,1)*(1-'Engine Inputs'!$B$4),0)</f>
        <v>7745832.1529055098</v>
      </c>
      <c r="J35" s="49">
        <f>J34+IF(OR($D$7=2,MOD(A35,2)=1),1,0)*(MIN('Engine Inputs'!$B$12*J34/$C$7,'Engine Inputs'!$B$9)*($B$7-'Engine Inputs'!$B$5-'Engine Inputs'!$B$6-2*'Engine Inputs'!$B$7*SQRT(MIN('Engine Inputs'!$B$12*J34/$C$7,'Engine Inputs'!$B$9)/'Engine Inputs'!$B$8))+MAX(J34-MIN('Engine Inputs'!$B$12*J34/$C$7,'Engine Inputs'!$B$9)*$C$7,0)*'Engine Inputs'!$B$10/$D$7)*(1-'Engine Inputs'!$B$4)+IF($D$7=1,(1-IF(OR($D$7=2,MOD(A35,2)=1),1,0))*J34*'Engine Inputs'!$B$10*(1-'Engine Inputs'!$B$4)/2,0)-IF(MOD(A35,2)=0,INDEX($B$11:$D$25,B35,2)*(1-'Engine Inputs'!$B$4),0)</f>
        <v>28833212.255961522</v>
      </c>
      <c r="K35" s="49">
        <f>K34+IF(OR($D$7=2,MOD(A35,2)=1),1,0)*(MIN('Engine Inputs'!$B$12*K34/$C$7,'Engine Inputs'!$B$9)*($B$7-'Engine Inputs'!$B$5-'Engine Inputs'!$B$6-2*'Engine Inputs'!$B$7*SQRT(MIN('Engine Inputs'!$B$12*K34/$C$7,'Engine Inputs'!$B$9)/'Engine Inputs'!$B$8))+MAX(K34-MIN('Engine Inputs'!$B$12*K34/$C$7,'Engine Inputs'!$B$9)*$C$7,0)*'Engine Inputs'!$B$10/$D$7)*(1-'Engine Inputs'!$B$4)+IF($D$7=1,(1-IF(OR($D$7=2,MOD(A35,2)=1),1,0))*K34*'Engine Inputs'!$B$10*(1-'Engine Inputs'!$B$4)/2,0)-IF(MOD(A35,2)=0,INDEX($B$11:$D$25,B35,3)*(1-'Engine Inputs'!$B$4),0)</f>
        <v>76149822.034198985</v>
      </c>
    </row>
    <row r="36" spans="1:11" ht="13.5" customHeight="1" x14ac:dyDescent="0.3">
      <c r="A36" s="13">
        <v>8</v>
      </c>
      <c r="B36" s="50">
        <f t="shared" si="3"/>
        <v>4</v>
      </c>
      <c r="C36" s="51">
        <f>C35+IF(OR($D$5=2,MOD(A36,2)=1),1,0)*(MIN('Engine Inputs'!$B$12*C35/$C$5,'Engine Inputs'!$B$9)*($B$5-'Engine Inputs'!$B$5-'Engine Inputs'!$B$6-2*'Engine Inputs'!$B$7*SQRT(MIN('Engine Inputs'!$B$12*C35/$C$5,'Engine Inputs'!$B$9)/'Engine Inputs'!$B$8))+MAX(C35-MIN('Engine Inputs'!$B$12*C35/$C$5,'Engine Inputs'!$B$9)*$C$5,0)*'Engine Inputs'!$B$10/$D$5)*(1-'Engine Inputs'!$B$4)+IF($D$5=1,(1-IF(OR($D$5=2,MOD(A36,2)=1),1,0))*C35*'Engine Inputs'!$B$10*(1-'Engine Inputs'!$B$4)/2,0)-IF(MOD(A36,2)=0,INDEX($B$11:$D$25,B36,1)*(1-'Engine Inputs'!$B$4),0)</f>
        <v>265411246.37908143</v>
      </c>
      <c r="D36" s="51">
        <f>D35+IF(OR($D$5=2,MOD(A36,2)=1),1,0)*(MIN('Engine Inputs'!$B$12*D35/$C$5,'Engine Inputs'!$B$9)*($B$5-'Engine Inputs'!$B$5-'Engine Inputs'!$B$6-2*'Engine Inputs'!$B$7*SQRT(MIN('Engine Inputs'!$B$12*D35/$C$5,'Engine Inputs'!$B$9)/'Engine Inputs'!$B$8))+MAX(D35-MIN('Engine Inputs'!$B$12*D35/$C$5,'Engine Inputs'!$B$9)*$C$5,0)*'Engine Inputs'!$B$10/$D$5)*(1-'Engine Inputs'!$B$4)+IF($D$5=1,(1-IF(OR($D$5=2,MOD(A36,2)=1),1,0))*D35*'Engine Inputs'!$B$10*(1-'Engine Inputs'!$B$4)/2,0)-IF(MOD(A36,2)=0,INDEX($B$11:$D$25,B36,2)*(1-'Engine Inputs'!$B$4),0)</f>
        <v>961561367.32510936</v>
      </c>
      <c r="E36" s="53">
        <f>E35+IF(OR($D$5=2,MOD(A36,2)=1),1,0)*(MIN('Engine Inputs'!$B$12*E35/$C$5,'Engine Inputs'!$B$9)*($B$5-'Engine Inputs'!$B$5-'Engine Inputs'!$B$6-2*'Engine Inputs'!$B$7*SQRT(MIN('Engine Inputs'!$B$12*E35/$C$5,'Engine Inputs'!$B$9)/'Engine Inputs'!$B$8))+MAX(E35-MIN('Engine Inputs'!$B$12*E35/$C$5,'Engine Inputs'!$B$9)*$C$5,0)*'Engine Inputs'!$B$10/$D$5)*(1-'Engine Inputs'!$B$4)+IF($D$5=1,(1-IF(OR($D$5=2,MOD(A36,2)=1),1,0))*E35*'Engine Inputs'!$B$10*(1-'Engine Inputs'!$B$4)/2,0)-IF(MOD(A36,2)=0,INDEX($B$11:$D$25,B36,3)*(1-'Engine Inputs'!$B$4),0)</f>
        <v>2161075129.1077256</v>
      </c>
      <c r="F36" s="51">
        <f>F35+IF(OR($D$6=2,MOD(A36,2)=1),1,0)*(MIN('Engine Inputs'!$B$12*F35/$C$6,'Engine Inputs'!$B$9)*($B$6-'Engine Inputs'!$B$5-'Engine Inputs'!$B$6-2*'Engine Inputs'!$B$7*SQRT(MIN('Engine Inputs'!$B$12*F35/$C$6,'Engine Inputs'!$B$9)/'Engine Inputs'!$B$8))+MAX(F35-MIN('Engine Inputs'!$B$12*F35/$C$6,'Engine Inputs'!$B$9)*$C$6,0)*'Engine Inputs'!$B$10/$D$6)*(1-'Engine Inputs'!$B$4)+IF($D$6=1,(1-IF(OR($D$6=2,MOD(A36,2)=1),1,0))*F35*'Engine Inputs'!$B$10*(1-'Engine Inputs'!$B$4)/2,0)-IF(MOD(A36,2)=0,INDEX($B$11:$D$25,B36,1)*(1-'Engine Inputs'!$B$4),0)</f>
        <v>44194948.860413812</v>
      </c>
      <c r="G36" s="51">
        <f>G35+IF(OR($D$6=2,MOD(A36,2)=1),1,0)*(MIN('Engine Inputs'!$B$12*G35/$C$6,'Engine Inputs'!$B$9)*($B$6-'Engine Inputs'!$B$5-'Engine Inputs'!$B$6-2*'Engine Inputs'!$B$7*SQRT(MIN('Engine Inputs'!$B$12*G35/$C$6,'Engine Inputs'!$B$9)/'Engine Inputs'!$B$8))+MAX(G35-MIN('Engine Inputs'!$B$12*G35/$C$6,'Engine Inputs'!$B$9)*$C$6,0)*'Engine Inputs'!$B$10/$D$6)*(1-'Engine Inputs'!$B$4)+IF($D$6=1,(1-IF(OR($D$6=2,MOD(A36,2)=1),1,0))*G35*'Engine Inputs'!$B$10*(1-'Engine Inputs'!$B$4)/2,0)-IF(MOD(A36,2)=0,INDEX($B$11:$D$25,B36,2)*(1-'Engine Inputs'!$B$4),0)</f>
        <v>161883547.10292792</v>
      </c>
      <c r="H36" s="53">
        <f>H35+IF(OR($D$6=2,MOD(A36,2)=1),1,0)*(MIN('Engine Inputs'!$B$12*H35/$C$6,'Engine Inputs'!$B$9)*($B$6-'Engine Inputs'!$B$5-'Engine Inputs'!$B$6-2*'Engine Inputs'!$B$7*SQRT(MIN('Engine Inputs'!$B$12*H35/$C$6,'Engine Inputs'!$B$9)/'Engine Inputs'!$B$8))+MAX(H35-MIN('Engine Inputs'!$B$12*H35/$C$6,'Engine Inputs'!$B$9)*$C$6,0)*'Engine Inputs'!$B$10/$D$6)*(1-'Engine Inputs'!$B$4)+IF($D$6=1,(1-IF(OR($D$6=2,MOD(A36,2)=1),1,0))*H35*'Engine Inputs'!$B$10*(1-'Engine Inputs'!$B$4)/2,0)-IF(MOD(A36,2)=0,INDEX($B$11:$D$25,B36,3)*(1-'Engine Inputs'!$B$4),0)</f>
        <v>418715421.99550217</v>
      </c>
      <c r="I36" s="47">
        <f>I35+IF(OR($D$7=2,MOD(A36,2)=1),1,0)*(MIN('Engine Inputs'!$B$12*I35/$C$7,'Engine Inputs'!$B$9)*($B$7-'Engine Inputs'!$B$5-'Engine Inputs'!$B$6-2*'Engine Inputs'!$B$7*SQRT(MIN('Engine Inputs'!$B$12*I35/$C$7,'Engine Inputs'!$B$9)/'Engine Inputs'!$B$8))+MAX(I35-MIN('Engine Inputs'!$B$12*I35/$C$7,'Engine Inputs'!$B$9)*$C$7,0)*'Engine Inputs'!$B$10/$D$7)*(1-'Engine Inputs'!$B$4)+IF($D$7=1,(1-IF(OR($D$7=2,MOD(A36,2)=1),1,0))*I35*'Engine Inputs'!$B$10*(1-'Engine Inputs'!$B$4)/2,0)-IF(MOD(A36,2)=0,INDEX($B$11:$D$25,B36,1)*(1-'Engine Inputs'!$B$4),0)</f>
        <v>7896797.8891970329</v>
      </c>
      <c r="J36" s="51">
        <f>J35+IF(OR($D$7=2,MOD(A36,2)=1),1,0)*(MIN('Engine Inputs'!$B$12*J35/$C$7,'Engine Inputs'!$B$9)*($B$7-'Engine Inputs'!$B$5-'Engine Inputs'!$B$6-2*'Engine Inputs'!$B$7*SQRT(MIN('Engine Inputs'!$B$12*J35/$C$7,'Engine Inputs'!$B$9)/'Engine Inputs'!$B$8))+MAX(J35-MIN('Engine Inputs'!$B$12*J35/$C$7,'Engine Inputs'!$B$9)*$C$7,0)*'Engine Inputs'!$B$10/$D$7)*(1-'Engine Inputs'!$B$4)+IF($D$7=1,(1-IF(OR($D$7=2,MOD(A36,2)=1),1,0))*J35*'Engine Inputs'!$B$10*(1-'Engine Inputs'!$B$4)/2,0)-IF(MOD(A36,2)=0,INDEX($B$11:$D$25,B36,2)*(1-'Engine Inputs'!$B$4),0)</f>
        <v>29394137.511311408</v>
      </c>
      <c r="K36" s="51">
        <f>K35+IF(OR($D$7=2,MOD(A36,2)=1),1,0)*(MIN('Engine Inputs'!$B$12*K35/$C$7,'Engine Inputs'!$B$9)*($B$7-'Engine Inputs'!$B$5-'Engine Inputs'!$B$6-2*'Engine Inputs'!$B$7*SQRT(MIN('Engine Inputs'!$B$12*K35/$C$7,'Engine Inputs'!$B$9)/'Engine Inputs'!$B$8))+MAX(K35-MIN('Engine Inputs'!$B$12*K35/$C$7,'Engine Inputs'!$B$9)*$C$7,0)*'Engine Inputs'!$B$10/$D$7)*(1-'Engine Inputs'!$B$4)+IF($D$7=1,(1-IF(OR($D$7=2,MOD(A36,2)=1),1,0))*K35*'Engine Inputs'!$B$10*(1-'Engine Inputs'!$B$4)/2,0)-IF(MOD(A36,2)=0,INDEX($B$11:$D$25,B36,3)*(1-'Engine Inputs'!$B$4),0)</f>
        <v>77627656.165999517</v>
      </c>
    </row>
    <row r="37" spans="1:11" ht="13.5" customHeight="1" x14ac:dyDescent="0.3">
      <c r="A37" s="10">
        <v>9</v>
      </c>
      <c r="B37" s="48">
        <f t="shared" si="3"/>
        <v>5</v>
      </c>
      <c r="C37" s="49">
        <f>C36+IF(OR($D$5=2,MOD(A37,2)=1),1,0)*(MIN('Engine Inputs'!$B$12*C36/$C$5,'Engine Inputs'!$B$9)*($B$5-'Engine Inputs'!$B$5-'Engine Inputs'!$B$6-2*'Engine Inputs'!$B$7*SQRT(MIN('Engine Inputs'!$B$12*C36/$C$5,'Engine Inputs'!$B$9)/'Engine Inputs'!$B$8))+MAX(C36-MIN('Engine Inputs'!$B$12*C36/$C$5,'Engine Inputs'!$B$9)*$C$5,0)*'Engine Inputs'!$B$10/$D$5)*(1-'Engine Inputs'!$B$4)+IF($D$5=1,(1-IF(OR($D$5=2,MOD(A37,2)=1),1,0))*C36*'Engine Inputs'!$B$10*(1-'Engine Inputs'!$B$4)/2,0)-IF(MOD(A37,2)=0,INDEX($B$11:$D$25,B37,1)*(1-'Engine Inputs'!$B$4),0)</f>
        <v>484368638.00629473</v>
      </c>
      <c r="D37" s="52">
        <f>D36+IF(OR($D$5=2,MOD(A37,2)=1),1,0)*(MIN('Engine Inputs'!$B$12*D36/$C$5,'Engine Inputs'!$B$9)*($B$5-'Engine Inputs'!$B$5-'Engine Inputs'!$B$6-2*'Engine Inputs'!$B$7*SQRT(MIN('Engine Inputs'!$B$12*D36/$C$5,'Engine Inputs'!$B$9)/'Engine Inputs'!$B$8))+MAX(D36-MIN('Engine Inputs'!$B$12*D36/$C$5,'Engine Inputs'!$B$9)*$C$5,0)*'Engine Inputs'!$B$10/$D$5)*(1-'Engine Inputs'!$B$4)+IF($D$5=1,(1-IF(OR($D$5=2,MOD(A37,2)=1),1,0))*D36*'Engine Inputs'!$B$10*(1-'Engine Inputs'!$B$4)/2,0)-IF(MOD(A37,2)=0,INDEX($B$11:$D$25,B37,2)*(1-'Engine Inputs'!$B$4),0)</f>
        <v>1731639462.5970225</v>
      </c>
      <c r="E37" s="52">
        <f>E36+IF(OR($D$5=2,MOD(A37,2)=1),1,0)*(MIN('Engine Inputs'!$B$12*E36/$C$5,'Engine Inputs'!$B$9)*($B$5-'Engine Inputs'!$B$5-'Engine Inputs'!$B$6-2*'Engine Inputs'!$B$7*SQRT(MIN('Engine Inputs'!$B$12*E36/$C$5,'Engine Inputs'!$B$9)/'Engine Inputs'!$B$8))+MAX(E36-MIN('Engine Inputs'!$B$12*E36/$C$5,'Engine Inputs'!$B$9)*$C$5,0)*'Engine Inputs'!$B$10/$D$5)*(1-'Engine Inputs'!$B$4)+IF($D$5=1,(1-IF(OR($D$5=2,MOD(A37,2)=1),1,0))*E36*'Engine Inputs'!$B$10*(1-'Engine Inputs'!$B$4)/2,0)-IF(MOD(A37,2)=0,INDEX($B$11:$D$25,B37,3)*(1-'Engine Inputs'!$B$4),0)</f>
        <v>2972515519.1033521</v>
      </c>
      <c r="F37" s="49">
        <f>F36+IF(OR($D$6=2,MOD(A37,2)=1),1,0)*(MIN('Engine Inputs'!$B$12*F36/$C$6,'Engine Inputs'!$B$9)*($B$6-'Engine Inputs'!$B$5-'Engine Inputs'!$B$6-2*'Engine Inputs'!$B$7*SQRT(MIN('Engine Inputs'!$B$12*F36/$C$6,'Engine Inputs'!$B$9)/'Engine Inputs'!$B$8))+MAX(F36-MIN('Engine Inputs'!$B$12*F36/$C$6,'Engine Inputs'!$B$9)*$C$6,0)*'Engine Inputs'!$B$10/$D$6)*(1-'Engine Inputs'!$B$4)+IF($D$6=1,(1-IF(OR($D$6=2,MOD(A37,2)=1),1,0))*F36*'Engine Inputs'!$B$10*(1-'Engine Inputs'!$B$4)/2,0)-IF(MOD(A37,2)=0,INDEX($B$11:$D$25,B37,1)*(1-'Engine Inputs'!$B$4),0)</f>
        <v>64898580.144610934</v>
      </c>
      <c r="G37" s="49">
        <f>G36+IF(OR($D$6=2,MOD(A37,2)=1),1,0)*(MIN('Engine Inputs'!$B$12*G36/$C$6,'Engine Inputs'!$B$9)*($B$6-'Engine Inputs'!$B$5-'Engine Inputs'!$B$6-2*'Engine Inputs'!$B$7*SQRT(MIN('Engine Inputs'!$B$12*G36/$C$6,'Engine Inputs'!$B$9)/'Engine Inputs'!$B$8))+MAX(G36-MIN('Engine Inputs'!$B$12*G36/$C$6,'Engine Inputs'!$B$9)*$C$6,0)*'Engine Inputs'!$B$10/$D$6)*(1-'Engine Inputs'!$B$4)+IF($D$6=1,(1-IF(OR($D$6=2,MOD(A37,2)=1),1,0))*G36*'Engine Inputs'!$B$10*(1-'Engine Inputs'!$B$4)/2,0)-IF(MOD(A37,2)=0,INDEX($B$11:$D$25,B37,2)*(1-'Engine Inputs'!$B$4),0)</f>
        <v>236231385.32956102</v>
      </c>
      <c r="H37" s="52">
        <f>H36+IF(OR($D$6=2,MOD(A37,2)=1),1,0)*(MIN('Engine Inputs'!$B$12*H36/$C$6,'Engine Inputs'!$B$9)*($B$6-'Engine Inputs'!$B$5-'Engine Inputs'!$B$6-2*'Engine Inputs'!$B$7*SQRT(MIN('Engine Inputs'!$B$12*H36/$C$6,'Engine Inputs'!$B$9)/'Engine Inputs'!$B$8))+MAX(H36-MIN('Engine Inputs'!$B$12*H36/$C$6,'Engine Inputs'!$B$9)*$C$6,0)*'Engine Inputs'!$B$10/$D$6)*(1-'Engine Inputs'!$B$4)+IF($D$6=1,(1-IF(OR($D$6=2,MOD(A37,2)=1),1,0))*H36*'Engine Inputs'!$B$10*(1-'Engine Inputs'!$B$4)/2,0)-IF(MOD(A37,2)=0,INDEX($B$11:$D$25,B37,3)*(1-'Engine Inputs'!$B$4),0)</f>
        <v>606113821.7883153</v>
      </c>
      <c r="I37" s="49">
        <f>I36+IF(OR($D$7=2,MOD(A37,2)=1),1,0)*(MIN('Engine Inputs'!$B$12*I36/$C$7,'Engine Inputs'!$B$9)*($B$7-'Engine Inputs'!$B$5-'Engine Inputs'!$B$6-2*'Engine Inputs'!$B$7*SQRT(MIN('Engine Inputs'!$B$12*I36/$C$7,'Engine Inputs'!$B$9)/'Engine Inputs'!$B$8))+MAX(I36-MIN('Engine Inputs'!$B$12*I36/$C$7,'Engine Inputs'!$B$9)*$C$7,0)*'Engine Inputs'!$B$10/$D$7)*(1-'Engine Inputs'!$B$4)+IF($D$7=1,(1-IF(OR($D$7=2,MOD(A37,2)=1),1,0))*I36*'Engine Inputs'!$B$10*(1-'Engine Inputs'!$B$4)/2,0)-IF(MOD(A37,2)=0,INDEX($B$11:$D$25,B37,1)*(1-'Engine Inputs'!$B$4),0)</f>
        <v>10912042.081316486</v>
      </c>
      <c r="J37" s="49">
        <f>J36+IF(OR($D$7=2,MOD(A37,2)=1),1,0)*(MIN('Engine Inputs'!$B$12*J36/$C$7,'Engine Inputs'!$B$9)*($B$7-'Engine Inputs'!$B$5-'Engine Inputs'!$B$6-2*'Engine Inputs'!$B$7*SQRT(MIN('Engine Inputs'!$B$12*J36/$C$7,'Engine Inputs'!$B$9)/'Engine Inputs'!$B$8))+MAX(J36-MIN('Engine Inputs'!$B$12*J36/$C$7,'Engine Inputs'!$B$9)*$C$7,0)*'Engine Inputs'!$B$10/$D$7)*(1-'Engine Inputs'!$B$4)+IF($D$7=1,(1-IF(OR($D$7=2,MOD(A37,2)=1),1,0))*J36*'Engine Inputs'!$B$10*(1-'Engine Inputs'!$B$4)/2,0)-IF(MOD(A37,2)=0,INDEX($B$11:$D$25,B37,2)*(1-'Engine Inputs'!$B$4),0)</f>
        <v>40506065.494447999</v>
      </c>
      <c r="K37" s="49">
        <f>K36+IF(OR($D$7=2,MOD(A37,2)=1),1,0)*(MIN('Engine Inputs'!$B$12*K36/$C$7,'Engine Inputs'!$B$9)*($B$7-'Engine Inputs'!$B$5-'Engine Inputs'!$B$6-2*'Engine Inputs'!$B$7*SQRT(MIN('Engine Inputs'!$B$12*K36/$C$7,'Engine Inputs'!$B$9)/'Engine Inputs'!$B$8))+MAX(K36-MIN('Engine Inputs'!$B$12*K36/$C$7,'Engine Inputs'!$B$9)*$C$7,0)*'Engine Inputs'!$B$10/$D$7)*(1-'Engine Inputs'!$B$4)+IF($D$7=1,(1-IF(OR($D$7=2,MOD(A37,2)=1),1,0))*K36*'Engine Inputs'!$B$10*(1-'Engine Inputs'!$B$4)/2,0)-IF(MOD(A37,2)=0,INDEX($B$11:$D$25,B37,3)*(1-'Engine Inputs'!$B$4),0)</f>
        <v>106590681.60686657</v>
      </c>
    </row>
    <row r="38" spans="1:11" ht="13.5" customHeight="1" x14ac:dyDescent="0.3">
      <c r="A38" s="13">
        <v>10</v>
      </c>
      <c r="B38" s="50">
        <f t="shared" si="3"/>
        <v>5</v>
      </c>
      <c r="C38" s="51">
        <f>C37+IF(OR($D$5=2,MOD(A38,2)=1),1,0)*(MIN('Engine Inputs'!$B$12*C37/$C$5,'Engine Inputs'!$B$9)*($B$5-'Engine Inputs'!$B$5-'Engine Inputs'!$B$6-2*'Engine Inputs'!$B$7*SQRT(MIN('Engine Inputs'!$B$12*C37/$C$5,'Engine Inputs'!$B$9)/'Engine Inputs'!$B$8))+MAX(C37-MIN('Engine Inputs'!$B$12*C37/$C$5,'Engine Inputs'!$B$9)*$C$5,0)*'Engine Inputs'!$B$10/$D$5)*(1-'Engine Inputs'!$B$4)+IF($D$5=1,(1-IF(OR($D$5=2,MOD(A38,2)=1),1,0))*C37*'Engine Inputs'!$B$10*(1-'Engine Inputs'!$B$4)/2,0)-IF(MOD(A38,2)=0,INDEX($B$11:$D$25,B38,1)*(1-'Engine Inputs'!$B$4),0)</f>
        <v>879348734.72290266</v>
      </c>
      <c r="D38" s="53">
        <f>D37+IF(OR($D$5=2,MOD(A38,2)=1),1,0)*(MIN('Engine Inputs'!$B$12*D37/$C$5,'Engine Inputs'!$B$9)*($B$5-'Engine Inputs'!$B$5-'Engine Inputs'!$B$6-2*'Engine Inputs'!$B$7*SQRT(MIN('Engine Inputs'!$B$12*D37/$C$5,'Engine Inputs'!$B$9)/'Engine Inputs'!$B$8))+MAX(D37-MIN('Engine Inputs'!$B$12*D37/$C$5,'Engine Inputs'!$B$9)*$C$5,0)*'Engine Inputs'!$B$10/$D$5)*(1-'Engine Inputs'!$B$4)+IF($D$5=1,(1-IF(OR($D$5=2,MOD(A38,2)=1),1,0))*D37*'Engine Inputs'!$B$10*(1-'Engine Inputs'!$B$4)/2,0)-IF(MOD(A38,2)=0,INDEX($B$11:$D$25,B38,2)*(1-'Engine Inputs'!$B$4),0)</f>
        <v>2532355185.4088421</v>
      </c>
      <c r="E38" s="53">
        <f>E37+IF(OR($D$5=2,MOD(A38,2)=1),1,0)*(MIN('Engine Inputs'!$B$12*E37/$C$5,'Engine Inputs'!$B$9)*($B$5-'Engine Inputs'!$B$5-'Engine Inputs'!$B$6-2*'Engine Inputs'!$B$7*SQRT(MIN('Engine Inputs'!$B$12*E37/$C$5,'Engine Inputs'!$B$9)/'Engine Inputs'!$B$8))+MAX(E37-MIN('Engine Inputs'!$B$12*E37/$C$5,'Engine Inputs'!$B$9)*$C$5,0)*'Engine Inputs'!$B$10/$D$5)*(1-'Engine Inputs'!$B$4)+IF($D$5=1,(1-IF(OR($D$5=2,MOD(A38,2)=1),1,0))*E37*'Engine Inputs'!$B$10*(1-'Engine Inputs'!$B$4)/2,0)-IF(MOD(A38,2)=0,INDEX($B$11:$D$25,B38,3)*(1-'Engine Inputs'!$B$4),0)</f>
        <v>3802942143.9598284</v>
      </c>
      <c r="F38" s="51">
        <f>F37+IF(OR($D$6=2,MOD(A38,2)=1),1,0)*(MIN('Engine Inputs'!$B$12*F37/$C$6,'Engine Inputs'!$B$9)*($B$6-'Engine Inputs'!$B$5-'Engine Inputs'!$B$6-2*'Engine Inputs'!$B$7*SQRT(MIN('Engine Inputs'!$B$12*F37/$C$6,'Engine Inputs'!$B$9)/'Engine Inputs'!$B$8))+MAX(F37-MIN('Engine Inputs'!$B$12*F37/$C$6,'Engine Inputs'!$B$9)*$C$6,0)*'Engine Inputs'!$B$10/$D$6)*(1-'Engine Inputs'!$B$4)+IF($D$6=1,(1-IF(OR($D$6=2,MOD(A38,2)=1),1,0))*F37*'Engine Inputs'!$B$10*(1-'Engine Inputs'!$B$4)/2,0)-IF(MOD(A38,2)=0,INDEX($B$11:$D$25,B38,1)*(1-'Engine Inputs'!$B$4),0)</f>
        <v>95087946.394099787</v>
      </c>
      <c r="G38" s="53">
        <f>G37+IF(OR($D$6=2,MOD(A38,2)=1),1,0)*(MIN('Engine Inputs'!$B$12*G37/$C$6,'Engine Inputs'!$B$9)*($B$6-'Engine Inputs'!$B$5-'Engine Inputs'!$B$6-2*'Engine Inputs'!$B$7*SQRT(MIN('Engine Inputs'!$B$12*G37/$C$6,'Engine Inputs'!$B$9)/'Engine Inputs'!$B$8))+MAX(G37-MIN('Engine Inputs'!$B$12*G37/$C$6,'Engine Inputs'!$B$9)*$C$6,0)*'Engine Inputs'!$B$10/$D$6)*(1-'Engine Inputs'!$B$4)+IF($D$6=1,(1-IF(OR($D$6=2,MOD(A38,2)=1),1,0))*G37*'Engine Inputs'!$B$10*(1-'Engine Inputs'!$B$4)/2,0)-IF(MOD(A38,2)=0,INDEX($B$11:$D$25,B38,2)*(1-'Engine Inputs'!$B$4),0)</f>
        <v>343498043.66364288</v>
      </c>
      <c r="H38" s="53">
        <f>H37+IF(OR($D$6=2,MOD(A38,2)=1),1,0)*(MIN('Engine Inputs'!$B$12*H37/$C$6,'Engine Inputs'!$B$9)*($B$6-'Engine Inputs'!$B$5-'Engine Inputs'!$B$6-2*'Engine Inputs'!$B$7*SQRT(MIN('Engine Inputs'!$B$12*H37/$C$6,'Engine Inputs'!$B$9)/'Engine Inputs'!$B$8))+MAX(H37-MIN('Engine Inputs'!$B$12*H37/$C$6,'Engine Inputs'!$B$9)*$C$6,0)*'Engine Inputs'!$B$10/$D$6)*(1-'Engine Inputs'!$B$4)+IF($D$6=1,(1-IF(OR($D$6=2,MOD(A38,2)=1),1,0))*H37*'Engine Inputs'!$B$10*(1-'Engine Inputs'!$B$4)/2,0)-IF(MOD(A38,2)=0,INDEX($B$11:$D$25,B38,3)*(1-'Engine Inputs'!$B$4),0)</f>
        <v>872822244.88586855</v>
      </c>
      <c r="I38" s="51">
        <f>I37+IF(OR($D$7=2,MOD(A38,2)=1),1,0)*(MIN('Engine Inputs'!$B$12*I37/$C$7,'Engine Inputs'!$B$9)*($B$7-'Engine Inputs'!$B$5-'Engine Inputs'!$B$6-2*'Engine Inputs'!$B$7*SQRT(MIN('Engine Inputs'!$B$12*I37/$C$7,'Engine Inputs'!$B$9)/'Engine Inputs'!$B$8))+MAX(I37-MIN('Engine Inputs'!$B$12*I37/$C$7,'Engine Inputs'!$B$9)*$C$7,0)*'Engine Inputs'!$B$10/$D$7)*(1-'Engine Inputs'!$B$4)+IF($D$7=1,(1-IF(OR($D$7=2,MOD(A38,2)=1),1,0))*I37*'Engine Inputs'!$B$10*(1-'Engine Inputs'!$B$4)/2,0)-IF(MOD(A38,2)=0,INDEX($B$11:$D$25,B38,1)*(1-'Engine Inputs'!$B$4),0)</f>
        <v>11102595.309550935</v>
      </c>
      <c r="J38" s="51">
        <f>J37+IF(OR($D$7=2,MOD(A38,2)=1),1,0)*(MIN('Engine Inputs'!$B$12*J37/$C$7,'Engine Inputs'!$B$9)*($B$7-'Engine Inputs'!$B$5-'Engine Inputs'!$B$6-2*'Engine Inputs'!$B$7*SQRT(MIN('Engine Inputs'!$B$12*J37/$C$7,'Engine Inputs'!$B$9)/'Engine Inputs'!$B$8))+MAX(J37-MIN('Engine Inputs'!$B$12*J37/$C$7,'Engine Inputs'!$B$9)*$C$7,0)*'Engine Inputs'!$B$10/$D$7)*(1-'Engine Inputs'!$B$4)+IF($D$7=1,(1-IF(OR($D$7=2,MOD(A38,2)=1),1,0))*J37*'Engine Inputs'!$B$10*(1-'Engine Inputs'!$B$4)/2,0)-IF(MOD(A38,2)=0,INDEX($B$11:$D$25,B38,2)*(1-'Engine Inputs'!$B$4),0)</f>
        <v>41210569.209699169</v>
      </c>
      <c r="K38" s="51">
        <f>K37+IF(OR($D$7=2,MOD(A38,2)=1),1,0)*(MIN('Engine Inputs'!$B$12*K37/$C$7,'Engine Inputs'!$B$9)*($B$7-'Engine Inputs'!$B$5-'Engine Inputs'!$B$6-2*'Engine Inputs'!$B$7*SQRT(MIN('Engine Inputs'!$B$12*K37/$C$7,'Engine Inputs'!$B$9)/'Engine Inputs'!$B$8))+MAX(K37-MIN('Engine Inputs'!$B$12*K37/$C$7,'Engine Inputs'!$B$9)*$C$7,0)*'Engine Inputs'!$B$10/$D$7)*(1-'Engine Inputs'!$B$4)+IF($D$7=1,(1-IF(OR($D$7=2,MOD(A38,2)=1),1,0))*K37*'Engine Inputs'!$B$10*(1-'Engine Inputs'!$B$4)/2,0)-IF(MOD(A38,2)=0,INDEX($B$11:$D$25,B38,3)*(1-'Engine Inputs'!$B$4),0)</f>
        <v>108434689.61981821</v>
      </c>
    </row>
    <row r="39" spans="1:11" ht="13.5" customHeight="1" x14ac:dyDescent="0.3">
      <c r="A39" s="10">
        <v>11</v>
      </c>
      <c r="B39" s="48">
        <f t="shared" si="3"/>
        <v>6</v>
      </c>
      <c r="C39" s="52">
        <f>C38+IF(OR($D$5=2,MOD(A39,2)=1),1,0)*(MIN('Engine Inputs'!$B$12*C38/$C$5,'Engine Inputs'!$B$9)*($B$5-'Engine Inputs'!$B$5-'Engine Inputs'!$B$6-2*'Engine Inputs'!$B$7*SQRT(MIN('Engine Inputs'!$B$12*C38/$C$5,'Engine Inputs'!$B$9)/'Engine Inputs'!$B$8))+MAX(C38-MIN('Engine Inputs'!$B$12*C38/$C$5,'Engine Inputs'!$B$9)*$C$5,0)*'Engine Inputs'!$B$10/$D$5)*(1-'Engine Inputs'!$B$4)+IF($D$5=1,(1-IF(OR($D$5=2,MOD(A39,2)=1),1,0))*C38*'Engine Inputs'!$B$10*(1-'Engine Inputs'!$B$4)/2,0)-IF(MOD(A39,2)=0,INDEX($B$11:$D$25,B39,1)*(1-'Engine Inputs'!$B$4),0)</f>
        <v>1585538256.011457</v>
      </c>
      <c r="D39" s="52">
        <f>D38+IF(OR($D$5=2,MOD(A39,2)=1),1,0)*(MIN('Engine Inputs'!$B$12*D38/$C$5,'Engine Inputs'!$B$9)*($B$5-'Engine Inputs'!$B$5-'Engine Inputs'!$B$6-2*'Engine Inputs'!$B$7*SQRT(MIN('Engine Inputs'!$B$12*D38/$C$5,'Engine Inputs'!$B$9)/'Engine Inputs'!$B$8))+MAX(D38-MIN('Engine Inputs'!$B$12*D38/$C$5,'Engine Inputs'!$B$9)*$C$5,0)*'Engine Inputs'!$B$10/$D$5)*(1-'Engine Inputs'!$B$4)+IF($D$5=1,(1-IF(OR($D$5=2,MOD(A39,2)=1),1,0))*D38*'Engine Inputs'!$B$10*(1-'Engine Inputs'!$B$4)/2,0)-IF(MOD(A39,2)=0,INDEX($B$11:$D$25,B39,2)*(1-'Engine Inputs'!$B$4),0)</f>
        <v>3352825254.8857346</v>
      </c>
      <c r="E39" s="52">
        <f>E38+IF(OR($D$5=2,MOD(A39,2)=1),1,0)*(MIN('Engine Inputs'!$B$12*E38/$C$5,'Engine Inputs'!$B$9)*($B$5-'Engine Inputs'!$B$5-'Engine Inputs'!$B$6-2*'Engine Inputs'!$B$7*SQRT(MIN('Engine Inputs'!$B$12*E38/$C$5,'Engine Inputs'!$B$9)/'Engine Inputs'!$B$8))+MAX(E38-MIN('Engine Inputs'!$B$12*E38/$C$5,'Engine Inputs'!$B$9)*$C$5,0)*'Engine Inputs'!$B$10/$D$5)*(1-'Engine Inputs'!$B$4)+IF($D$5=1,(1-IF(OR($D$5=2,MOD(A39,2)=1),1,0))*E38*'Engine Inputs'!$B$10*(1-'Engine Inputs'!$B$4)/2,0)-IF(MOD(A39,2)=0,INDEX($B$11:$D$25,B39,3)*(1-'Engine Inputs'!$B$4),0)</f>
        <v>4654313396.5034637</v>
      </c>
      <c r="F39" s="49">
        <f>F38+IF(OR($D$6=2,MOD(A39,2)=1),1,0)*(MIN('Engine Inputs'!$B$12*F38/$C$6,'Engine Inputs'!$B$9)*($B$6-'Engine Inputs'!$B$5-'Engine Inputs'!$B$6-2*'Engine Inputs'!$B$7*SQRT(MIN('Engine Inputs'!$B$12*F38/$C$6,'Engine Inputs'!$B$9)/'Engine Inputs'!$B$8))+MAX(F38-MIN('Engine Inputs'!$B$12*F38/$C$6,'Engine Inputs'!$B$9)*$C$6,0)*'Engine Inputs'!$B$10/$D$6)*(1-'Engine Inputs'!$B$4)+IF($D$6=1,(1-IF(OR($D$6=2,MOD(A39,2)=1),1,0))*F38*'Engine Inputs'!$B$10*(1-'Engine Inputs'!$B$4)/2,0)-IF(MOD(A39,2)=0,INDEX($B$11:$D$25,B39,1)*(1-'Engine Inputs'!$B$4),0)</f>
        <v>139186414.78864887</v>
      </c>
      <c r="G39" s="52">
        <f>G38+IF(OR($D$6=2,MOD(A39,2)=1),1,0)*(MIN('Engine Inputs'!$B$12*G38/$C$6,'Engine Inputs'!$B$9)*($B$6-'Engine Inputs'!$B$5-'Engine Inputs'!$B$6-2*'Engine Inputs'!$B$7*SQRT(MIN('Engine Inputs'!$B$12*G38/$C$6,'Engine Inputs'!$B$9)/'Engine Inputs'!$B$8))+MAX(G38-MIN('Engine Inputs'!$B$12*G38/$C$6,'Engine Inputs'!$B$9)*$C$6,0)*'Engine Inputs'!$B$10/$D$6)*(1-'Engine Inputs'!$B$4)+IF($D$6=1,(1-IF(OR($D$6=2,MOD(A39,2)=1),1,0))*G38*'Engine Inputs'!$B$10*(1-'Engine Inputs'!$B$4)/2,0)-IF(MOD(A39,2)=0,INDEX($B$11:$D$25,B39,2)*(1-'Engine Inputs'!$B$4),0)</f>
        <v>498235144.75697684</v>
      </c>
      <c r="H39" s="52">
        <f>H38+IF(OR($D$6=2,MOD(A39,2)=1),1,0)*(MIN('Engine Inputs'!$B$12*H38/$C$6,'Engine Inputs'!$B$9)*($B$6-'Engine Inputs'!$B$5-'Engine Inputs'!$B$6-2*'Engine Inputs'!$B$7*SQRT(MIN('Engine Inputs'!$B$12*H38/$C$6,'Engine Inputs'!$B$9)/'Engine Inputs'!$B$8))+MAX(H38-MIN('Engine Inputs'!$B$12*H38/$C$6,'Engine Inputs'!$B$9)*$C$6,0)*'Engine Inputs'!$B$10/$D$6)*(1-'Engine Inputs'!$B$4)+IF($D$6=1,(1-IF(OR($D$6=2,MOD(A39,2)=1),1,0))*H38*'Engine Inputs'!$B$10*(1-'Engine Inputs'!$B$4)/2,0)-IF(MOD(A39,2)=0,INDEX($B$11:$D$25,B39,3)*(1-'Engine Inputs'!$B$4),0)</f>
        <v>1251463879.8154137</v>
      </c>
      <c r="I39" s="49">
        <f>I38+IF(OR($D$7=2,MOD(A39,2)=1),1,0)*(MIN('Engine Inputs'!$B$12*I38/$C$7,'Engine Inputs'!$B$9)*($B$7-'Engine Inputs'!$B$5-'Engine Inputs'!$B$6-2*'Engine Inputs'!$B$7*SQRT(MIN('Engine Inputs'!$B$12*I38/$C$7,'Engine Inputs'!$B$9)/'Engine Inputs'!$B$8))+MAX(I38-MIN('Engine Inputs'!$B$12*I38/$C$7,'Engine Inputs'!$B$9)*$C$7,0)*'Engine Inputs'!$B$10/$D$7)*(1-'Engine Inputs'!$B$4)+IF($D$7=1,(1-IF(OR($D$7=2,MOD(A39,2)=1),1,0))*I38*'Engine Inputs'!$B$10*(1-'Engine Inputs'!$B$4)/2,0)-IF(MOD(A39,2)=0,INDEX($B$11:$D$25,B39,1)*(1-'Engine Inputs'!$B$4),0)</f>
        <v>15333483.074560458</v>
      </c>
      <c r="J39" s="49">
        <f>J38+IF(OR($D$7=2,MOD(A39,2)=1),1,0)*(MIN('Engine Inputs'!$B$12*J38/$C$7,'Engine Inputs'!$B$9)*($B$7-'Engine Inputs'!$B$5-'Engine Inputs'!$B$6-2*'Engine Inputs'!$B$7*SQRT(MIN('Engine Inputs'!$B$12*J38/$C$7,'Engine Inputs'!$B$9)/'Engine Inputs'!$B$8))+MAX(J38-MIN('Engine Inputs'!$B$12*J38/$C$7,'Engine Inputs'!$B$9)*$C$7,0)*'Engine Inputs'!$B$10/$D$7)*(1-'Engine Inputs'!$B$4)+IF($D$7=1,(1-IF(OR($D$7=2,MOD(A39,2)=1),1,0))*J38*'Engine Inputs'!$B$10*(1-'Engine Inputs'!$B$4)/2,0)-IF(MOD(A39,2)=0,INDEX($B$11:$D$25,B39,2)*(1-'Engine Inputs'!$B$4),0)</f>
        <v>56729661.536909774</v>
      </c>
      <c r="K39" s="49">
        <f>K38+IF(OR($D$7=2,MOD(A39,2)=1),1,0)*(MIN('Engine Inputs'!$B$12*K38/$C$7,'Engine Inputs'!$B$9)*($B$7-'Engine Inputs'!$B$5-'Engine Inputs'!$B$6-2*'Engine Inputs'!$B$7*SQRT(MIN('Engine Inputs'!$B$12*K38/$C$7,'Engine Inputs'!$B$9)/'Engine Inputs'!$B$8))+MAX(K38-MIN('Engine Inputs'!$B$12*K38/$C$7,'Engine Inputs'!$B$9)*$C$7,0)*'Engine Inputs'!$B$10/$D$7)*(1-'Engine Inputs'!$B$4)+IF($D$7=1,(1-IF(OR($D$7=2,MOD(A39,2)=1),1,0))*K38*'Engine Inputs'!$B$10*(1-'Engine Inputs'!$B$4)/2,0)-IF(MOD(A39,2)=0,INDEX($B$11:$D$25,B39,3)*(1-'Engine Inputs'!$B$4),0)</f>
        <v>148639081.60685673</v>
      </c>
    </row>
    <row r="40" spans="1:11" ht="13.5" customHeight="1" x14ac:dyDescent="0.3">
      <c r="A40" s="13">
        <v>12</v>
      </c>
      <c r="B40" s="50">
        <f t="shared" si="3"/>
        <v>6</v>
      </c>
      <c r="C40" s="53">
        <f>C39+IF(OR($D$5=2,MOD(A40,2)=1),1,0)*(MIN('Engine Inputs'!$B$12*C39/$C$5,'Engine Inputs'!$B$9)*($B$5-'Engine Inputs'!$B$5-'Engine Inputs'!$B$6-2*'Engine Inputs'!$B$7*SQRT(MIN('Engine Inputs'!$B$12*C39/$C$5,'Engine Inputs'!$B$9)/'Engine Inputs'!$B$8))+MAX(C39-MIN('Engine Inputs'!$B$12*C39/$C$5,'Engine Inputs'!$B$9)*$C$5,0)*'Engine Inputs'!$B$10/$D$5)*(1-'Engine Inputs'!$B$4)+IF($D$5=1,(1-IF(OR($D$5=2,MOD(A40,2)=1),1,0))*C39*'Engine Inputs'!$B$10*(1-'Engine Inputs'!$B$4)/2,0)-IF(MOD(A40,2)=0,INDEX($B$11:$D$25,B40,1)*(1-'Engine Inputs'!$B$4),0)</f>
        <v>2382906527.0386329</v>
      </c>
      <c r="D40" s="53">
        <f>D39+IF(OR($D$5=2,MOD(A40,2)=1),1,0)*(MIN('Engine Inputs'!$B$12*D39/$C$5,'Engine Inputs'!$B$9)*($B$5-'Engine Inputs'!$B$5-'Engine Inputs'!$B$6-2*'Engine Inputs'!$B$7*SQRT(MIN('Engine Inputs'!$B$12*D39/$C$5,'Engine Inputs'!$B$9)/'Engine Inputs'!$B$8))+MAX(D39-MIN('Engine Inputs'!$B$12*D39/$C$5,'Engine Inputs'!$B$9)*$C$5,0)*'Engine Inputs'!$B$10/$D$5)*(1-'Engine Inputs'!$B$4)+IF($D$5=1,(1-IF(OR($D$5=2,MOD(A40,2)=1),1,0))*D39*'Engine Inputs'!$B$10*(1-'Engine Inputs'!$B$4)/2,0)-IF(MOD(A40,2)=0,INDEX($B$11:$D$25,B40,2)*(1-'Engine Inputs'!$B$4),0)</f>
        <v>4192968864.6403322</v>
      </c>
      <c r="E40" s="53">
        <f>E39+IF(OR($D$5=2,MOD(A40,2)=1),1,0)*(MIN('Engine Inputs'!$B$12*E39/$C$5,'Engine Inputs'!$B$9)*($B$5-'Engine Inputs'!$B$5-'Engine Inputs'!$B$6-2*'Engine Inputs'!$B$7*SQRT(MIN('Engine Inputs'!$B$12*E39/$C$5,'Engine Inputs'!$B$9)/'Engine Inputs'!$B$8))+MAX(E39-MIN('Engine Inputs'!$B$12*E39/$C$5,'Engine Inputs'!$B$9)*$C$5,0)*'Engine Inputs'!$B$10/$D$5)*(1-'Engine Inputs'!$B$4)+IF($D$5=1,(1-IF(OR($D$5=2,MOD(A40,2)=1),1,0))*E39*'Engine Inputs'!$B$10*(1-'Engine Inputs'!$B$4)/2,0)-IF(MOD(A40,2)=0,INDEX($B$11:$D$25,B40,3)*(1-'Engine Inputs'!$B$4),0)</f>
        <v>5525642018.4574614</v>
      </c>
      <c r="F40" s="51">
        <f>F39+IF(OR($D$6=2,MOD(A40,2)=1),1,0)*(MIN('Engine Inputs'!$B$12*F39/$C$6,'Engine Inputs'!$B$9)*($B$6-'Engine Inputs'!$B$5-'Engine Inputs'!$B$6-2*'Engine Inputs'!$B$7*SQRT(MIN('Engine Inputs'!$B$12*F39/$C$6,'Engine Inputs'!$B$9)/'Engine Inputs'!$B$8))+MAX(F39-MIN('Engine Inputs'!$B$12*F39/$C$6,'Engine Inputs'!$B$9)*$C$6,0)*'Engine Inputs'!$B$10/$D$6)*(1-'Engine Inputs'!$B$4)+IF($D$6=1,(1-IF(OR($D$6=2,MOD(A40,2)=1),1,0))*F39*'Engine Inputs'!$B$10*(1-'Engine Inputs'!$B$4)/2,0)-IF(MOD(A40,2)=0,INDEX($B$11:$D$25,B40,1)*(1-'Engine Inputs'!$B$4),0)</f>
        <v>203230334.15471745</v>
      </c>
      <c r="G40" s="53">
        <f>G39+IF(OR($D$6=2,MOD(A40,2)=1),1,0)*(MIN('Engine Inputs'!$B$12*G39/$C$6,'Engine Inputs'!$B$9)*($B$6-'Engine Inputs'!$B$5-'Engine Inputs'!$B$6-2*'Engine Inputs'!$B$7*SQRT(MIN('Engine Inputs'!$B$12*G39/$C$6,'Engine Inputs'!$B$9)/'Engine Inputs'!$B$8))+MAX(G39-MIN('Engine Inputs'!$B$12*G39/$C$6,'Engine Inputs'!$B$9)*$C$6,0)*'Engine Inputs'!$B$10/$D$6)*(1-'Engine Inputs'!$B$4)+IF($D$6=1,(1-IF(OR($D$6=2,MOD(A40,2)=1),1,0))*G39*'Engine Inputs'!$B$10*(1-'Engine Inputs'!$B$4)/2,0)-IF(MOD(A40,2)=0,INDEX($B$11:$D$25,B40,2)*(1-'Engine Inputs'!$B$4),0)</f>
        <v>719541015.38994658</v>
      </c>
      <c r="H40" s="53">
        <f>H39+IF(OR($D$6=2,MOD(A40,2)=1),1,0)*(MIN('Engine Inputs'!$B$12*H39/$C$6,'Engine Inputs'!$B$9)*($B$6-'Engine Inputs'!$B$5-'Engine Inputs'!$B$6-2*'Engine Inputs'!$B$7*SQRT(MIN('Engine Inputs'!$B$12*H39/$C$6,'Engine Inputs'!$B$9)/'Engine Inputs'!$B$8))+MAX(H39-MIN('Engine Inputs'!$B$12*H39/$C$6,'Engine Inputs'!$B$9)*$C$6,0)*'Engine Inputs'!$B$10/$D$6)*(1-'Engine Inputs'!$B$4)+IF($D$6=1,(1-IF(OR($D$6=2,MOD(A40,2)=1),1,0))*H39*'Engine Inputs'!$B$10*(1-'Engine Inputs'!$B$4)/2,0)-IF(MOD(A40,2)=0,INDEX($B$11:$D$25,B40,3)*(1-'Engine Inputs'!$B$4),0)</f>
        <v>1699303971.6437056</v>
      </c>
      <c r="I40" s="51">
        <f>I39+IF(OR($D$7=2,MOD(A40,2)=1),1,0)*(MIN('Engine Inputs'!$B$12*I39/$C$7,'Engine Inputs'!$B$9)*($B$7-'Engine Inputs'!$B$5-'Engine Inputs'!$B$6-2*'Engine Inputs'!$B$7*SQRT(MIN('Engine Inputs'!$B$12*I39/$C$7,'Engine Inputs'!$B$9)/'Engine Inputs'!$B$8))+MAX(I39-MIN('Engine Inputs'!$B$12*I39/$C$7,'Engine Inputs'!$B$9)*$C$7,0)*'Engine Inputs'!$B$10/$D$7)*(1-'Engine Inputs'!$B$4)+IF($D$7=1,(1-IF(OR($D$7=2,MOD(A40,2)=1),1,0))*I39*'Engine Inputs'!$B$10*(1-'Engine Inputs'!$B$4)/2,0)-IF(MOD(A40,2)=0,INDEX($B$11:$D$25,B40,1)*(1-'Engine Inputs'!$B$4),0)</f>
        <v>15631567.516326997</v>
      </c>
      <c r="J40" s="51">
        <f>J39+IF(OR($D$7=2,MOD(A40,2)=1),1,0)*(MIN('Engine Inputs'!$B$12*J39/$C$7,'Engine Inputs'!$B$9)*($B$7-'Engine Inputs'!$B$5-'Engine Inputs'!$B$6-2*'Engine Inputs'!$B$7*SQRT(MIN('Engine Inputs'!$B$12*J39/$C$7,'Engine Inputs'!$B$9)/'Engine Inputs'!$B$8))+MAX(J39-MIN('Engine Inputs'!$B$12*J39/$C$7,'Engine Inputs'!$B$9)*$C$7,0)*'Engine Inputs'!$B$10/$D$7)*(1-'Engine Inputs'!$B$4)+IF($D$7=1,(1-IF(OR($D$7=2,MOD(A40,2)=1),1,0))*J39*'Engine Inputs'!$B$10*(1-'Engine Inputs'!$B$4)/2,0)-IF(MOD(A40,2)=0,INDEX($B$11:$D$25,B40,2)*(1-'Engine Inputs'!$B$4),0)</f>
        <v>57828729.597352035</v>
      </c>
      <c r="K40" s="51">
        <f>K39+IF(OR($D$7=2,MOD(A40,2)=1),1,0)*(MIN('Engine Inputs'!$B$12*K39/$C$7,'Engine Inputs'!$B$9)*($B$7-'Engine Inputs'!$B$5-'Engine Inputs'!$B$6-2*'Engine Inputs'!$B$7*SQRT(MIN('Engine Inputs'!$B$12*K39/$C$7,'Engine Inputs'!$B$9)/'Engine Inputs'!$B$8))+MAX(K39-MIN('Engine Inputs'!$B$12*K39/$C$7,'Engine Inputs'!$B$9)*$C$7,0)*'Engine Inputs'!$B$10/$D$7)*(1-'Engine Inputs'!$B$4)+IF($D$7=1,(1-IF(OR($D$7=2,MOD(A40,2)=1),1,0))*K39*'Engine Inputs'!$B$10*(1-'Engine Inputs'!$B$4)/2,0)-IF(MOD(A40,2)=0,INDEX($B$11:$D$25,B40,3)*(1-'Engine Inputs'!$B$4),0)</f>
        <v>151505723.52716812</v>
      </c>
    </row>
    <row r="41" spans="1:11" ht="13.5" customHeight="1" x14ac:dyDescent="0.3">
      <c r="A41" s="10">
        <v>13</v>
      </c>
      <c r="B41" s="48">
        <f t="shared" si="3"/>
        <v>7</v>
      </c>
      <c r="C41" s="52">
        <f>C40+IF(OR($D$5=2,MOD(A41,2)=1),1,0)*(MIN('Engine Inputs'!$B$12*C40/$C$5,'Engine Inputs'!$B$9)*($B$5-'Engine Inputs'!$B$5-'Engine Inputs'!$B$6-2*'Engine Inputs'!$B$7*SQRT(MIN('Engine Inputs'!$B$12*C40/$C$5,'Engine Inputs'!$B$9)/'Engine Inputs'!$B$8))+MAX(C40-MIN('Engine Inputs'!$B$12*C40/$C$5,'Engine Inputs'!$B$9)*$C$5,0)*'Engine Inputs'!$B$10/$D$5)*(1-'Engine Inputs'!$B$4)+IF($D$5=1,(1-IF(OR($D$5=2,MOD(A41,2)=1),1,0))*C40*'Engine Inputs'!$B$10*(1-'Engine Inputs'!$B$4)/2,0)-IF(MOD(A41,2)=0,INDEX($B$11:$D$25,B41,1)*(1-'Engine Inputs'!$B$4),0)</f>
        <v>3199741945.3644981</v>
      </c>
      <c r="D41" s="52">
        <f>D40+IF(OR($D$5=2,MOD(A41,2)=1),1,0)*(MIN('Engine Inputs'!$B$12*D40/$C$5,'Engine Inputs'!$B$9)*($B$5-'Engine Inputs'!$B$5-'Engine Inputs'!$B$6-2*'Engine Inputs'!$B$7*SQRT(MIN('Engine Inputs'!$B$12*D40/$C$5,'Engine Inputs'!$B$9)/'Engine Inputs'!$B$8))+MAX(D40-MIN('Engine Inputs'!$B$12*D40/$C$5,'Engine Inputs'!$B$9)*$C$5,0)*'Engine Inputs'!$B$10/$D$5)*(1-'Engine Inputs'!$B$4)+IF($D$5=1,(1-IF(OR($D$5=2,MOD(A41,2)=1),1,0))*D40*'Engine Inputs'!$B$10*(1-'Engine Inputs'!$B$4)/2,0)-IF(MOD(A41,2)=0,INDEX($B$11:$D$25,B41,2)*(1-'Engine Inputs'!$B$4),0)</f>
        <v>5053825723.0416059</v>
      </c>
      <c r="E41" s="52">
        <f>E40+IF(OR($D$5=2,MOD(A41,2)=1),1,0)*(MIN('Engine Inputs'!$B$12*E40/$C$5,'Engine Inputs'!$B$9)*($B$5-'Engine Inputs'!$B$5-'Engine Inputs'!$B$6-2*'Engine Inputs'!$B$7*SQRT(MIN('Engine Inputs'!$B$12*E40/$C$5,'Engine Inputs'!$B$9)/'Engine Inputs'!$B$8))+MAX(E40-MIN('Engine Inputs'!$B$12*E40/$C$5,'Engine Inputs'!$B$9)*$C$5,0)*'Engine Inputs'!$B$10/$D$5)*(1-'Engine Inputs'!$B$4)+IF($D$5=1,(1-IF(OR($D$5=2,MOD(A41,2)=1),1,0))*E40*'Engine Inputs'!$B$10*(1-'Engine Inputs'!$B$4)/2,0)-IF(MOD(A41,2)=0,INDEX($B$11:$D$25,B41,3)*(1-'Engine Inputs'!$B$4),0)</f>
        <v>6418910021.0288296</v>
      </c>
      <c r="F41" s="52">
        <f>F40+IF(OR($D$6=2,MOD(A41,2)=1),1,0)*(MIN('Engine Inputs'!$B$12*F40/$C$6,'Engine Inputs'!$B$9)*($B$6-'Engine Inputs'!$B$5-'Engine Inputs'!$B$6-2*'Engine Inputs'!$B$7*SQRT(MIN('Engine Inputs'!$B$12*F40/$C$6,'Engine Inputs'!$B$9)/'Engine Inputs'!$B$8))+MAX(F40-MIN('Engine Inputs'!$B$12*F40/$C$6,'Engine Inputs'!$B$9)*$C$6,0)*'Engine Inputs'!$B$10/$D$6)*(1-'Engine Inputs'!$B$4)+IF($D$6=1,(1-IF(OR($D$6=2,MOD(A41,2)=1),1,0))*F40*'Engine Inputs'!$B$10*(1-'Engine Inputs'!$B$4)/2,0)-IF(MOD(A41,2)=0,INDEX($B$11:$D$25,B41,1)*(1-'Engine Inputs'!$B$4),0)</f>
        <v>296096066.67465049</v>
      </c>
      <c r="G41" s="52">
        <f>G40+IF(OR($D$6=2,MOD(A41,2)=1),1,0)*(MIN('Engine Inputs'!$B$12*G40/$C$6,'Engine Inputs'!$B$9)*($B$6-'Engine Inputs'!$B$5-'Engine Inputs'!$B$6-2*'Engine Inputs'!$B$7*SQRT(MIN('Engine Inputs'!$B$12*G40/$C$6,'Engine Inputs'!$B$9)/'Engine Inputs'!$B$8))+MAX(G40-MIN('Engine Inputs'!$B$12*G40/$C$6,'Engine Inputs'!$B$9)*$C$6,0)*'Engine Inputs'!$B$10/$D$6)*(1-'Engine Inputs'!$B$4)+IF($D$6=1,(1-IF(OR($D$6=2,MOD(A41,2)=1),1,0))*G40*'Engine Inputs'!$B$10*(1-'Engine Inputs'!$B$4)/2,0)-IF(MOD(A41,2)=0,INDEX($B$11:$D$25,B41,2)*(1-'Engine Inputs'!$B$4),0)</f>
        <v>1034648303.8578141</v>
      </c>
      <c r="H41" s="52">
        <f>H40+IF(OR($D$6=2,MOD(A41,2)=1),1,0)*(MIN('Engine Inputs'!$B$12*H40/$C$6,'Engine Inputs'!$B$9)*($B$6-'Engine Inputs'!$B$5-'Engine Inputs'!$B$6-2*'Engine Inputs'!$B$7*SQRT(MIN('Engine Inputs'!$B$12*H40/$C$6,'Engine Inputs'!$B$9)/'Engine Inputs'!$B$8))+MAX(H40-MIN('Engine Inputs'!$B$12*H40/$C$6,'Engine Inputs'!$B$9)*$C$6,0)*'Engine Inputs'!$B$10/$D$6)*(1-'Engine Inputs'!$B$4)+IF($D$6=1,(1-IF(OR($D$6=2,MOD(A41,2)=1),1,0))*H40*'Engine Inputs'!$B$10*(1-'Engine Inputs'!$B$4)/2,0)-IF(MOD(A41,2)=0,INDEX($B$11:$D$25,B41,3)*(1-'Engine Inputs'!$B$4),0)</f>
        <v>2158784033.6412983</v>
      </c>
      <c r="I41" s="49">
        <f>I40+IF(OR($D$7=2,MOD(A41,2)=1),1,0)*(MIN('Engine Inputs'!$B$12*I40/$C$7,'Engine Inputs'!$B$9)*($B$7-'Engine Inputs'!$B$5-'Engine Inputs'!$B$6-2*'Engine Inputs'!$B$7*SQRT(MIN('Engine Inputs'!$B$12*I40/$C$7,'Engine Inputs'!$B$9)/'Engine Inputs'!$B$8))+MAX(I40-MIN('Engine Inputs'!$B$12*I40/$C$7,'Engine Inputs'!$B$9)*$C$7,0)*'Engine Inputs'!$B$10/$D$7)*(1-'Engine Inputs'!$B$4)+IF($D$7=1,(1-IF(OR($D$7=2,MOD(A41,2)=1),1,0))*I40*'Engine Inputs'!$B$10*(1-'Engine Inputs'!$B$4)/2,0)-IF(MOD(A41,2)=0,INDEX($B$11:$D$25,B41,1)*(1-'Engine Inputs'!$B$4),0)</f>
        <v>21574183.769860178</v>
      </c>
      <c r="J41" s="49">
        <f>J40+IF(OR($D$7=2,MOD(A41,2)=1),1,0)*(MIN('Engine Inputs'!$B$12*J40/$C$7,'Engine Inputs'!$B$9)*($B$7-'Engine Inputs'!$B$5-'Engine Inputs'!$B$6-2*'Engine Inputs'!$B$7*SQRT(MIN('Engine Inputs'!$B$12*J40/$C$7,'Engine Inputs'!$B$9)/'Engine Inputs'!$B$8))+MAX(J40-MIN('Engine Inputs'!$B$12*J40/$C$7,'Engine Inputs'!$B$9)*$C$7,0)*'Engine Inputs'!$B$10/$D$7)*(1-'Engine Inputs'!$B$4)+IF($D$7=1,(1-IF(OR($D$7=2,MOD(A41,2)=1),1,0))*J40*'Engine Inputs'!$B$10*(1-'Engine Inputs'!$B$4)/2,0)-IF(MOD(A41,2)=0,INDEX($B$11:$D$25,B41,2)*(1-'Engine Inputs'!$B$4),0)</f>
        <v>79506206.782001525</v>
      </c>
      <c r="K41" s="49">
        <f>K40+IF(OR($D$7=2,MOD(A41,2)=1),1,0)*(MIN('Engine Inputs'!$B$12*K40/$C$7,'Engine Inputs'!$B$9)*($B$7-'Engine Inputs'!$B$5-'Engine Inputs'!$B$6-2*'Engine Inputs'!$B$7*SQRT(MIN('Engine Inputs'!$B$12*K40/$C$7,'Engine Inputs'!$B$9)/'Engine Inputs'!$B$8))+MAX(K40-MIN('Engine Inputs'!$B$12*K40/$C$7,'Engine Inputs'!$B$9)*$C$7,0)*'Engine Inputs'!$B$10/$D$7)*(1-'Engine Inputs'!$B$4)+IF($D$7=1,(1-IF(OR($D$7=2,MOD(A41,2)=1),1,0))*K40*'Engine Inputs'!$B$10*(1-'Engine Inputs'!$B$4)/2,0)-IF(MOD(A41,2)=0,INDEX($B$11:$D$25,B41,3)*(1-'Engine Inputs'!$B$4),0)</f>
        <v>207261794.67638981</v>
      </c>
    </row>
    <row r="42" spans="1:11" ht="13.5" customHeight="1" x14ac:dyDescent="0.3">
      <c r="A42" s="13">
        <v>14</v>
      </c>
      <c r="B42" s="50">
        <f t="shared" si="3"/>
        <v>7</v>
      </c>
      <c r="C42" s="53">
        <f>C41+IF(OR($D$5=2,MOD(A42,2)=1),1,0)*(MIN('Engine Inputs'!$B$12*C41/$C$5,'Engine Inputs'!$B$9)*($B$5-'Engine Inputs'!$B$5-'Engine Inputs'!$B$6-2*'Engine Inputs'!$B$7*SQRT(MIN('Engine Inputs'!$B$12*C41/$C$5,'Engine Inputs'!$B$9)/'Engine Inputs'!$B$8))+MAX(C41-MIN('Engine Inputs'!$B$12*C41/$C$5,'Engine Inputs'!$B$9)*$C$5,0)*'Engine Inputs'!$B$10/$D$5)*(1-'Engine Inputs'!$B$4)+IF($D$5=1,(1-IF(OR($D$5=2,MOD(A42,2)=1),1,0))*C41*'Engine Inputs'!$B$10*(1-'Engine Inputs'!$B$4)/2,0)-IF(MOD(A42,2)=0,INDEX($B$11:$D$25,B42,1)*(1-'Engine Inputs'!$B$4),0)</f>
        <v>4036368295.7982159</v>
      </c>
      <c r="D42" s="53">
        <f>D41+IF(OR($D$5=2,MOD(A42,2)=1),1,0)*(MIN('Engine Inputs'!$B$12*D41/$C$5,'Engine Inputs'!$B$9)*($B$5-'Engine Inputs'!$B$5-'Engine Inputs'!$B$6-2*'Engine Inputs'!$B$7*SQRT(MIN('Engine Inputs'!$B$12*D41/$C$5,'Engine Inputs'!$B$9)/'Engine Inputs'!$B$8))+MAX(D41-MIN('Engine Inputs'!$B$12*D41/$C$5,'Engine Inputs'!$B$9)*$C$5,0)*'Engine Inputs'!$B$10/$D$5)*(1-'Engine Inputs'!$B$4)+IF($D$5=1,(1-IF(OR($D$5=2,MOD(A42,2)=1),1,0))*D41*'Engine Inputs'!$B$10*(1-'Engine Inputs'!$B$4)/2,0)-IF(MOD(A42,2)=0,INDEX($B$11:$D$25,B42,2)*(1-'Engine Inputs'!$B$4),0)</f>
        <v>5935338344.5819416</v>
      </c>
      <c r="E42" s="53">
        <f>E41+IF(OR($D$5=2,MOD(A42,2)=1),1,0)*(MIN('Engine Inputs'!$B$12*E41/$C$5,'Engine Inputs'!$B$9)*($B$5-'Engine Inputs'!$B$5-'Engine Inputs'!$B$6-2*'Engine Inputs'!$B$7*SQRT(MIN('Engine Inputs'!$B$12*E41/$C$5,'Engine Inputs'!$B$9)/'Engine Inputs'!$B$8))+MAX(E41-MIN('Engine Inputs'!$B$12*E41/$C$5,'Engine Inputs'!$B$9)*$C$5,0)*'Engine Inputs'!$B$10/$D$5)*(1-'Engine Inputs'!$B$4)+IF($D$5=1,(1-IF(OR($D$5=2,MOD(A42,2)=1),1,0))*E41*'Engine Inputs'!$B$10*(1-'Engine Inputs'!$B$4)/2,0)-IF(MOD(A42,2)=0,INDEX($B$11:$D$25,B42,3)*(1-'Engine Inputs'!$B$4),0)</f>
        <v>7333154338.7299337</v>
      </c>
      <c r="F42" s="53">
        <f>F41+IF(OR($D$6=2,MOD(A42,2)=1),1,0)*(MIN('Engine Inputs'!$B$12*F41/$C$6,'Engine Inputs'!$B$9)*($B$6-'Engine Inputs'!$B$5-'Engine Inputs'!$B$6-2*'Engine Inputs'!$B$7*SQRT(MIN('Engine Inputs'!$B$12*F41/$C$6,'Engine Inputs'!$B$9)/'Engine Inputs'!$B$8))+MAX(F41-MIN('Engine Inputs'!$B$12*F41/$C$6,'Engine Inputs'!$B$9)*$C$6,0)*'Engine Inputs'!$B$10/$D$6)*(1-'Engine Inputs'!$B$4)+IF($D$6=1,(1-IF(OR($D$6=2,MOD(A42,2)=1),1,0))*F41*'Engine Inputs'!$B$10*(1-'Engine Inputs'!$B$4)/2,0)-IF(MOD(A42,2)=0,INDEX($B$11:$D$25,B42,1)*(1-'Engine Inputs'!$B$4),0)</f>
        <v>429999236.49797738</v>
      </c>
      <c r="G42" s="53">
        <f>G41+IF(OR($D$6=2,MOD(A42,2)=1),1,0)*(MIN('Engine Inputs'!$B$12*G41/$C$6,'Engine Inputs'!$B$9)*($B$6-'Engine Inputs'!$B$5-'Engine Inputs'!$B$6-2*'Engine Inputs'!$B$7*SQRT(MIN('Engine Inputs'!$B$12*G41/$C$6,'Engine Inputs'!$B$9)/'Engine Inputs'!$B$8))+MAX(G41-MIN('Engine Inputs'!$B$12*G41/$C$6,'Engine Inputs'!$B$9)*$C$6,0)*'Engine Inputs'!$B$10/$D$6)*(1-'Engine Inputs'!$B$4)+IF($D$6=1,(1-IF(OR($D$6=2,MOD(A42,2)=1),1,0))*G41*'Engine Inputs'!$B$10*(1-'Engine Inputs'!$B$4)/2,0)-IF(MOD(A42,2)=0,INDEX($B$11:$D$25,B42,2)*(1-'Engine Inputs'!$B$4),0)</f>
        <v>1477683054.1525867</v>
      </c>
      <c r="H42" s="53">
        <f>H41+IF(OR($D$6=2,MOD(A42,2)=1),1,0)*(MIN('Engine Inputs'!$B$12*H41/$C$6,'Engine Inputs'!$B$9)*($B$6-'Engine Inputs'!$B$5-'Engine Inputs'!$B$6-2*'Engine Inputs'!$B$7*SQRT(MIN('Engine Inputs'!$B$12*H41/$C$6,'Engine Inputs'!$B$9)/'Engine Inputs'!$B$8))+MAX(H41-MIN('Engine Inputs'!$B$12*H41/$C$6,'Engine Inputs'!$B$9)*$C$6,0)*'Engine Inputs'!$B$10/$D$6)*(1-'Engine Inputs'!$B$4)+IF($D$6=1,(1-IF(OR($D$6=2,MOD(A42,2)=1),1,0))*H41*'Engine Inputs'!$B$10*(1-'Engine Inputs'!$B$4)/2,0)-IF(MOD(A42,2)=0,INDEX($B$11:$D$25,B42,3)*(1-'Engine Inputs'!$B$4),0)</f>
        <v>2628690514.5386972</v>
      </c>
      <c r="I42" s="51">
        <f>I41+IF(OR($D$7=2,MOD(A42,2)=1),1,0)*(MIN('Engine Inputs'!$B$12*I41/$C$7,'Engine Inputs'!$B$9)*($B$7-'Engine Inputs'!$B$5-'Engine Inputs'!$B$6-2*'Engine Inputs'!$B$7*SQRT(MIN('Engine Inputs'!$B$12*I41/$C$7,'Engine Inputs'!$B$9)/'Engine Inputs'!$B$8))+MAX(I41-MIN('Engine Inputs'!$B$12*I41/$C$7,'Engine Inputs'!$B$9)*$C$7,0)*'Engine Inputs'!$B$10/$D$7)*(1-'Engine Inputs'!$B$4)+IF($D$7=1,(1-IF(OR($D$7=2,MOD(A42,2)=1),1,0))*I41*'Engine Inputs'!$B$10*(1-'Engine Inputs'!$B$4)/2,0)-IF(MOD(A42,2)=0,INDEX($B$11:$D$25,B42,1)*(1-'Engine Inputs'!$B$4),0)</f>
        <v>22024044.548816685</v>
      </c>
      <c r="J42" s="51">
        <f>J41+IF(OR($D$7=2,MOD(A42,2)=1),1,0)*(MIN('Engine Inputs'!$B$12*J41/$C$7,'Engine Inputs'!$B$9)*($B$7-'Engine Inputs'!$B$5-'Engine Inputs'!$B$6-2*'Engine Inputs'!$B$7*SQRT(MIN('Engine Inputs'!$B$12*J41/$C$7,'Engine Inputs'!$B$9)/'Engine Inputs'!$B$8))+MAX(J41-MIN('Engine Inputs'!$B$12*J41/$C$7,'Engine Inputs'!$B$9)*$C$7,0)*'Engine Inputs'!$B$10/$D$7)*(1-'Engine Inputs'!$B$4)+IF($D$7=1,(1-IF(OR($D$7=2,MOD(A42,2)=1),1,0))*J41*'Engine Inputs'!$B$10*(1-'Engine Inputs'!$B$4)/2,0)-IF(MOD(A42,2)=0,INDEX($B$11:$D$25,B42,2)*(1-'Engine Inputs'!$B$4),0)</f>
        <v>81159209.533422515</v>
      </c>
      <c r="K42" s="51">
        <f>K41+IF(OR($D$7=2,MOD(A42,2)=1),1,0)*(MIN('Engine Inputs'!$B$12*K41/$C$7,'Engine Inputs'!$B$9)*($B$7-'Engine Inputs'!$B$5-'Engine Inputs'!$B$6-2*'Engine Inputs'!$B$7*SQRT(MIN('Engine Inputs'!$B$12*K41/$C$7,'Engine Inputs'!$B$9)/'Engine Inputs'!$B$8))+MAX(K41-MIN('Engine Inputs'!$B$12*K41/$C$7,'Engine Inputs'!$B$9)*$C$7,0)*'Engine Inputs'!$B$10/$D$7)*(1-'Engine Inputs'!$B$4)+IF($D$7=1,(1-IF(OR($D$7=2,MOD(A42,2)=1),1,0))*K41*'Engine Inputs'!$B$10*(1-'Engine Inputs'!$B$4)/2,0)-IF(MOD(A42,2)=0,INDEX($B$11:$D$25,B42,3)*(1-'Engine Inputs'!$B$4),0)</f>
        <v>211554164.42763749</v>
      </c>
    </row>
    <row r="43" spans="1:11" ht="13.5" customHeight="1" x14ac:dyDescent="0.3">
      <c r="A43" s="10">
        <v>15</v>
      </c>
      <c r="B43" s="48">
        <f t="shared" si="3"/>
        <v>8</v>
      </c>
      <c r="C43" s="52">
        <f>C42+IF(OR($D$5=2,MOD(A43,2)=1),1,0)*(MIN('Engine Inputs'!$B$12*C42/$C$5,'Engine Inputs'!$B$9)*($B$5-'Engine Inputs'!$B$5-'Engine Inputs'!$B$6-2*'Engine Inputs'!$B$7*SQRT(MIN('Engine Inputs'!$B$12*C42/$C$5,'Engine Inputs'!$B$9)/'Engine Inputs'!$B$8))+MAX(C42-MIN('Engine Inputs'!$B$12*C42/$C$5,'Engine Inputs'!$B$9)*$C$5,0)*'Engine Inputs'!$B$10/$D$5)*(1-'Engine Inputs'!$B$4)+IF($D$5=1,(1-IF(OR($D$5=2,MOD(A43,2)=1),1,0))*C42*'Engine Inputs'!$B$10*(1-'Engine Inputs'!$B$4)/2,0)-IF(MOD(A43,2)=0,INDEX($B$11:$D$25,B43,1)*(1-'Engine Inputs'!$B$4),0)</f>
        <v>4893416565.7250214</v>
      </c>
      <c r="D43" s="52">
        <f>D42+IF(OR($D$5=2,MOD(A43,2)=1),1,0)*(MIN('Engine Inputs'!$B$12*D42/$C$5,'Engine Inputs'!$B$9)*($B$5-'Engine Inputs'!$B$5-'Engine Inputs'!$B$6-2*'Engine Inputs'!$B$7*SQRT(MIN('Engine Inputs'!$B$12*D42/$C$5,'Engine Inputs'!$B$9)/'Engine Inputs'!$B$8))+MAX(D42-MIN('Engine Inputs'!$B$12*D42/$C$5,'Engine Inputs'!$B$9)*$C$5,0)*'Engine Inputs'!$B$10/$D$5)*(1-'Engine Inputs'!$B$4)+IF($D$5=1,(1-IF(OR($D$5=2,MOD(A43,2)=1),1,0))*D42*'Engine Inputs'!$B$10*(1-'Engine Inputs'!$B$4)/2,0)-IF(MOD(A43,2)=0,INDEX($B$11:$D$25,B43,2)*(1-'Engine Inputs'!$B$4),0)</f>
        <v>6838570325.6831875</v>
      </c>
      <c r="E43" s="52">
        <f>E42+IF(OR($D$5=2,MOD(A43,2)=1),1,0)*(MIN('Engine Inputs'!$B$12*E42/$C$5,'Engine Inputs'!$B$9)*($B$5-'Engine Inputs'!$B$5-'Engine Inputs'!$B$6-2*'Engine Inputs'!$B$7*SQRT(MIN('Engine Inputs'!$B$12*E42/$C$5,'Engine Inputs'!$B$9)/'Engine Inputs'!$B$8))+MAX(E42-MIN('Engine Inputs'!$B$12*E42/$C$5,'Engine Inputs'!$B$9)*$C$5,0)*'Engine Inputs'!$B$10/$D$5)*(1-'Engine Inputs'!$B$4)+IF($D$5=1,(1-IF(OR($D$5=2,MOD(A43,2)=1),1,0))*E42*'Engine Inputs'!$B$10*(1-'Engine Inputs'!$B$4)/2,0)-IF(MOD(A43,2)=0,INDEX($B$11:$D$25,B43,3)*(1-'Engine Inputs'!$B$4),0)</f>
        <v>8270381763.935256</v>
      </c>
      <c r="F43" s="52">
        <f>F42+IF(OR($D$6=2,MOD(A43,2)=1),1,0)*(MIN('Engine Inputs'!$B$12*F42/$C$6,'Engine Inputs'!$B$9)*($B$6-'Engine Inputs'!$B$5-'Engine Inputs'!$B$6-2*'Engine Inputs'!$B$7*SQRT(MIN('Engine Inputs'!$B$12*F42/$C$6,'Engine Inputs'!$B$9)/'Engine Inputs'!$B$8))+MAX(F42-MIN('Engine Inputs'!$B$12*F42/$C$6,'Engine Inputs'!$B$9)*$C$6,0)*'Engine Inputs'!$B$10/$D$6)*(1-'Engine Inputs'!$B$4)+IF($D$6=1,(1-IF(OR($D$6=2,MOD(A43,2)=1),1,0))*F42*'Engine Inputs'!$B$10*(1-'Engine Inputs'!$B$4)/2,0)-IF(MOD(A43,2)=0,INDEX($B$11:$D$25,B43,1)*(1-'Engine Inputs'!$B$4),0)</f>
        <v>622269544.68733919</v>
      </c>
      <c r="G43" s="52">
        <f>G42+IF(OR($D$6=2,MOD(A43,2)=1),1,0)*(MIN('Engine Inputs'!$B$12*G42/$C$6,'Engine Inputs'!$B$9)*($B$6-'Engine Inputs'!$B$5-'Engine Inputs'!$B$6-2*'Engine Inputs'!$B$7*SQRT(MIN('Engine Inputs'!$B$12*G42/$C$6,'Engine Inputs'!$B$9)/'Engine Inputs'!$B$8))+MAX(G42-MIN('Engine Inputs'!$B$12*G42/$C$6,'Engine Inputs'!$B$9)*$C$6,0)*'Engine Inputs'!$B$10/$D$6)*(1-'Engine Inputs'!$B$4)+IF($D$6=1,(1-IF(OR($D$6=2,MOD(A43,2)=1),1,0))*G42*'Engine Inputs'!$B$10*(1-'Engine Inputs'!$B$4)/2,0)-IF(MOD(A43,2)=0,INDEX($B$11:$D$25,B43,2)*(1-'Engine Inputs'!$B$4),0)</f>
        <v>1931773206.7884283</v>
      </c>
      <c r="H43" s="52">
        <f>H42+IF(OR($D$6=2,MOD(A43,2)=1),1,0)*(MIN('Engine Inputs'!$B$12*H42/$C$6,'Engine Inputs'!$B$9)*($B$6-'Engine Inputs'!$B$5-'Engine Inputs'!$B$6-2*'Engine Inputs'!$B$7*SQRT(MIN('Engine Inputs'!$B$12*H42/$C$6,'Engine Inputs'!$B$9)/'Engine Inputs'!$B$8))+MAX(H42-MIN('Engine Inputs'!$B$12*H42/$C$6,'Engine Inputs'!$B$9)*$C$6,0)*'Engine Inputs'!$B$10/$D$6)*(1-'Engine Inputs'!$B$4)+IF($D$6=1,(1-IF(OR($D$6=2,MOD(A43,2)=1),1,0))*H42*'Engine Inputs'!$B$10*(1-'Engine Inputs'!$B$4)/2,0)-IF(MOD(A43,2)=0,INDEX($B$11:$D$25,B43,3)*(1-'Engine Inputs'!$B$4),0)</f>
        <v>3110773629.0141134</v>
      </c>
      <c r="I43" s="49">
        <f>I42+IF(OR($D$7=2,MOD(A43,2)=1),1,0)*(MIN('Engine Inputs'!$B$12*I42/$C$7,'Engine Inputs'!$B$9)*($B$7-'Engine Inputs'!$B$5-'Engine Inputs'!$B$6-2*'Engine Inputs'!$B$7*SQRT(MIN('Engine Inputs'!$B$12*I42/$C$7,'Engine Inputs'!$B$9)/'Engine Inputs'!$B$8))+MAX(I42-MIN('Engine Inputs'!$B$12*I42/$C$7,'Engine Inputs'!$B$9)*$C$7,0)*'Engine Inputs'!$B$10/$D$7)*(1-'Engine Inputs'!$B$4)+IF($D$7=1,(1-IF(OR($D$7=2,MOD(A43,2)=1),1,0))*I42*'Engine Inputs'!$B$10*(1-'Engine Inputs'!$B$4)/2,0)-IF(MOD(A43,2)=0,INDEX($B$11:$D$25,B43,1)*(1-'Engine Inputs'!$B$4),0)</f>
        <v>30373186.734757926</v>
      </c>
      <c r="J43" s="49">
        <f>J42+IF(OR($D$7=2,MOD(A43,2)=1),1,0)*(MIN('Engine Inputs'!$B$12*J42/$C$7,'Engine Inputs'!$B$9)*($B$7-'Engine Inputs'!$B$5-'Engine Inputs'!$B$6-2*'Engine Inputs'!$B$7*SQRT(MIN('Engine Inputs'!$B$12*J42/$C$7,'Engine Inputs'!$B$9)/'Engine Inputs'!$B$8))+MAX(J42-MIN('Engine Inputs'!$B$12*J42/$C$7,'Engine Inputs'!$B$9)*$C$7,0)*'Engine Inputs'!$B$10/$D$7)*(1-'Engine Inputs'!$B$4)+IF($D$7=1,(1-IF(OR($D$7=2,MOD(A43,2)=1),1,0))*J42*'Engine Inputs'!$B$10*(1-'Engine Inputs'!$B$4)/2,0)-IF(MOD(A43,2)=0,INDEX($B$11:$D$25,B43,2)*(1-'Engine Inputs'!$B$4),0)</f>
        <v>111416465.0425892</v>
      </c>
      <c r="K43" s="49">
        <f>K42+IF(OR($D$7=2,MOD(A43,2)=1),1,0)*(MIN('Engine Inputs'!$B$12*K42/$C$7,'Engine Inputs'!$B$9)*($B$7-'Engine Inputs'!$B$5-'Engine Inputs'!$B$6-2*'Engine Inputs'!$B$7*SQRT(MIN('Engine Inputs'!$B$12*K42/$C$7,'Engine Inputs'!$B$9)/'Engine Inputs'!$B$8))+MAX(K42-MIN('Engine Inputs'!$B$12*K42/$C$7,'Engine Inputs'!$B$9)*$C$7,0)*'Engine Inputs'!$B$10/$D$7)*(1-'Engine Inputs'!$B$4)+IF($D$7=1,(1-IF(OR($D$7=2,MOD(A43,2)=1),1,0))*K42*'Engine Inputs'!$B$10*(1-'Engine Inputs'!$B$4)/2,0)-IF(MOD(A43,2)=0,INDEX($B$11:$D$25,B43,3)*(1-'Engine Inputs'!$B$4),0)</f>
        <v>288720644.61551565</v>
      </c>
    </row>
    <row r="44" spans="1:11" ht="13.5" customHeight="1" x14ac:dyDescent="0.3">
      <c r="A44" s="13">
        <v>16</v>
      </c>
      <c r="B44" s="50">
        <f t="shared" si="3"/>
        <v>8</v>
      </c>
      <c r="C44" s="53">
        <f>C43+IF(OR($D$5=2,MOD(A44,2)=1),1,0)*(MIN('Engine Inputs'!$B$12*C43/$C$5,'Engine Inputs'!$B$9)*($B$5-'Engine Inputs'!$B$5-'Engine Inputs'!$B$6-2*'Engine Inputs'!$B$7*SQRT(MIN('Engine Inputs'!$B$12*C43/$C$5,'Engine Inputs'!$B$9)/'Engine Inputs'!$B$8))+MAX(C43-MIN('Engine Inputs'!$B$12*C43/$C$5,'Engine Inputs'!$B$9)*$C$5,0)*'Engine Inputs'!$B$10/$D$5)*(1-'Engine Inputs'!$B$4)+IF($D$5=1,(1-IF(OR($D$5=2,MOD(A44,2)=1),1,0))*C43*'Engine Inputs'!$B$10*(1-'Engine Inputs'!$B$4)/2,0)-IF(MOD(A44,2)=0,INDEX($B$11:$D$25,B44,1)*(1-'Engine Inputs'!$B$4),0)</f>
        <v>5771158928.3957548</v>
      </c>
      <c r="D44" s="53">
        <f>D43+IF(OR($D$5=2,MOD(A44,2)=1),1,0)*(MIN('Engine Inputs'!$B$12*D43/$C$5,'Engine Inputs'!$B$9)*($B$5-'Engine Inputs'!$B$5-'Engine Inputs'!$B$6-2*'Engine Inputs'!$B$7*SQRT(MIN('Engine Inputs'!$B$12*D43/$C$5,'Engine Inputs'!$B$9)/'Engine Inputs'!$B$8))+MAX(D43-MIN('Engine Inputs'!$B$12*D43/$C$5,'Engine Inputs'!$B$9)*$C$5,0)*'Engine Inputs'!$B$10/$D$5)*(1-'Engine Inputs'!$B$4)+IF($D$5=1,(1-IF(OR($D$5=2,MOD(A44,2)=1),1,0))*D43*'Engine Inputs'!$B$10*(1-'Engine Inputs'!$B$4)/2,0)-IF(MOD(A44,2)=0,INDEX($B$11:$D$25,B44,2)*(1-'Engine Inputs'!$B$4),0)</f>
        <v>7763208029.8576078</v>
      </c>
      <c r="E44" s="53">
        <f>E43+IF(OR($D$5=2,MOD(A44,2)=1),1,0)*(MIN('Engine Inputs'!$B$12*E43/$C$5,'Engine Inputs'!$B$9)*($B$5-'Engine Inputs'!$B$5-'Engine Inputs'!$B$6-2*'Engine Inputs'!$B$7*SQRT(MIN('Engine Inputs'!$B$12*E43/$C$5,'Engine Inputs'!$B$9)/'Engine Inputs'!$B$8))+MAX(E43-MIN('Engine Inputs'!$B$12*E43/$C$5,'Engine Inputs'!$B$9)*$C$5,0)*'Engine Inputs'!$B$10/$D$5)*(1-'Engine Inputs'!$B$4)+IF($D$5=1,(1-IF(OR($D$5=2,MOD(A44,2)=1),1,0))*E43*'Engine Inputs'!$B$10*(1-'Engine Inputs'!$B$4)/2,0)-IF(MOD(A44,2)=0,INDEX($B$11:$D$25,B44,3)*(1-'Engine Inputs'!$B$4),0)</f>
        <v>9228906295.0125427</v>
      </c>
      <c r="F44" s="53">
        <f>F43+IF(OR($D$6=2,MOD(A44,2)=1),1,0)*(MIN('Engine Inputs'!$B$12*F43/$C$6,'Engine Inputs'!$B$9)*($B$6-'Engine Inputs'!$B$5-'Engine Inputs'!$B$6-2*'Engine Inputs'!$B$7*SQRT(MIN('Engine Inputs'!$B$12*F43/$C$6,'Engine Inputs'!$B$9)/'Engine Inputs'!$B$8))+MAX(F43-MIN('Engine Inputs'!$B$12*F43/$C$6,'Engine Inputs'!$B$9)*$C$6,0)*'Engine Inputs'!$B$10/$D$6)*(1-'Engine Inputs'!$B$4)+IF($D$6=1,(1-IF(OR($D$6=2,MOD(A44,2)=1),1,0))*F43*'Engine Inputs'!$B$10*(1-'Engine Inputs'!$B$4)/2,0)-IF(MOD(A44,2)=0,INDEX($B$11:$D$25,B44,1)*(1-'Engine Inputs'!$B$4),0)</f>
        <v>896398629.56889749</v>
      </c>
      <c r="G44" s="53">
        <f>G43+IF(OR($D$6=2,MOD(A44,2)=1),1,0)*(MIN('Engine Inputs'!$B$12*G43/$C$6,'Engine Inputs'!$B$9)*($B$6-'Engine Inputs'!$B$5-'Engine Inputs'!$B$6-2*'Engine Inputs'!$B$7*SQRT(MIN('Engine Inputs'!$B$12*G43/$C$6,'Engine Inputs'!$B$9)/'Engine Inputs'!$B$8))+MAX(G43-MIN('Engine Inputs'!$B$12*G43/$C$6,'Engine Inputs'!$B$9)*$C$6,0)*'Engine Inputs'!$B$10/$D$6)*(1-'Engine Inputs'!$B$4)+IF($D$6=1,(1-IF(OR($D$6=2,MOD(A44,2)=1),1,0))*G43*'Engine Inputs'!$B$10*(1-'Engine Inputs'!$B$4)/2,0)-IF(MOD(A44,2)=0,INDEX($B$11:$D$25,B44,2)*(1-'Engine Inputs'!$B$4),0)</f>
        <v>2396345773.5724344</v>
      </c>
      <c r="H44" s="53">
        <f>H43+IF(OR($D$6=2,MOD(A44,2)=1),1,0)*(MIN('Engine Inputs'!$B$12*H43/$C$6,'Engine Inputs'!$B$9)*($B$6-'Engine Inputs'!$B$5-'Engine Inputs'!$B$6-2*'Engine Inputs'!$B$7*SQRT(MIN('Engine Inputs'!$B$12*H43/$C$6,'Engine Inputs'!$B$9)/'Engine Inputs'!$B$8))+MAX(H43-MIN('Engine Inputs'!$B$12*H43/$C$6,'Engine Inputs'!$B$9)*$C$6,0)*'Engine Inputs'!$B$10/$D$6)*(1-'Engine Inputs'!$B$4)+IF($D$6=1,(1-IF(OR($D$6=2,MOD(A44,2)=1),1,0))*H43*'Engine Inputs'!$B$10*(1-'Engine Inputs'!$B$4)/2,0)-IF(MOD(A44,2)=0,INDEX($B$11:$D$25,B44,3)*(1-'Engine Inputs'!$B$4),0)</f>
        <v>3603084557.6668172</v>
      </c>
      <c r="I44" s="51">
        <f>I43+IF(OR($D$7=2,MOD(A44,2)=1),1,0)*(MIN('Engine Inputs'!$B$12*I43/$C$7,'Engine Inputs'!$B$9)*($B$7-'Engine Inputs'!$B$5-'Engine Inputs'!$B$6-2*'Engine Inputs'!$B$7*SQRT(MIN('Engine Inputs'!$B$12*I43/$C$7,'Engine Inputs'!$B$9)/'Engine Inputs'!$B$8))+MAX(I43-MIN('Engine Inputs'!$B$12*I43/$C$7,'Engine Inputs'!$B$9)*$C$7,0)*'Engine Inputs'!$B$10/$D$7)*(1-'Engine Inputs'!$B$4)+IF($D$7=1,(1-IF(OR($D$7=2,MOD(A44,2)=1),1,0))*I43*'Engine Inputs'!$B$10*(1-'Engine Inputs'!$B$4)/2,0)-IF(MOD(A44,2)=0,INDEX($B$11:$D$25,B44,1)*(1-'Engine Inputs'!$B$4),0)</f>
        <v>30962210.785421934</v>
      </c>
      <c r="J44" s="51">
        <f>J43+IF(OR($D$7=2,MOD(A44,2)=1),1,0)*(MIN('Engine Inputs'!$B$12*J43/$C$7,'Engine Inputs'!$B$9)*($B$7-'Engine Inputs'!$B$5-'Engine Inputs'!$B$6-2*'Engine Inputs'!$B$7*SQRT(MIN('Engine Inputs'!$B$12*J43/$C$7,'Engine Inputs'!$B$9)/'Engine Inputs'!$B$8))+MAX(J43-MIN('Engine Inputs'!$B$12*J43/$C$7,'Engine Inputs'!$B$9)*$C$7,0)*'Engine Inputs'!$B$10/$D$7)*(1-'Engine Inputs'!$B$4)+IF($D$7=1,(1-IF(OR($D$7=2,MOD(A44,2)=1),1,0))*J43*'Engine Inputs'!$B$10*(1-'Engine Inputs'!$B$4)/2,0)-IF(MOD(A44,2)=0,INDEX($B$11:$D$25,B44,2)*(1-'Engine Inputs'!$B$4),0)</f>
        <v>113564918.03901099</v>
      </c>
      <c r="K44" s="51">
        <f>K43+IF(OR($D$7=2,MOD(A44,2)=1),1,0)*(MIN('Engine Inputs'!$B$12*K43/$C$7,'Engine Inputs'!$B$9)*($B$7-'Engine Inputs'!$B$5-'Engine Inputs'!$B$6-2*'Engine Inputs'!$B$7*SQRT(MIN('Engine Inputs'!$B$12*K43/$C$7,'Engine Inputs'!$B$9)/'Engine Inputs'!$B$8))+MAX(K43-MIN('Engine Inputs'!$B$12*K43/$C$7,'Engine Inputs'!$B$9)*$C$7,0)*'Engine Inputs'!$B$10/$D$7)*(1-'Engine Inputs'!$B$4)+IF($D$7=1,(1-IF(OR($D$7=2,MOD(A44,2)=1),1,0))*K43*'Engine Inputs'!$B$10*(1-'Engine Inputs'!$B$4)/2,0)-IF(MOD(A44,2)=0,INDEX($B$11:$D$25,B44,3)*(1-'Engine Inputs'!$B$4),0)</f>
        <v>294245806.18082285</v>
      </c>
    </row>
    <row r="45" spans="1:11" ht="13.5" customHeight="1" x14ac:dyDescent="0.3">
      <c r="A45" s="10">
        <v>17</v>
      </c>
      <c r="B45" s="48">
        <f t="shared" si="3"/>
        <v>9</v>
      </c>
      <c r="C45" s="52">
        <f>C44+IF(OR($D$5=2,MOD(A45,2)=1),1,0)*(MIN('Engine Inputs'!$B$12*C44/$C$5,'Engine Inputs'!$B$9)*($B$5-'Engine Inputs'!$B$5-'Engine Inputs'!$B$6-2*'Engine Inputs'!$B$7*SQRT(MIN('Engine Inputs'!$B$12*C44/$C$5,'Engine Inputs'!$B$9)/'Engine Inputs'!$B$8))+MAX(C44-MIN('Engine Inputs'!$B$12*C44/$C$5,'Engine Inputs'!$B$9)*$C$5,0)*'Engine Inputs'!$B$10/$D$5)*(1-'Engine Inputs'!$B$4)+IF($D$5=1,(1-IF(OR($D$5=2,MOD(A45,2)=1),1,0))*C44*'Engine Inputs'!$B$10*(1-'Engine Inputs'!$B$4)/2,0)-IF(MOD(A45,2)=0,INDEX($B$11:$D$25,B45,1)*(1-'Engine Inputs'!$B$4),0)</f>
        <v>6670398000.4235859</v>
      </c>
      <c r="D45" s="52">
        <f>D44+IF(OR($D$5=2,MOD(A45,2)=1),1,0)*(MIN('Engine Inputs'!$B$12*D44/$C$5,'Engine Inputs'!$B$9)*($B$5-'Engine Inputs'!$B$5-'Engine Inputs'!$B$6-2*'Engine Inputs'!$B$7*SQRT(MIN('Engine Inputs'!$B$12*D44/$C$5,'Engine Inputs'!$B$9)/'Engine Inputs'!$B$8))+MAX(D44-MIN('Engine Inputs'!$B$12*D44/$C$5,'Engine Inputs'!$B$9)*$C$5,0)*'Engine Inputs'!$B$10/$D$5)*(1-'Engine Inputs'!$B$4)+IF($D$5=1,(1-IF(OR($D$5=2,MOD(A45,2)=1),1,0))*D44*'Engine Inputs'!$B$10*(1-'Engine Inputs'!$B$4)/2,0)-IF(MOD(A45,2)=0,INDEX($B$11:$D$25,B45,2)*(1-'Engine Inputs'!$B$4),0)</f>
        <v>8710894532.8526325</v>
      </c>
      <c r="E45" s="52">
        <f>E44+IF(OR($D$5=2,MOD(A45,2)=1),1,0)*(MIN('Engine Inputs'!$B$12*E44/$C$5,'Engine Inputs'!$B$9)*($B$5-'Engine Inputs'!$B$5-'Engine Inputs'!$B$6-2*'Engine Inputs'!$B$7*SQRT(MIN('Engine Inputs'!$B$12*E44/$C$5,'Engine Inputs'!$B$9)/'Engine Inputs'!$B$8))+MAX(E44-MIN('Engine Inputs'!$B$12*E44/$C$5,'Engine Inputs'!$B$9)*$C$5,0)*'Engine Inputs'!$B$10/$D$5)*(1-'Engine Inputs'!$B$4)+IF($D$5=1,(1-IF(OR($D$5=2,MOD(A45,2)=1),1,0))*E44*'Engine Inputs'!$B$10*(1-'Engine Inputs'!$B$4)/2,0)-IF(MOD(A45,2)=0,INDEX($B$11:$D$25,B45,3)*(1-'Engine Inputs'!$B$4),0)</f>
        <v>10212239166.09544</v>
      </c>
      <c r="F45" s="52">
        <f>F44+IF(OR($D$6=2,MOD(A45,2)=1),1,0)*(MIN('Engine Inputs'!$B$12*F44/$C$6,'Engine Inputs'!$B$9)*($B$6-'Engine Inputs'!$B$5-'Engine Inputs'!$B$6-2*'Engine Inputs'!$B$7*SQRT(MIN('Engine Inputs'!$B$12*F44/$C$6,'Engine Inputs'!$B$9)/'Engine Inputs'!$B$8))+MAX(F44-MIN('Engine Inputs'!$B$12*F44/$C$6,'Engine Inputs'!$B$9)*$C$6,0)*'Engine Inputs'!$B$10/$D$6)*(1-'Engine Inputs'!$B$4)+IF($D$6=1,(1-IF(OR($D$6=2,MOD(A45,2)=1),1,0))*F44*'Engine Inputs'!$B$10*(1-'Engine Inputs'!$B$4)/2,0)-IF(MOD(A45,2)=0,INDEX($B$11:$D$25,B45,1)*(1-'Engine Inputs'!$B$4),0)</f>
        <v>1284730339.4474382</v>
      </c>
      <c r="G45" s="52">
        <f>G44+IF(OR($D$6=2,MOD(A45,2)=1),1,0)*(MIN('Engine Inputs'!$B$12*G44/$C$6,'Engine Inputs'!$B$9)*($B$6-'Engine Inputs'!$B$5-'Engine Inputs'!$B$6-2*'Engine Inputs'!$B$7*SQRT(MIN('Engine Inputs'!$B$12*G44/$C$6,'Engine Inputs'!$B$9)/'Engine Inputs'!$B$8))+MAX(G44-MIN('Engine Inputs'!$B$12*G44/$C$6,'Engine Inputs'!$B$9)*$C$6,0)*'Engine Inputs'!$B$10/$D$6)*(1-'Engine Inputs'!$B$4)+IF($D$6=1,(1-IF(OR($D$6=2,MOD(A45,2)=1),1,0))*G44*'Engine Inputs'!$B$10*(1-'Engine Inputs'!$B$4)/2,0)-IF(MOD(A45,2)=0,INDEX($B$11:$D$25,B45,2)*(1-'Engine Inputs'!$B$4),0)</f>
        <v>2872778171.0096545</v>
      </c>
      <c r="H45" s="52">
        <f>H44+IF(OR($D$6=2,MOD(A45,2)=1),1,0)*(MIN('Engine Inputs'!$B$12*H44/$C$6,'Engine Inputs'!$B$9)*($B$6-'Engine Inputs'!$B$5-'Engine Inputs'!$B$6-2*'Engine Inputs'!$B$7*SQRT(MIN('Engine Inputs'!$B$12*H44/$C$6,'Engine Inputs'!$B$9)/'Engine Inputs'!$B$8))+MAX(H44-MIN('Engine Inputs'!$B$12*H44/$C$6,'Engine Inputs'!$B$9)*$C$6,0)*'Engine Inputs'!$B$10/$D$6)*(1-'Engine Inputs'!$B$4)+IF($D$6=1,(1-IF(OR($D$6=2,MOD(A45,2)=1),1,0))*H44*'Engine Inputs'!$B$10*(1-'Engine Inputs'!$B$4)/2,0)-IF(MOD(A45,2)=0,INDEX($B$11:$D$25,B45,3)*(1-'Engine Inputs'!$B$4),0)</f>
        <v>4108865325.0287266</v>
      </c>
      <c r="I45" s="49">
        <f>I44+IF(OR($D$7=2,MOD(A45,2)=1),1,0)*(MIN('Engine Inputs'!$B$12*I44/$C$7,'Engine Inputs'!$B$9)*($B$7-'Engine Inputs'!$B$5-'Engine Inputs'!$B$6-2*'Engine Inputs'!$B$7*SQRT(MIN('Engine Inputs'!$B$12*I44/$C$7,'Engine Inputs'!$B$9)/'Engine Inputs'!$B$8))+MAX(I44-MIN('Engine Inputs'!$B$12*I44/$C$7,'Engine Inputs'!$B$9)*$C$7,0)*'Engine Inputs'!$B$10/$D$7)*(1-'Engine Inputs'!$B$4)+IF($D$7=1,(1-IF(OR($D$7=2,MOD(A45,2)=1),1,0))*I44*'Engine Inputs'!$B$10*(1-'Engine Inputs'!$B$4)/2,0)-IF(MOD(A45,2)=0,INDEX($B$11:$D$25,B45,1)*(1-'Engine Inputs'!$B$4),0)</f>
        <v>42660491.714439638</v>
      </c>
      <c r="J45" s="49">
        <f>J44+IF(OR($D$7=2,MOD(A45,2)=1),1,0)*(MIN('Engine Inputs'!$B$12*J44/$C$7,'Engine Inputs'!$B$9)*($B$7-'Engine Inputs'!$B$5-'Engine Inputs'!$B$6-2*'Engine Inputs'!$B$7*SQRT(MIN('Engine Inputs'!$B$12*J44/$C$7,'Engine Inputs'!$B$9)/'Engine Inputs'!$B$8))+MAX(J44-MIN('Engine Inputs'!$B$12*J44/$C$7,'Engine Inputs'!$B$9)*$C$7,0)*'Engine Inputs'!$B$10/$D$7)*(1-'Engine Inputs'!$B$4)+IF($D$7=1,(1-IF(OR($D$7=2,MOD(A45,2)=1),1,0))*J44*'Engine Inputs'!$B$10*(1-'Engine Inputs'!$B$4)/2,0)-IF(MOD(A45,2)=0,INDEX($B$11:$D$25,B45,2)*(1-'Engine Inputs'!$B$4),0)</f>
        <v>155631221.35084805</v>
      </c>
      <c r="K45" s="49">
        <f>K44+IF(OR($D$7=2,MOD(A45,2)=1),1,0)*(MIN('Engine Inputs'!$B$12*K44/$C$7,'Engine Inputs'!$B$9)*($B$7-'Engine Inputs'!$B$5-'Engine Inputs'!$B$6-2*'Engine Inputs'!$B$7*SQRT(MIN('Engine Inputs'!$B$12*K44/$C$7,'Engine Inputs'!$B$9)/'Engine Inputs'!$B$8))+MAX(K44-MIN('Engine Inputs'!$B$12*K44/$C$7,'Engine Inputs'!$B$9)*$C$7,0)*'Engine Inputs'!$B$10/$D$7)*(1-'Engine Inputs'!$B$4)+IF($D$7=1,(1-IF(OR($D$7=2,MOD(A45,2)=1),1,0))*K44*'Engine Inputs'!$B$10*(1-'Engine Inputs'!$B$4)/2,0)-IF(MOD(A45,2)=0,INDEX($B$11:$D$25,B45,3)*(1-'Engine Inputs'!$B$4),0)</f>
        <v>400458210.92741525</v>
      </c>
    </row>
    <row r="46" spans="1:11" ht="13.5" customHeight="1" x14ac:dyDescent="0.3">
      <c r="A46" s="13">
        <v>18</v>
      </c>
      <c r="B46" s="50">
        <f t="shared" si="3"/>
        <v>9</v>
      </c>
      <c r="C46" s="53">
        <f>C45+IF(OR($D$5=2,MOD(A46,2)=1),1,0)*(MIN('Engine Inputs'!$B$12*C45/$C$5,'Engine Inputs'!$B$9)*($B$5-'Engine Inputs'!$B$5-'Engine Inputs'!$B$6-2*'Engine Inputs'!$B$7*SQRT(MIN('Engine Inputs'!$B$12*C45/$C$5,'Engine Inputs'!$B$9)/'Engine Inputs'!$B$8))+MAX(C45-MIN('Engine Inputs'!$B$12*C45/$C$5,'Engine Inputs'!$B$9)*$C$5,0)*'Engine Inputs'!$B$10/$D$5)*(1-'Engine Inputs'!$B$4)+IF($D$5=1,(1-IF(OR($D$5=2,MOD(A46,2)=1),1,0))*C45*'Engine Inputs'!$B$10*(1-'Engine Inputs'!$B$4)/2,0)-IF(MOD(A46,2)=0,INDEX($B$11:$D$25,B46,1)*(1-'Engine Inputs'!$B$4),0)</f>
        <v>7591357262.3787622</v>
      </c>
      <c r="D46" s="53">
        <f>D45+IF(OR($D$5=2,MOD(A46,2)=1),1,0)*(MIN('Engine Inputs'!$B$12*D45/$C$5,'Engine Inputs'!$B$9)*($B$5-'Engine Inputs'!$B$5-'Engine Inputs'!$B$6-2*'Engine Inputs'!$B$7*SQRT(MIN('Engine Inputs'!$B$12*D45/$C$5,'Engine Inputs'!$B$9)/'Engine Inputs'!$B$8))+MAX(D45-MIN('Engine Inputs'!$B$12*D45/$C$5,'Engine Inputs'!$B$9)*$C$5,0)*'Engine Inputs'!$B$10/$D$5)*(1-'Engine Inputs'!$B$4)+IF($D$5=1,(1-IF(OR($D$5=2,MOD(A46,2)=1),1,0))*D45*'Engine Inputs'!$B$10*(1-'Engine Inputs'!$B$4)/2,0)-IF(MOD(A46,2)=0,INDEX($B$11:$D$25,B46,2)*(1-'Engine Inputs'!$B$4),0)</f>
        <v>9681067910.6750965</v>
      </c>
      <c r="E46" s="53">
        <f>E45+IF(OR($D$5=2,MOD(A46,2)=1),1,0)*(MIN('Engine Inputs'!$B$12*E45/$C$5,'Engine Inputs'!$B$9)*($B$5-'Engine Inputs'!$B$5-'Engine Inputs'!$B$6-2*'Engine Inputs'!$B$7*SQRT(MIN('Engine Inputs'!$B$12*E45/$C$5,'Engine Inputs'!$B$9)/'Engine Inputs'!$B$8))+MAX(E45-MIN('Engine Inputs'!$B$12*E45/$C$5,'Engine Inputs'!$B$9)*$C$5,0)*'Engine Inputs'!$B$10/$D$5)*(1-'Engine Inputs'!$B$4)+IF($D$5=1,(1-IF(OR($D$5=2,MOD(A46,2)=1),1,0))*E45*'Engine Inputs'!$B$10*(1-'Engine Inputs'!$B$4)/2,0)-IF(MOD(A46,2)=0,INDEX($B$11:$D$25,B46,3)*(1-'Engine Inputs'!$B$4),0)</f>
        <v>11217990445.936222</v>
      </c>
      <c r="F46" s="53">
        <f>F45+IF(OR($D$6=2,MOD(A46,2)=1),1,0)*(MIN('Engine Inputs'!$B$12*F45/$C$6,'Engine Inputs'!$B$9)*($B$6-'Engine Inputs'!$B$5-'Engine Inputs'!$B$6-2*'Engine Inputs'!$B$7*SQRT(MIN('Engine Inputs'!$B$12*F45/$C$6,'Engine Inputs'!$B$9)/'Engine Inputs'!$B$8))+MAX(F45-MIN('Engine Inputs'!$B$12*F45/$C$6,'Engine Inputs'!$B$9)*$C$6,0)*'Engine Inputs'!$B$10/$D$6)*(1-'Engine Inputs'!$B$4)+IF($D$6=1,(1-IF(OR($D$6=2,MOD(A46,2)=1),1,0))*F45*'Engine Inputs'!$B$10*(1-'Engine Inputs'!$B$4)/2,0)-IF(MOD(A46,2)=0,INDEX($B$11:$D$25,B46,1)*(1-'Engine Inputs'!$B$4),0)</f>
        <v>1733978140.8805647</v>
      </c>
      <c r="G46" s="53">
        <f>G45+IF(OR($D$6=2,MOD(A46,2)=1),1,0)*(MIN('Engine Inputs'!$B$12*G45/$C$6,'Engine Inputs'!$B$9)*($B$6-'Engine Inputs'!$B$5-'Engine Inputs'!$B$6-2*'Engine Inputs'!$B$7*SQRT(MIN('Engine Inputs'!$B$12*G45/$C$6,'Engine Inputs'!$B$9)/'Engine Inputs'!$B$8))+MAX(G45-MIN('Engine Inputs'!$B$12*G45/$C$6,'Engine Inputs'!$B$9)*$C$6,0)*'Engine Inputs'!$B$10/$D$6)*(1-'Engine Inputs'!$B$4)+IF($D$6=1,(1-IF(OR($D$6=2,MOD(A46,2)=1),1,0))*G45*'Engine Inputs'!$B$10*(1-'Engine Inputs'!$B$4)/2,0)-IF(MOD(A46,2)=0,INDEX($B$11:$D$25,B46,2)*(1-'Engine Inputs'!$B$4),0)</f>
        <v>3360236354.9255066</v>
      </c>
      <c r="H46" s="53">
        <f>H45+IF(OR($D$6=2,MOD(A46,2)=1),1,0)*(MIN('Engine Inputs'!$B$12*H45/$C$6,'Engine Inputs'!$B$9)*($B$6-'Engine Inputs'!$B$5-'Engine Inputs'!$B$6-2*'Engine Inputs'!$B$7*SQRT(MIN('Engine Inputs'!$B$12*H45/$C$6,'Engine Inputs'!$B$9)/'Engine Inputs'!$B$8))+MAX(H45-MIN('Engine Inputs'!$B$12*H45/$C$6,'Engine Inputs'!$B$9)*$C$6,0)*'Engine Inputs'!$B$10/$D$6)*(1-'Engine Inputs'!$B$4)+IF($D$6=1,(1-IF(OR($D$6=2,MOD(A46,2)=1),1,0))*H45*'Engine Inputs'!$B$10*(1-'Engine Inputs'!$B$4)/2,0)-IF(MOD(A46,2)=0,INDEX($B$11:$D$25,B46,3)*(1-'Engine Inputs'!$B$4),0)</f>
        <v>4625450242.9651842</v>
      </c>
      <c r="I46" s="51">
        <f>I45+IF(OR($D$7=2,MOD(A46,2)=1),1,0)*(MIN('Engine Inputs'!$B$12*I45/$C$7,'Engine Inputs'!$B$9)*($B$7-'Engine Inputs'!$B$5-'Engine Inputs'!$B$6-2*'Engine Inputs'!$B$7*SQRT(MIN('Engine Inputs'!$B$12*I45/$C$7,'Engine Inputs'!$B$9)/'Engine Inputs'!$B$8))+MAX(I45-MIN('Engine Inputs'!$B$12*I45/$C$7,'Engine Inputs'!$B$9)*$C$7,0)*'Engine Inputs'!$B$10/$D$7)*(1-'Engine Inputs'!$B$4)+IF($D$7=1,(1-IF(OR($D$7=2,MOD(A46,2)=1),1,0))*I45*'Engine Inputs'!$B$10*(1-'Engine Inputs'!$B$4)/2,0)-IF(MOD(A46,2)=0,INDEX($B$11:$D$25,B46,1)*(1-'Engine Inputs'!$B$4),0)</f>
        <v>43548347.937131494</v>
      </c>
      <c r="J46" s="51">
        <f>J45+IF(OR($D$7=2,MOD(A46,2)=1),1,0)*(MIN('Engine Inputs'!$B$12*J45/$C$7,'Engine Inputs'!$B$9)*($B$7-'Engine Inputs'!$B$5-'Engine Inputs'!$B$6-2*'Engine Inputs'!$B$7*SQRT(MIN('Engine Inputs'!$B$12*J45/$C$7,'Engine Inputs'!$B$9)/'Engine Inputs'!$B$8))+MAX(J45-MIN('Engine Inputs'!$B$12*J45/$C$7,'Engine Inputs'!$B$9)*$C$7,0)*'Engine Inputs'!$B$10/$D$7)*(1-'Engine Inputs'!$B$4)+IF($D$7=1,(1-IF(OR($D$7=2,MOD(A46,2)=1),1,0))*J45*'Engine Inputs'!$B$10*(1-'Engine Inputs'!$B$4)/2,0)-IF(MOD(A46,2)=0,INDEX($B$11:$D$25,B46,2)*(1-'Engine Inputs'!$B$4),0)</f>
        <v>158854994.90658921</v>
      </c>
      <c r="K46" s="51">
        <f>K45+IF(OR($D$7=2,MOD(A46,2)=1),1,0)*(MIN('Engine Inputs'!$B$12*K45/$C$7,'Engine Inputs'!$B$9)*($B$7-'Engine Inputs'!$B$5-'Engine Inputs'!$B$6-2*'Engine Inputs'!$B$7*SQRT(MIN('Engine Inputs'!$B$12*K45/$C$7,'Engine Inputs'!$B$9)/'Engine Inputs'!$B$8))+MAX(K45-MIN('Engine Inputs'!$B$12*K45/$C$7,'Engine Inputs'!$B$9)*$C$7,0)*'Engine Inputs'!$B$10/$D$7)*(1-'Engine Inputs'!$B$4)+IF($D$7=1,(1-IF(OR($D$7=2,MOD(A46,2)=1),1,0))*K45*'Engine Inputs'!$B$10*(1-'Engine Inputs'!$B$4)/2,0)-IF(MOD(A46,2)=0,INDEX($B$11:$D$25,B46,3)*(1-'Engine Inputs'!$B$4),0)</f>
        <v>408700874.80045438</v>
      </c>
    </row>
    <row r="47" spans="1:11" ht="13.5" customHeight="1" x14ac:dyDescent="0.3">
      <c r="A47" s="10">
        <v>19</v>
      </c>
      <c r="B47" s="48">
        <f t="shared" si="3"/>
        <v>10</v>
      </c>
      <c r="C47" s="52">
        <f>C46+IF(OR($D$5=2,MOD(A47,2)=1),1,0)*(MIN('Engine Inputs'!$B$12*C46/$C$5,'Engine Inputs'!$B$9)*($B$5-'Engine Inputs'!$B$5-'Engine Inputs'!$B$6-2*'Engine Inputs'!$B$7*SQRT(MIN('Engine Inputs'!$B$12*C46/$C$5,'Engine Inputs'!$B$9)/'Engine Inputs'!$B$8))+MAX(C46-MIN('Engine Inputs'!$B$12*C46/$C$5,'Engine Inputs'!$B$9)*$C$5,0)*'Engine Inputs'!$B$10/$D$5)*(1-'Engine Inputs'!$B$4)+IF($D$5=1,(1-IF(OR($D$5=2,MOD(A47,2)=1),1,0))*C46*'Engine Inputs'!$B$10*(1-'Engine Inputs'!$B$4)/2,0)-IF(MOD(A47,2)=0,INDEX($B$11:$D$25,B47,1)*(1-'Engine Inputs'!$B$4),0)</f>
        <v>8534864285.9683933</v>
      </c>
      <c r="D47" s="52">
        <f>D46+IF(OR($D$5=2,MOD(A47,2)=1),1,0)*(MIN('Engine Inputs'!$B$12*D46/$C$5,'Engine Inputs'!$B$9)*($B$5-'Engine Inputs'!$B$5-'Engine Inputs'!$B$6-2*'Engine Inputs'!$B$7*SQRT(MIN('Engine Inputs'!$B$12*D46/$C$5,'Engine Inputs'!$B$9)/'Engine Inputs'!$B$8))+MAX(D46-MIN('Engine Inputs'!$B$12*D46/$C$5,'Engine Inputs'!$B$9)*$C$5,0)*'Engine Inputs'!$B$10/$D$5)*(1-'Engine Inputs'!$B$4)+IF($D$5=1,(1-IF(OR($D$5=2,MOD(A47,2)=1),1,0))*D46*'Engine Inputs'!$B$10*(1-'Engine Inputs'!$B$4)/2,0)-IF(MOD(A47,2)=0,INDEX($B$11:$D$25,B47,2)*(1-'Engine Inputs'!$B$4),0)</f>
        <v>10675397533.115555</v>
      </c>
      <c r="E47" s="52">
        <f>E46+IF(OR($D$5=2,MOD(A47,2)=1),1,0)*(MIN('Engine Inputs'!$B$12*E46/$C$5,'Engine Inputs'!$B$9)*($B$5-'Engine Inputs'!$B$5-'Engine Inputs'!$B$6-2*'Engine Inputs'!$B$7*SQRT(MIN('Engine Inputs'!$B$12*E46/$C$5,'Engine Inputs'!$B$9)/'Engine Inputs'!$B$8))+MAX(E46-MIN('Engine Inputs'!$B$12*E46/$C$5,'Engine Inputs'!$B$9)*$C$5,0)*'Engine Inputs'!$B$10/$D$5)*(1-'Engine Inputs'!$B$4)+IF($D$5=1,(1-IF(OR($D$5=2,MOD(A47,2)=1),1,0))*E46*'Engine Inputs'!$B$10*(1-'Engine Inputs'!$B$4)/2,0)-IF(MOD(A47,2)=0,INDEX($B$11:$D$25,B47,3)*(1-'Engine Inputs'!$B$4),0)</f>
        <v>12249698639.203243</v>
      </c>
      <c r="F47" s="52">
        <f>F46+IF(OR($D$6=2,MOD(A47,2)=1),1,0)*(MIN('Engine Inputs'!$B$12*F46/$C$6,'Engine Inputs'!$B$9)*($B$6-'Engine Inputs'!$B$5-'Engine Inputs'!$B$6-2*'Engine Inputs'!$B$7*SQRT(MIN('Engine Inputs'!$B$12*F46/$C$6,'Engine Inputs'!$B$9)/'Engine Inputs'!$B$8))+MAX(F46-MIN('Engine Inputs'!$B$12*F46/$C$6,'Engine Inputs'!$B$9)*$C$6,0)*'Engine Inputs'!$B$10/$D$6)*(1-'Engine Inputs'!$B$4)+IF($D$6=1,(1-IF(OR($D$6=2,MOD(A47,2)=1),1,0))*F46*'Engine Inputs'!$B$10*(1-'Engine Inputs'!$B$4)/2,0)-IF(MOD(A47,2)=0,INDEX($B$11:$D$25,B47,1)*(1-'Engine Inputs'!$B$4),0)</f>
        <v>2194301492.5436654</v>
      </c>
      <c r="G47" s="52">
        <f>G46+IF(OR($D$6=2,MOD(A47,2)=1),1,0)*(MIN('Engine Inputs'!$B$12*G46/$C$6,'Engine Inputs'!$B$9)*($B$6-'Engine Inputs'!$B$5-'Engine Inputs'!$B$6-2*'Engine Inputs'!$B$7*SQRT(MIN('Engine Inputs'!$B$12*G46/$C$6,'Engine Inputs'!$B$9)/'Engine Inputs'!$B$8))+MAX(G46-MIN('Engine Inputs'!$B$12*G46/$C$6,'Engine Inputs'!$B$9)*$C$6,0)*'Engine Inputs'!$B$10/$D$6)*(1-'Engine Inputs'!$B$4)+IF($D$6=1,(1-IF(OR($D$6=2,MOD(A47,2)=1),1,0))*G46*'Engine Inputs'!$B$10*(1-'Engine Inputs'!$B$4)/2,0)-IF(MOD(A47,2)=0,INDEX($B$11:$D$25,B47,2)*(1-'Engine Inputs'!$B$4),0)</f>
        <v>3860110956.8574657</v>
      </c>
      <c r="H47" s="52">
        <f>H46+IF(OR($D$6=2,MOD(A47,2)=1),1,0)*(MIN('Engine Inputs'!$B$12*H46/$C$6,'Engine Inputs'!$B$9)*($B$6-'Engine Inputs'!$B$5-'Engine Inputs'!$B$6-2*'Engine Inputs'!$B$7*SQRT(MIN('Engine Inputs'!$B$12*H46/$C$6,'Engine Inputs'!$B$9)/'Engine Inputs'!$B$8))+MAX(H46-MIN('Engine Inputs'!$B$12*H46/$C$6,'Engine Inputs'!$B$9)*$C$6,0)*'Engine Inputs'!$B$10/$D$6)*(1-'Engine Inputs'!$B$4)+IF($D$6=1,(1-IF(OR($D$6=2,MOD(A47,2)=1),1,0))*H46*'Engine Inputs'!$B$10*(1-'Engine Inputs'!$B$4)/2,0)-IF(MOD(A47,2)=0,INDEX($B$11:$D$25,B47,3)*(1-'Engine Inputs'!$B$4),0)</f>
        <v>5156095352.7398233</v>
      </c>
      <c r="I47" s="49">
        <f>I46+IF(OR($D$7=2,MOD(A47,2)=1),1,0)*(MIN('Engine Inputs'!$B$12*I46/$C$7,'Engine Inputs'!$B$9)*($B$7-'Engine Inputs'!$B$5-'Engine Inputs'!$B$6-2*'Engine Inputs'!$B$7*SQRT(MIN('Engine Inputs'!$B$12*I46/$C$7,'Engine Inputs'!$B$9)/'Engine Inputs'!$B$8))+MAX(I46-MIN('Engine Inputs'!$B$12*I46/$C$7,'Engine Inputs'!$B$9)*$C$7,0)*'Engine Inputs'!$B$10/$D$7)*(1-'Engine Inputs'!$B$4)+IF($D$7=1,(1-IF(OR($D$7=2,MOD(A47,2)=1),1,0))*I46*'Engine Inputs'!$B$10*(1-'Engine Inputs'!$B$4)/2,0)-IF(MOD(A47,2)=0,INDEX($B$11:$D$25,B47,1)*(1-'Engine Inputs'!$B$4),0)</f>
        <v>59936425.592546947</v>
      </c>
      <c r="J47" s="49">
        <f>J46+IF(OR($D$7=2,MOD(A47,2)=1),1,0)*(MIN('Engine Inputs'!$B$12*J46/$C$7,'Engine Inputs'!$B$9)*($B$7-'Engine Inputs'!$B$5-'Engine Inputs'!$B$6-2*'Engine Inputs'!$B$7*SQRT(MIN('Engine Inputs'!$B$12*J46/$C$7,'Engine Inputs'!$B$9)/'Engine Inputs'!$B$8))+MAX(J46-MIN('Engine Inputs'!$B$12*J46/$C$7,'Engine Inputs'!$B$9)*$C$7,0)*'Engine Inputs'!$B$10/$D$7)*(1-'Engine Inputs'!$B$4)+IF($D$7=1,(1-IF(OR($D$7=2,MOD(A47,2)=1),1,0))*J46*'Engine Inputs'!$B$10*(1-'Engine Inputs'!$B$4)/2,0)-IF(MOD(A47,2)=0,INDEX($B$11:$D$25,B47,2)*(1-'Engine Inputs'!$B$4),0)</f>
        <v>217247519.09701604</v>
      </c>
      <c r="K47" s="49">
        <f>K46+IF(OR($D$7=2,MOD(A47,2)=1),1,0)*(MIN('Engine Inputs'!$B$12*K46/$C$7,'Engine Inputs'!$B$9)*($B$7-'Engine Inputs'!$B$5-'Engine Inputs'!$B$6-2*'Engine Inputs'!$B$7*SQRT(MIN('Engine Inputs'!$B$12*K46/$C$7,'Engine Inputs'!$B$9)/'Engine Inputs'!$B$8))+MAX(K46-MIN('Engine Inputs'!$B$12*K46/$C$7,'Engine Inputs'!$B$9)*$C$7,0)*'Engine Inputs'!$B$10/$D$7)*(1-'Engine Inputs'!$B$4)+IF($D$7=1,(1-IF(OR($D$7=2,MOD(A47,2)=1),1,0))*K46*'Engine Inputs'!$B$10*(1-'Engine Inputs'!$B$4)/2,0)-IF(MOD(A47,2)=0,INDEX($B$11:$D$25,B47,3)*(1-'Engine Inputs'!$B$4),0)</f>
        <v>554406538.11570203</v>
      </c>
    </row>
    <row r="48" spans="1:11" ht="13.5" customHeight="1" x14ac:dyDescent="0.3">
      <c r="A48" s="13">
        <v>20</v>
      </c>
      <c r="B48" s="50">
        <f t="shared" si="3"/>
        <v>10</v>
      </c>
      <c r="C48" s="53">
        <f>C47+IF(OR($D$5=2,MOD(A48,2)=1),1,0)*(MIN('Engine Inputs'!$B$12*C47/$C$5,'Engine Inputs'!$B$9)*($B$5-'Engine Inputs'!$B$5-'Engine Inputs'!$B$6-2*'Engine Inputs'!$B$7*SQRT(MIN('Engine Inputs'!$B$12*C47/$C$5,'Engine Inputs'!$B$9)/'Engine Inputs'!$B$8))+MAX(C47-MIN('Engine Inputs'!$B$12*C47/$C$5,'Engine Inputs'!$B$9)*$C$5,0)*'Engine Inputs'!$B$10/$D$5)*(1-'Engine Inputs'!$B$4)+IF($D$5=1,(1-IF(OR($D$5=2,MOD(A48,2)=1),1,0))*C47*'Engine Inputs'!$B$10*(1-'Engine Inputs'!$B$4)/2,0)-IF(MOD(A48,2)=0,INDEX($B$11:$D$25,B48,1)*(1-'Engine Inputs'!$B$4),0)</f>
        <v>9501168113.7745342</v>
      </c>
      <c r="D48" s="53">
        <f>D47+IF(OR($D$5=2,MOD(A48,2)=1),1,0)*(MIN('Engine Inputs'!$B$12*D47/$C$5,'Engine Inputs'!$B$9)*($B$5-'Engine Inputs'!$B$5-'Engine Inputs'!$B$6-2*'Engine Inputs'!$B$7*SQRT(MIN('Engine Inputs'!$B$12*D47/$C$5,'Engine Inputs'!$B$9)/'Engine Inputs'!$B$8))+MAX(D47-MIN('Engine Inputs'!$B$12*D47/$C$5,'Engine Inputs'!$B$9)*$C$5,0)*'Engine Inputs'!$B$10/$D$5)*(1-'Engine Inputs'!$B$4)+IF($D$5=1,(1-IF(OR($D$5=2,MOD(A48,2)=1),1,0))*D47*'Engine Inputs'!$B$10*(1-'Engine Inputs'!$B$4)/2,0)-IF(MOD(A48,2)=0,INDEX($B$11:$D$25,B48,2)*(1-'Engine Inputs'!$B$4),0)</f>
        <v>11693348409.705614</v>
      </c>
      <c r="E48" s="53">
        <f>E47+IF(OR($D$5=2,MOD(A48,2)=1),1,0)*(MIN('Engine Inputs'!$B$12*E47/$C$5,'Engine Inputs'!$B$9)*($B$5-'Engine Inputs'!$B$5-'Engine Inputs'!$B$6-2*'Engine Inputs'!$B$7*SQRT(MIN('Engine Inputs'!$B$12*E47/$C$5,'Engine Inputs'!$B$9)/'Engine Inputs'!$B$8))+MAX(E47-MIN('Engine Inputs'!$B$12*E47/$C$5,'Engine Inputs'!$B$9)*$C$5,0)*'Engine Inputs'!$B$10/$D$5)*(1-'Engine Inputs'!$B$4)+IF($D$5=1,(1-IF(OR($D$5=2,MOD(A48,2)=1),1,0))*E47*'Engine Inputs'!$B$10*(1-'Engine Inputs'!$B$4)/2,0)-IF(MOD(A48,2)=0,INDEX($B$11:$D$25,B48,3)*(1-'Engine Inputs'!$B$4),0)</f>
        <v>13305001748.413797</v>
      </c>
      <c r="F48" s="53">
        <f>F47+IF(OR($D$6=2,MOD(A48,2)=1),1,0)*(MIN('Engine Inputs'!$B$12*F47/$C$6,'Engine Inputs'!$B$9)*($B$6-'Engine Inputs'!$B$5-'Engine Inputs'!$B$6-2*'Engine Inputs'!$B$7*SQRT(MIN('Engine Inputs'!$B$12*F47/$C$6,'Engine Inputs'!$B$9)/'Engine Inputs'!$B$8))+MAX(F47-MIN('Engine Inputs'!$B$12*F47/$C$6,'Engine Inputs'!$B$9)*$C$6,0)*'Engine Inputs'!$B$10/$D$6)*(1-'Engine Inputs'!$B$4)+IF($D$6=1,(1-IF(OR($D$6=2,MOD(A48,2)=1),1,0))*F47*'Engine Inputs'!$B$10*(1-'Engine Inputs'!$B$4)/2,0)-IF(MOD(A48,2)=0,INDEX($B$11:$D$25,B48,1)*(1-'Engine Inputs'!$B$4),0)</f>
        <v>2665670428.2485533</v>
      </c>
      <c r="G48" s="53">
        <f>G47+IF(OR($D$6=2,MOD(A48,2)=1),1,0)*(MIN('Engine Inputs'!$B$12*G47/$C$6,'Engine Inputs'!$B$9)*($B$6-'Engine Inputs'!$B$5-'Engine Inputs'!$B$6-2*'Engine Inputs'!$B$7*SQRT(MIN('Engine Inputs'!$B$12*G47/$C$6,'Engine Inputs'!$B$9)/'Engine Inputs'!$B$8))+MAX(G47-MIN('Engine Inputs'!$B$12*G47/$C$6,'Engine Inputs'!$B$9)*$C$6,0)*'Engine Inputs'!$B$10/$D$6)*(1-'Engine Inputs'!$B$4)+IF($D$6=1,(1-IF(OR($D$6=2,MOD(A48,2)=1),1,0))*G47*'Engine Inputs'!$B$10*(1-'Engine Inputs'!$B$4)/2,0)-IF(MOD(A48,2)=0,INDEX($B$11:$D$25,B48,2)*(1-'Engine Inputs'!$B$4),0)</f>
        <v>4371581469.0582514</v>
      </c>
      <c r="H48" s="53">
        <f>H47+IF(OR($D$6=2,MOD(A48,2)=1),1,0)*(MIN('Engine Inputs'!$B$12*H47/$C$6,'Engine Inputs'!$B$9)*($B$6-'Engine Inputs'!$B$5-'Engine Inputs'!$B$6-2*'Engine Inputs'!$B$7*SQRT(MIN('Engine Inputs'!$B$12*H47/$C$6,'Engine Inputs'!$B$9)/'Engine Inputs'!$B$8))+MAX(H47-MIN('Engine Inputs'!$B$12*H47/$C$6,'Engine Inputs'!$B$9)*$C$6,0)*'Engine Inputs'!$B$10/$D$6)*(1-'Engine Inputs'!$B$4)+IF($D$6=1,(1-IF(OR($D$6=2,MOD(A48,2)=1),1,0))*H47*'Engine Inputs'!$B$10*(1-'Engine Inputs'!$B$4)/2,0)-IF(MOD(A48,2)=0,INDEX($B$11:$D$25,B48,3)*(1-'Engine Inputs'!$B$4),0)</f>
        <v>5698149323.842226</v>
      </c>
      <c r="I48" s="51">
        <f>I47+IF(OR($D$7=2,MOD(A48,2)=1),1,0)*(MIN('Engine Inputs'!$B$12*I47/$C$7,'Engine Inputs'!$B$9)*($B$7-'Engine Inputs'!$B$5-'Engine Inputs'!$B$6-2*'Engine Inputs'!$B$7*SQRT(MIN('Engine Inputs'!$B$12*I47/$C$7,'Engine Inputs'!$B$9)/'Engine Inputs'!$B$8))+MAX(I47-MIN('Engine Inputs'!$B$12*I47/$C$7,'Engine Inputs'!$B$9)*$C$7,0)*'Engine Inputs'!$B$10/$D$7)*(1-'Engine Inputs'!$B$4)+IF($D$7=1,(1-IF(OR($D$7=2,MOD(A48,2)=1),1,0))*I47*'Engine Inputs'!$B$10*(1-'Engine Inputs'!$B$4)/2,0)-IF(MOD(A48,2)=0,INDEX($B$11:$D$25,B48,1)*(1-'Engine Inputs'!$B$4),0)</f>
        <v>61244439.437527925</v>
      </c>
      <c r="J48" s="51">
        <f>J47+IF(OR($D$7=2,MOD(A48,2)=1),1,0)*(MIN('Engine Inputs'!$B$12*J47/$C$7,'Engine Inputs'!$B$9)*($B$7-'Engine Inputs'!$B$5-'Engine Inputs'!$B$6-2*'Engine Inputs'!$B$7*SQRT(MIN('Engine Inputs'!$B$12*J47/$C$7,'Engine Inputs'!$B$9)/'Engine Inputs'!$B$8))+MAX(J47-MIN('Engine Inputs'!$B$12*J47/$C$7,'Engine Inputs'!$B$9)*$C$7,0)*'Engine Inputs'!$B$10/$D$7)*(1-'Engine Inputs'!$B$4)+IF($D$7=1,(1-IF(OR($D$7=2,MOD(A48,2)=1),1,0))*J47*'Engine Inputs'!$B$10*(1-'Engine Inputs'!$B$4)/2,0)-IF(MOD(A48,2)=0,INDEX($B$11:$D$25,B48,2)*(1-'Engine Inputs'!$B$4),0)</f>
        <v>221969825.66046309</v>
      </c>
      <c r="K48" s="51">
        <f>K47+IF(OR($D$7=2,MOD(A48,2)=1),1,0)*(MIN('Engine Inputs'!$B$12*K47/$C$7,'Engine Inputs'!$B$9)*($B$7-'Engine Inputs'!$B$5-'Engine Inputs'!$B$6-2*'Engine Inputs'!$B$7*SQRT(MIN('Engine Inputs'!$B$12*K47/$C$7,'Engine Inputs'!$B$9)/'Engine Inputs'!$B$8))+MAX(K47-MIN('Engine Inputs'!$B$12*K47/$C$7,'Engine Inputs'!$B$9)*$C$7,0)*'Engine Inputs'!$B$10/$D$7)*(1-'Engine Inputs'!$B$4)+IF($D$7=1,(1-IF(OR($D$7=2,MOD(A48,2)=1),1,0))*K47*'Engine Inputs'!$B$10*(1-'Engine Inputs'!$B$4)/2,0)-IF(MOD(A48,2)=0,INDEX($B$11:$D$25,B48,3)*(1-'Engine Inputs'!$B$4),0)</f>
        <v>566393286.8852911</v>
      </c>
    </row>
    <row r="49" spans="1:11" ht="13.5" customHeight="1" x14ac:dyDescent="0.3">
      <c r="A49" s="10">
        <v>21</v>
      </c>
      <c r="B49" s="48">
        <f t="shared" si="3"/>
        <v>11</v>
      </c>
      <c r="C49" s="52">
        <f>C48+IF(OR($D$5=2,MOD(A49,2)=1),1,0)*(MIN('Engine Inputs'!$B$12*C48/$C$5,'Engine Inputs'!$B$9)*($B$5-'Engine Inputs'!$B$5-'Engine Inputs'!$B$6-2*'Engine Inputs'!$B$7*SQRT(MIN('Engine Inputs'!$B$12*C48/$C$5,'Engine Inputs'!$B$9)/'Engine Inputs'!$B$8))+MAX(C48-MIN('Engine Inputs'!$B$12*C48/$C$5,'Engine Inputs'!$B$9)*$C$5,0)*'Engine Inputs'!$B$10/$D$5)*(1-'Engine Inputs'!$B$4)+IF($D$5=1,(1-IF(OR($D$5=2,MOD(A49,2)=1),1,0))*C48*'Engine Inputs'!$B$10*(1-'Engine Inputs'!$B$4)/2,0)-IF(MOD(A49,2)=0,INDEX($B$11:$D$25,B49,1)*(1-'Engine Inputs'!$B$4),0)</f>
        <v>10491122501.194452</v>
      </c>
      <c r="D49" s="52">
        <f>D48+IF(OR($D$5=2,MOD(A49,2)=1),1,0)*(MIN('Engine Inputs'!$B$12*D48/$C$5,'Engine Inputs'!$B$9)*($B$5-'Engine Inputs'!$B$5-'Engine Inputs'!$B$6-2*'Engine Inputs'!$B$7*SQRT(MIN('Engine Inputs'!$B$12*D48/$C$5,'Engine Inputs'!$B$9)/'Engine Inputs'!$B$8))+MAX(D48-MIN('Engine Inputs'!$B$12*D48/$C$5,'Engine Inputs'!$B$9)*$C$5,0)*'Engine Inputs'!$B$10/$D$5)*(1-'Engine Inputs'!$B$4)+IF($D$5=1,(1-IF(OR($D$5=2,MOD(A49,2)=1),1,0))*D48*'Engine Inputs'!$B$10*(1-'Engine Inputs'!$B$4)/2,0)-IF(MOD(A49,2)=0,INDEX($B$11:$D$25,B49,2)*(1-'Engine Inputs'!$B$4),0)</f>
        <v>12736617498.794693</v>
      </c>
      <c r="E49" s="52">
        <f>E48+IF(OR($D$5=2,MOD(A49,2)=1),1,0)*(MIN('Engine Inputs'!$B$12*E48/$C$5,'Engine Inputs'!$B$9)*($B$5-'Engine Inputs'!$B$5-'Engine Inputs'!$B$6-2*'Engine Inputs'!$B$7*SQRT(MIN('Engine Inputs'!$B$12*E48/$C$5,'Engine Inputs'!$B$9)/'Engine Inputs'!$B$8))+MAX(E48-MIN('Engine Inputs'!$B$12*E48/$C$5,'Engine Inputs'!$B$9)*$C$5,0)*'Engine Inputs'!$B$10/$D$5)*(1-'Engine Inputs'!$B$4)+IF($D$5=1,(1-IF(OR($D$5=2,MOD(A49,2)=1),1,0))*E48*'Engine Inputs'!$B$10*(1-'Engine Inputs'!$B$4)/2,0)-IF(MOD(A49,2)=0,INDEX($B$11:$D$25,B49,3)*(1-'Engine Inputs'!$B$4),0)</f>
        <v>14387466891.361595</v>
      </c>
      <c r="F49" s="52">
        <f>F48+IF(OR($D$6=2,MOD(A49,2)=1),1,0)*(MIN('Engine Inputs'!$B$12*F48/$C$6,'Engine Inputs'!$B$9)*($B$6-'Engine Inputs'!$B$5-'Engine Inputs'!$B$6-2*'Engine Inputs'!$B$7*SQRT(MIN('Engine Inputs'!$B$12*F48/$C$6,'Engine Inputs'!$B$9)/'Engine Inputs'!$B$8))+MAX(F48-MIN('Engine Inputs'!$B$12*F48/$C$6,'Engine Inputs'!$B$9)*$C$6,0)*'Engine Inputs'!$B$10/$D$6)*(1-'Engine Inputs'!$B$4)+IF($D$6=1,(1-IF(OR($D$6=2,MOD(A49,2)=1),1,0))*F48*'Engine Inputs'!$B$10*(1-'Engine Inputs'!$B$4)/2,0)-IF(MOD(A49,2)=0,INDEX($B$11:$D$25,B49,1)*(1-'Engine Inputs'!$B$4),0)</f>
        <v>3148652909.0173583</v>
      </c>
      <c r="G49" s="52">
        <f>G48+IF(OR($D$6=2,MOD(A49,2)=1),1,0)*(MIN('Engine Inputs'!$B$12*G48/$C$6,'Engine Inputs'!$B$9)*($B$6-'Engine Inputs'!$B$5-'Engine Inputs'!$B$6-2*'Engine Inputs'!$B$7*SQRT(MIN('Engine Inputs'!$B$12*G48/$C$6,'Engine Inputs'!$B$9)/'Engine Inputs'!$B$8))+MAX(G48-MIN('Engine Inputs'!$B$12*G48/$C$6,'Engine Inputs'!$B$9)*$C$6,0)*'Engine Inputs'!$B$10/$D$6)*(1-'Engine Inputs'!$B$4)+IF($D$6=1,(1-IF(OR($D$6=2,MOD(A49,2)=1),1,0))*G48*'Engine Inputs'!$B$10*(1-'Engine Inputs'!$B$4)/2,0)-IF(MOD(A49,2)=0,INDEX($B$11:$D$25,B49,2)*(1-'Engine Inputs'!$B$4),0)</f>
        <v>4896052388.7039642</v>
      </c>
      <c r="H49" s="52">
        <f>H48+IF(OR($D$6=2,MOD(A49,2)=1),1,0)*(MIN('Engine Inputs'!$B$12*H48/$C$6,'Engine Inputs'!$B$9)*($B$6-'Engine Inputs'!$B$5-'Engine Inputs'!$B$6-2*'Engine Inputs'!$B$7*SQRT(MIN('Engine Inputs'!$B$12*H48/$C$6,'Engine Inputs'!$B$9)/'Engine Inputs'!$B$8))+MAX(H48-MIN('Engine Inputs'!$B$12*H48/$C$6,'Engine Inputs'!$B$9)*$C$6,0)*'Engine Inputs'!$B$10/$D$6)*(1-'Engine Inputs'!$B$4)+IF($D$6=1,(1-IF(OR($D$6=2,MOD(A49,2)=1),1,0))*H48*'Engine Inputs'!$B$10*(1-'Engine Inputs'!$B$4)/2,0)-IF(MOD(A49,2)=0,INDEX($B$11:$D$25,B49,3)*(1-'Engine Inputs'!$B$4),0)</f>
        <v>6254882904.3434277</v>
      </c>
      <c r="I49" s="49">
        <f>I48+IF(OR($D$7=2,MOD(A49,2)=1),1,0)*(MIN('Engine Inputs'!$B$12*I48/$C$7,'Engine Inputs'!$B$9)*($B$7-'Engine Inputs'!$B$5-'Engine Inputs'!$B$6-2*'Engine Inputs'!$B$7*SQRT(MIN('Engine Inputs'!$B$12*I48/$C$7,'Engine Inputs'!$B$9)/'Engine Inputs'!$B$8))+MAX(I48-MIN('Engine Inputs'!$B$12*I48/$C$7,'Engine Inputs'!$B$9)*$C$7,0)*'Engine Inputs'!$B$10/$D$7)*(1-'Engine Inputs'!$B$4)+IF($D$7=1,(1-IF(OR($D$7=2,MOD(A49,2)=1),1,0))*I48*'Engine Inputs'!$B$10*(1-'Engine Inputs'!$B$4)/2,0)-IF(MOD(A49,2)=0,INDEX($B$11:$D$25,B49,1)*(1-'Engine Inputs'!$B$4),0)</f>
        <v>84182595.238636672</v>
      </c>
      <c r="J49" s="49">
        <f>J48+IF(OR($D$7=2,MOD(A49,2)=1),1,0)*(MIN('Engine Inputs'!$B$12*J48/$C$7,'Engine Inputs'!$B$9)*($B$7-'Engine Inputs'!$B$5-'Engine Inputs'!$B$6-2*'Engine Inputs'!$B$7*SQRT(MIN('Engine Inputs'!$B$12*J48/$C$7,'Engine Inputs'!$B$9)/'Engine Inputs'!$B$8))+MAX(J48-MIN('Engine Inputs'!$B$12*J48/$C$7,'Engine Inputs'!$B$9)*$C$7,0)*'Engine Inputs'!$B$10/$D$7)*(1-'Engine Inputs'!$B$4)+IF($D$7=1,(1-IF(OR($D$7=2,MOD(A49,2)=1),1,0))*J48*'Engine Inputs'!$B$10*(1-'Engine Inputs'!$B$4)/2,0)-IF(MOD(A49,2)=0,INDEX($B$11:$D$25,B49,2)*(1-'Engine Inputs'!$B$4),0)</f>
        <v>302821290.86931717</v>
      </c>
      <c r="K49" s="49">
        <f>K48+IF(OR($D$7=2,MOD(A49,2)=1),1,0)*(MIN('Engine Inputs'!$B$12*K48/$C$7,'Engine Inputs'!$B$9)*($B$7-'Engine Inputs'!$B$5-'Engine Inputs'!$B$6-2*'Engine Inputs'!$B$7*SQRT(MIN('Engine Inputs'!$B$12*K48/$C$7,'Engine Inputs'!$B$9)/'Engine Inputs'!$B$8))+MAX(K48-MIN('Engine Inputs'!$B$12*K48/$C$7,'Engine Inputs'!$B$9)*$C$7,0)*'Engine Inputs'!$B$10/$D$7)*(1-'Engine Inputs'!$B$4)+IF($D$7=1,(1-IF(OR($D$7=2,MOD(A49,2)=1),1,0))*K48*'Engine Inputs'!$B$10*(1-'Engine Inputs'!$B$4)/2,0)-IF(MOD(A49,2)=0,INDEX($B$11:$D$25,B49,3)*(1-'Engine Inputs'!$B$4),0)</f>
        <v>765365757.68425143</v>
      </c>
    </row>
    <row r="50" spans="1:11" ht="13.5" customHeight="1" x14ac:dyDescent="0.3">
      <c r="A50" s="13">
        <v>22</v>
      </c>
      <c r="B50" s="50">
        <f t="shared" si="3"/>
        <v>11</v>
      </c>
      <c r="C50" s="53">
        <f>C49+IF(OR($D$5=2,MOD(A50,2)=1),1,0)*(MIN('Engine Inputs'!$B$12*C49/$C$5,'Engine Inputs'!$B$9)*($B$5-'Engine Inputs'!$B$5-'Engine Inputs'!$B$6-2*'Engine Inputs'!$B$7*SQRT(MIN('Engine Inputs'!$B$12*C49/$C$5,'Engine Inputs'!$B$9)/'Engine Inputs'!$B$8))+MAX(C49-MIN('Engine Inputs'!$B$12*C49/$C$5,'Engine Inputs'!$B$9)*$C$5,0)*'Engine Inputs'!$B$10/$D$5)*(1-'Engine Inputs'!$B$4)+IF($D$5=1,(1-IF(OR($D$5=2,MOD(A50,2)=1),1,0))*C49*'Engine Inputs'!$B$10*(1-'Engine Inputs'!$B$4)/2,0)-IF(MOD(A50,2)=0,INDEX($B$11:$D$25,B50,1)*(1-'Engine Inputs'!$B$4),0)</f>
        <v>11505003311.298178</v>
      </c>
      <c r="D50" s="53">
        <f>D49+IF(OR($D$5=2,MOD(A50,2)=1),1,0)*(MIN('Engine Inputs'!$B$12*D49/$C$5,'Engine Inputs'!$B$9)*($B$5-'Engine Inputs'!$B$5-'Engine Inputs'!$B$6-2*'Engine Inputs'!$B$7*SQRT(MIN('Engine Inputs'!$B$12*D49/$C$5,'Engine Inputs'!$B$9)/'Engine Inputs'!$B$8))+MAX(D49-MIN('Engine Inputs'!$B$12*D49/$C$5,'Engine Inputs'!$B$9)*$C$5,0)*'Engine Inputs'!$B$10/$D$5)*(1-'Engine Inputs'!$B$4)+IF($D$5=1,(1-IF(OR($D$5=2,MOD(A50,2)=1),1,0))*D49*'Engine Inputs'!$B$10*(1-'Engine Inputs'!$B$4)/2,0)-IF(MOD(A50,2)=0,INDEX($B$11:$D$25,B50,2)*(1-'Engine Inputs'!$B$4),0)</f>
        <v>13804698069.438055</v>
      </c>
      <c r="E50" s="53">
        <f>E49+IF(OR($D$5=2,MOD(A50,2)=1),1,0)*(MIN('Engine Inputs'!$B$12*E49/$C$5,'Engine Inputs'!$B$9)*($B$5-'Engine Inputs'!$B$5-'Engine Inputs'!$B$6-2*'Engine Inputs'!$B$7*SQRT(MIN('Engine Inputs'!$B$12*E49/$C$5,'Engine Inputs'!$B$9)/'Engine Inputs'!$B$8))+MAX(E49-MIN('Engine Inputs'!$B$12*E49/$C$5,'Engine Inputs'!$B$9)*$C$5,0)*'Engine Inputs'!$B$10/$D$5)*(1-'Engine Inputs'!$B$4)+IF($D$5=1,(1-IF(OR($D$5=2,MOD(A50,2)=1),1,0))*E49*'Engine Inputs'!$B$10*(1-'Engine Inputs'!$B$4)/2,0)-IF(MOD(A50,2)=0,INDEX($B$11:$D$25,B50,3)*(1-'Engine Inputs'!$B$4),0)</f>
        <v>15494761379.571941</v>
      </c>
      <c r="F50" s="53">
        <f>F49+IF(OR($D$6=2,MOD(A50,2)=1),1,0)*(MIN('Engine Inputs'!$B$12*F49/$C$6,'Engine Inputs'!$B$9)*($B$6-'Engine Inputs'!$B$5-'Engine Inputs'!$B$6-2*'Engine Inputs'!$B$7*SQRT(MIN('Engine Inputs'!$B$12*F49/$C$6,'Engine Inputs'!$B$9)/'Engine Inputs'!$B$8))+MAX(F49-MIN('Engine Inputs'!$B$12*F49/$C$6,'Engine Inputs'!$B$9)*$C$6,0)*'Engine Inputs'!$B$10/$D$6)*(1-'Engine Inputs'!$B$4)+IF($D$6=1,(1-IF(OR($D$6=2,MOD(A50,2)=1),1,0))*F49*'Engine Inputs'!$B$10*(1-'Engine Inputs'!$B$4)/2,0)-IF(MOD(A50,2)=0,INDEX($B$11:$D$25,B50,1)*(1-'Engine Inputs'!$B$4),0)</f>
        <v>3643232052.9114532</v>
      </c>
      <c r="G50" s="53">
        <f>G49+IF(OR($D$6=2,MOD(A50,2)=1),1,0)*(MIN('Engine Inputs'!$B$12*G49/$C$6,'Engine Inputs'!$B$9)*($B$6-'Engine Inputs'!$B$5-'Engine Inputs'!$B$6-2*'Engine Inputs'!$B$7*SQRT(MIN('Engine Inputs'!$B$12*G49/$C$6,'Engine Inputs'!$B$9)/'Engine Inputs'!$B$8))+MAX(G49-MIN('Engine Inputs'!$B$12*G49/$C$6,'Engine Inputs'!$B$9)*$C$6,0)*'Engine Inputs'!$B$10/$D$6)*(1-'Engine Inputs'!$B$4)+IF($D$6=1,(1-IF(OR($D$6=2,MOD(A50,2)=1),1,0))*G49*'Engine Inputs'!$B$10*(1-'Engine Inputs'!$B$4)/2,0)-IF(MOD(A50,2)=0,INDEX($B$11:$D$25,B50,2)*(1-'Engine Inputs'!$B$4),0)</f>
        <v>5432717410.9038296</v>
      </c>
      <c r="H50" s="53">
        <f>H49+IF(OR($D$6=2,MOD(A50,2)=1),1,0)*(MIN('Engine Inputs'!$B$12*H49/$C$6,'Engine Inputs'!$B$9)*($B$6-'Engine Inputs'!$B$5-'Engine Inputs'!$B$6-2*'Engine Inputs'!$B$7*SQRT(MIN('Engine Inputs'!$B$12*H49/$C$6,'Engine Inputs'!$B$9)/'Engine Inputs'!$B$8))+MAX(H49-MIN('Engine Inputs'!$B$12*H49/$C$6,'Engine Inputs'!$B$9)*$C$6,0)*'Engine Inputs'!$B$10/$D$6)*(1-'Engine Inputs'!$B$4)+IF($D$6=1,(1-IF(OR($D$6=2,MOD(A50,2)=1),1,0))*H49*'Engine Inputs'!$B$10*(1-'Engine Inputs'!$B$4)/2,0)-IF(MOD(A50,2)=0,INDEX($B$11:$D$25,B50,3)*(1-'Engine Inputs'!$B$4),0)</f>
        <v>6823659828.2158508</v>
      </c>
      <c r="I50" s="51">
        <f>I49+IF(OR($D$7=2,MOD(A50,2)=1),1,0)*(MIN('Engine Inputs'!$B$12*I49/$C$7,'Engine Inputs'!$B$9)*($B$7-'Engine Inputs'!$B$5-'Engine Inputs'!$B$6-2*'Engine Inputs'!$B$7*SQRT(MIN('Engine Inputs'!$B$12*I49/$C$7,'Engine Inputs'!$B$9)/'Engine Inputs'!$B$8))+MAX(I49-MIN('Engine Inputs'!$B$12*I49/$C$7,'Engine Inputs'!$B$9)*$C$7,0)*'Engine Inputs'!$B$10/$D$7)*(1-'Engine Inputs'!$B$4)+IF($D$7=1,(1-IF(OR($D$7=2,MOD(A50,2)=1),1,0))*I49*'Engine Inputs'!$B$10*(1-'Engine Inputs'!$B$4)/2,0)-IF(MOD(A50,2)=0,INDEX($B$11:$D$25,B50,1)*(1-'Engine Inputs'!$B$4),0)</f>
        <v>86080285.627878413</v>
      </c>
      <c r="J50" s="51">
        <f>J49+IF(OR($D$7=2,MOD(A50,2)=1),1,0)*(MIN('Engine Inputs'!$B$12*J49/$C$7,'Engine Inputs'!$B$9)*($B$7-'Engine Inputs'!$B$5-'Engine Inputs'!$B$6-2*'Engine Inputs'!$B$7*SQRT(MIN('Engine Inputs'!$B$12*J49/$C$7,'Engine Inputs'!$B$9)/'Engine Inputs'!$B$8))+MAX(J49-MIN('Engine Inputs'!$B$12*J49/$C$7,'Engine Inputs'!$B$9)*$C$7,0)*'Engine Inputs'!$B$10/$D$7)*(1-'Engine Inputs'!$B$4)+IF($D$7=1,(1-IF(OR($D$7=2,MOD(A50,2)=1),1,0))*J49*'Engine Inputs'!$B$10*(1-'Engine Inputs'!$B$4)/2,0)-IF(MOD(A50,2)=0,INDEX($B$11:$D$25,B50,2)*(1-'Engine Inputs'!$B$4),0)</f>
        <v>309624785.79177535</v>
      </c>
      <c r="K50" s="51">
        <f>K49+IF(OR($D$7=2,MOD(A50,2)=1),1,0)*(MIN('Engine Inputs'!$B$12*K49/$C$7,'Engine Inputs'!$B$9)*($B$7-'Engine Inputs'!$B$5-'Engine Inputs'!$B$6-2*'Engine Inputs'!$B$7*SQRT(MIN('Engine Inputs'!$B$12*K49/$C$7,'Engine Inputs'!$B$9)/'Engine Inputs'!$B$8))+MAX(K49-MIN('Engine Inputs'!$B$12*K49/$C$7,'Engine Inputs'!$B$9)*$C$7,0)*'Engine Inputs'!$B$10/$D$7)*(1-'Engine Inputs'!$B$4)+IF($D$7=1,(1-IF(OR($D$7=2,MOD(A50,2)=1),1,0))*K49*'Engine Inputs'!$B$10*(1-'Engine Inputs'!$B$4)/2,0)-IF(MOD(A50,2)=0,INDEX($B$11:$D$25,B50,3)*(1-'Engine Inputs'!$B$4),0)</f>
        <v>782483119.05743551</v>
      </c>
    </row>
    <row r="51" spans="1:11" ht="13.5" customHeight="1" x14ac:dyDescent="0.3">
      <c r="A51" s="10">
        <v>23</v>
      </c>
      <c r="B51" s="48">
        <f t="shared" si="3"/>
        <v>12</v>
      </c>
      <c r="C51" s="52">
        <f>C50+IF(OR($D$5=2,MOD(A51,2)=1),1,0)*(MIN('Engine Inputs'!$B$12*C50/$C$5,'Engine Inputs'!$B$9)*($B$5-'Engine Inputs'!$B$5-'Engine Inputs'!$B$6-2*'Engine Inputs'!$B$7*SQRT(MIN('Engine Inputs'!$B$12*C50/$C$5,'Engine Inputs'!$B$9)/'Engine Inputs'!$B$8))+MAX(C50-MIN('Engine Inputs'!$B$12*C50/$C$5,'Engine Inputs'!$B$9)*$C$5,0)*'Engine Inputs'!$B$10/$D$5)*(1-'Engine Inputs'!$B$4)+IF($D$5=1,(1-IF(OR($D$5=2,MOD(A51,2)=1),1,0))*C50*'Engine Inputs'!$B$10*(1-'Engine Inputs'!$B$4)/2,0)-IF(MOD(A51,2)=0,INDEX($B$11:$D$25,B51,1)*(1-'Engine Inputs'!$B$4),0)</f>
        <v>12543691772.255949</v>
      </c>
      <c r="D51" s="52">
        <f>D50+IF(OR($D$5=2,MOD(A51,2)=1),1,0)*(MIN('Engine Inputs'!$B$12*D50/$C$5,'Engine Inputs'!$B$9)*($B$5-'Engine Inputs'!$B$5-'Engine Inputs'!$B$6-2*'Engine Inputs'!$B$7*SQRT(MIN('Engine Inputs'!$B$12*D50/$C$5,'Engine Inputs'!$B$9)/'Engine Inputs'!$B$8))+MAX(D50-MIN('Engine Inputs'!$B$12*D50/$C$5,'Engine Inputs'!$B$9)*$C$5,0)*'Engine Inputs'!$B$10/$D$5)*(1-'Engine Inputs'!$B$4)+IF($D$5=1,(1-IF(OR($D$5=2,MOD(A51,2)=1),1,0))*D50*'Engine Inputs'!$B$10*(1-'Engine Inputs'!$B$4)/2,0)-IF(MOD(A51,2)=0,INDEX($B$11:$D$25,B51,2)*(1-'Engine Inputs'!$B$4),0)</f>
        <v>14899316026.791691</v>
      </c>
      <c r="E51" s="52">
        <f>E50+IF(OR($D$5=2,MOD(A51,2)=1),1,0)*(MIN('Engine Inputs'!$B$12*E50/$C$5,'Engine Inputs'!$B$9)*($B$5-'Engine Inputs'!$B$5-'Engine Inputs'!$B$6-2*'Engine Inputs'!$B$7*SQRT(MIN('Engine Inputs'!$B$12*E50/$C$5,'Engine Inputs'!$B$9)/'Engine Inputs'!$B$8))+MAX(E50-MIN('Engine Inputs'!$B$12*E50/$C$5,'Engine Inputs'!$B$9)*$C$5,0)*'Engine Inputs'!$B$10/$D$5)*(1-'Engine Inputs'!$B$4)+IF($D$5=1,(1-IF(OR($D$5=2,MOD(A51,2)=1),1,0))*E50*'Engine Inputs'!$B$10*(1-'Engine Inputs'!$B$4)/2,0)-IF(MOD(A51,2)=0,INDEX($B$11:$D$25,B51,3)*(1-'Engine Inputs'!$B$4),0)</f>
        <v>16630482352.653358</v>
      </c>
      <c r="F51" s="52">
        <f>F50+IF(OR($D$6=2,MOD(A51,2)=1),1,0)*(MIN('Engine Inputs'!$B$12*F50/$C$6,'Engine Inputs'!$B$9)*($B$6-'Engine Inputs'!$B$5-'Engine Inputs'!$B$6-2*'Engine Inputs'!$B$7*SQRT(MIN('Engine Inputs'!$B$12*F50/$C$6,'Engine Inputs'!$B$9)/'Engine Inputs'!$B$8))+MAX(F50-MIN('Engine Inputs'!$B$12*F50/$C$6,'Engine Inputs'!$B$9)*$C$6,0)*'Engine Inputs'!$B$10/$D$6)*(1-'Engine Inputs'!$B$4)+IF($D$6=1,(1-IF(OR($D$6=2,MOD(A51,2)=1),1,0))*F50*'Engine Inputs'!$B$10*(1-'Engine Inputs'!$B$4)/2,0)-IF(MOD(A51,2)=0,INDEX($B$11:$D$25,B51,1)*(1-'Engine Inputs'!$B$4),0)</f>
        <v>4149989223.4167099</v>
      </c>
      <c r="G51" s="52">
        <f>G50+IF(OR($D$6=2,MOD(A51,2)=1),1,0)*(MIN('Engine Inputs'!$B$12*G50/$C$6,'Engine Inputs'!$B$9)*($B$6-'Engine Inputs'!$B$5-'Engine Inputs'!$B$6-2*'Engine Inputs'!$B$7*SQRT(MIN('Engine Inputs'!$B$12*G50/$C$6,'Engine Inputs'!$B$9)/'Engine Inputs'!$B$8))+MAX(G50-MIN('Engine Inputs'!$B$12*G50/$C$6,'Engine Inputs'!$B$9)*$C$6,0)*'Engine Inputs'!$B$10/$D$6)*(1-'Engine Inputs'!$B$4)+IF($D$6=1,(1-IF(OR($D$6=2,MOD(A51,2)=1),1,0))*G50*'Engine Inputs'!$B$10*(1-'Engine Inputs'!$B$4)/2,0)-IF(MOD(A51,2)=0,INDEX($B$11:$D$25,B51,2)*(1-'Engine Inputs'!$B$4),0)</f>
        <v>5982995581.1096039</v>
      </c>
      <c r="H51" s="52">
        <f>H50+IF(OR($D$6=2,MOD(A51,2)=1),1,0)*(MIN('Engine Inputs'!$B$12*H50/$C$6,'Engine Inputs'!$B$9)*($B$6-'Engine Inputs'!$B$5-'Engine Inputs'!$B$6-2*'Engine Inputs'!$B$7*SQRT(MIN('Engine Inputs'!$B$12*H50/$C$6,'Engine Inputs'!$B$9)/'Engine Inputs'!$B$8))+MAX(H50-MIN('Engine Inputs'!$B$12*H50/$C$6,'Engine Inputs'!$B$9)*$C$6,0)*'Engine Inputs'!$B$10/$D$6)*(1-'Engine Inputs'!$B$4)+IF($D$6=1,(1-IF(OR($D$6=2,MOD(A51,2)=1),1,0))*H50*'Engine Inputs'!$B$10*(1-'Engine Inputs'!$B$4)/2,0)-IF(MOD(A51,2)=0,INDEX($B$11:$D$25,B51,3)*(1-'Engine Inputs'!$B$4),0)</f>
        <v>7407766274.3876209</v>
      </c>
      <c r="I51" s="49">
        <f>I50+IF(OR($D$7=2,MOD(A51,2)=1),1,0)*(MIN('Engine Inputs'!$B$12*I50/$C$7,'Engine Inputs'!$B$9)*($B$7-'Engine Inputs'!$B$5-'Engine Inputs'!$B$6-2*'Engine Inputs'!$B$7*SQRT(MIN('Engine Inputs'!$B$12*I50/$C$7,'Engine Inputs'!$B$9)/'Engine Inputs'!$B$8))+MAX(I50-MIN('Engine Inputs'!$B$12*I50/$C$7,'Engine Inputs'!$B$9)*$C$7,0)*'Engine Inputs'!$B$10/$D$7)*(1-'Engine Inputs'!$B$4)+IF($D$7=1,(1-IF(OR($D$7=2,MOD(A51,2)=1),1,0))*I50*'Engine Inputs'!$B$10*(1-'Engine Inputs'!$B$4)/2,0)-IF(MOD(A51,2)=0,INDEX($B$11:$D$25,B51,1)*(1-'Engine Inputs'!$B$4),0)</f>
        <v>118138485.99707368</v>
      </c>
      <c r="J51" s="49">
        <f>J50+IF(OR($D$7=2,MOD(A51,2)=1),1,0)*(MIN('Engine Inputs'!$B$12*J50/$C$7,'Engine Inputs'!$B$9)*($B$7-'Engine Inputs'!$B$5-'Engine Inputs'!$B$6-2*'Engine Inputs'!$B$7*SQRT(MIN('Engine Inputs'!$B$12*J50/$C$7,'Engine Inputs'!$B$9)/'Engine Inputs'!$B$8))+MAX(J50-MIN('Engine Inputs'!$B$12*J50/$C$7,'Engine Inputs'!$B$9)*$C$7,0)*'Engine Inputs'!$B$10/$D$7)*(1-'Engine Inputs'!$B$4)+IF($D$7=1,(1-IF(OR($D$7=2,MOD(A51,2)=1),1,0))*J50*'Engine Inputs'!$B$10*(1-'Engine Inputs'!$B$4)/2,0)-IF(MOD(A51,2)=0,INDEX($B$11:$D$25,B51,2)*(1-'Engine Inputs'!$B$4),0)</f>
        <v>421189117.8453474</v>
      </c>
      <c r="K51" s="52">
        <f>K50+IF(OR($D$7=2,MOD(A51,2)=1),1,0)*(MIN('Engine Inputs'!$B$12*K50/$C$7,'Engine Inputs'!$B$9)*($B$7-'Engine Inputs'!$B$5-'Engine Inputs'!$B$6-2*'Engine Inputs'!$B$7*SQRT(MIN('Engine Inputs'!$B$12*K50/$C$7,'Engine Inputs'!$B$9)/'Engine Inputs'!$B$8))+MAX(K50-MIN('Engine Inputs'!$B$12*K50/$C$7,'Engine Inputs'!$B$9)*$C$7,0)*'Engine Inputs'!$B$10/$D$7)*(1-'Engine Inputs'!$B$4)+IF($D$7=1,(1-IF(OR($D$7=2,MOD(A51,2)=1),1,0))*K50*'Engine Inputs'!$B$10*(1-'Engine Inputs'!$B$4)/2,0)-IF(MOD(A51,2)=0,INDEX($B$11:$D$25,B51,3)*(1-'Engine Inputs'!$B$4),0)</f>
        <v>1052616133.4542053</v>
      </c>
    </row>
    <row r="52" spans="1:11" ht="13.5" customHeight="1" x14ac:dyDescent="0.3">
      <c r="A52" s="13">
        <v>24</v>
      </c>
      <c r="B52" s="50">
        <f t="shared" si="3"/>
        <v>12</v>
      </c>
      <c r="C52" s="53">
        <f>C51+IF(OR($D$5=2,MOD(A52,2)=1),1,0)*(MIN('Engine Inputs'!$B$12*C51/$C$5,'Engine Inputs'!$B$9)*($B$5-'Engine Inputs'!$B$5-'Engine Inputs'!$B$6-2*'Engine Inputs'!$B$7*SQRT(MIN('Engine Inputs'!$B$12*C51/$C$5,'Engine Inputs'!$B$9)/'Engine Inputs'!$B$8))+MAX(C51-MIN('Engine Inputs'!$B$12*C51/$C$5,'Engine Inputs'!$B$9)*$C$5,0)*'Engine Inputs'!$B$10/$D$5)*(1-'Engine Inputs'!$B$4)+IF($D$5=1,(1-IF(OR($D$5=2,MOD(A52,2)=1),1,0))*C51*'Engine Inputs'!$B$10*(1-'Engine Inputs'!$B$4)/2,0)-IF(MOD(A52,2)=0,INDEX($B$11:$D$25,B52,1)*(1-'Engine Inputs'!$B$4),0)</f>
        <v>13607491888.059597</v>
      </c>
      <c r="D52" s="53">
        <f>D51+IF(OR($D$5=2,MOD(A52,2)=1),1,0)*(MIN('Engine Inputs'!$B$12*D51/$C$5,'Engine Inputs'!$B$9)*($B$5-'Engine Inputs'!$B$5-'Engine Inputs'!$B$6-2*'Engine Inputs'!$B$7*SQRT(MIN('Engine Inputs'!$B$12*D51/$C$5,'Engine Inputs'!$B$9)/'Engine Inputs'!$B$8))+MAX(D51-MIN('Engine Inputs'!$B$12*D51/$C$5,'Engine Inputs'!$B$9)*$C$5,0)*'Engine Inputs'!$B$10/$D$5)*(1-'Engine Inputs'!$B$4)+IF($D$5=1,(1-IF(OR($D$5=2,MOD(A52,2)=1),1,0))*D51*'Engine Inputs'!$B$10*(1-'Engine Inputs'!$B$4)/2,0)-IF(MOD(A52,2)=0,INDEX($B$11:$D$25,B52,2)*(1-'Engine Inputs'!$B$4),0)</f>
        <v>16019994290.715351</v>
      </c>
      <c r="E52" s="53">
        <f>E51+IF(OR($D$5=2,MOD(A52,2)=1),1,0)*(MIN('Engine Inputs'!$B$12*E51/$C$5,'Engine Inputs'!$B$9)*($B$5-'Engine Inputs'!$B$5-'Engine Inputs'!$B$6-2*'Engine Inputs'!$B$7*SQRT(MIN('Engine Inputs'!$B$12*E51/$C$5,'Engine Inputs'!$B$9)/'Engine Inputs'!$B$8))+MAX(E51-MIN('Engine Inputs'!$B$12*E51/$C$5,'Engine Inputs'!$B$9)*$C$5,0)*'Engine Inputs'!$B$10/$D$5)*(1-'Engine Inputs'!$B$4)+IF($D$5=1,(1-IF(OR($D$5=2,MOD(A52,2)=1),1,0))*E51*'Engine Inputs'!$B$10*(1-'Engine Inputs'!$B$4)/2,0)-IF(MOD(A52,2)=0,INDEX($B$11:$D$25,B52,3)*(1-'Engine Inputs'!$B$4),0)</f>
        <v>17792327874.088505</v>
      </c>
      <c r="F52" s="53">
        <f>F51+IF(OR($D$6=2,MOD(A52,2)=1),1,0)*(MIN('Engine Inputs'!$B$12*F51/$C$6,'Engine Inputs'!$B$9)*($B$6-'Engine Inputs'!$B$5-'Engine Inputs'!$B$6-2*'Engine Inputs'!$B$7*SQRT(MIN('Engine Inputs'!$B$12*F51/$C$6,'Engine Inputs'!$B$9)/'Engine Inputs'!$B$8))+MAX(F51-MIN('Engine Inputs'!$B$12*F51/$C$6,'Engine Inputs'!$B$9)*$C$6,0)*'Engine Inputs'!$B$10/$D$6)*(1-'Engine Inputs'!$B$4)+IF($D$6=1,(1-IF(OR($D$6=2,MOD(A52,2)=1),1,0))*F51*'Engine Inputs'!$B$10*(1-'Engine Inputs'!$B$4)/2,0)-IF(MOD(A52,2)=0,INDEX($B$11:$D$25,B52,1)*(1-'Engine Inputs'!$B$4),0)</f>
        <v>4668921267.0115223</v>
      </c>
      <c r="G52" s="53">
        <f>G51+IF(OR($D$6=2,MOD(A52,2)=1),1,0)*(MIN('Engine Inputs'!$B$12*G51/$C$6,'Engine Inputs'!$B$9)*($B$6-'Engine Inputs'!$B$5-'Engine Inputs'!$B$6-2*'Engine Inputs'!$B$7*SQRT(MIN('Engine Inputs'!$B$12*G51/$C$6,'Engine Inputs'!$B$9)/'Engine Inputs'!$B$8))+MAX(G51-MIN('Engine Inputs'!$B$12*G51/$C$6,'Engine Inputs'!$B$9)*$C$6,0)*'Engine Inputs'!$B$10/$D$6)*(1-'Engine Inputs'!$B$4)+IF($D$6=1,(1-IF(OR($D$6=2,MOD(A52,2)=1),1,0))*G51*'Engine Inputs'!$B$10*(1-'Engine Inputs'!$B$4)/2,0)-IF(MOD(A52,2)=0,INDEX($B$11:$D$25,B52,2)*(1-'Engine Inputs'!$B$4),0)</f>
        <v>6546095496.5260506</v>
      </c>
      <c r="H52" s="53">
        <f>H51+IF(OR($D$6=2,MOD(A52,2)=1),1,0)*(MIN('Engine Inputs'!$B$12*H51/$C$6,'Engine Inputs'!$B$9)*($B$6-'Engine Inputs'!$B$5-'Engine Inputs'!$B$6-2*'Engine Inputs'!$B$7*SQRT(MIN('Engine Inputs'!$B$12*H51/$C$6,'Engine Inputs'!$B$9)/'Engine Inputs'!$B$8))+MAX(H51-MIN('Engine Inputs'!$B$12*H51/$C$6,'Engine Inputs'!$B$9)*$C$6,0)*'Engine Inputs'!$B$10/$D$6)*(1-'Engine Inputs'!$B$4)+IF($D$6=1,(1-IF(OR($D$6=2,MOD(A52,2)=1),1,0))*H51*'Engine Inputs'!$B$10*(1-'Engine Inputs'!$B$4)/2,0)-IF(MOD(A52,2)=0,INDEX($B$11:$D$25,B52,3)*(1-'Engine Inputs'!$B$4),0)</f>
        <v>8004581782.972867</v>
      </c>
      <c r="I52" s="51">
        <f>I51+IF(OR($D$7=2,MOD(A52,2)=1),1,0)*(MIN('Engine Inputs'!$B$12*I51/$C$7,'Engine Inputs'!$B$9)*($B$7-'Engine Inputs'!$B$5-'Engine Inputs'!$B$6-2*'Engine Inputs'!$B$7*SQRT(MIN('Engine Inputs'!$B$12*I51/$C$7,'Engine Inputs'!$B$9)/'Engine Inputs'!$B$8))+MAX(I51-MIN('Engine Inputs'!$B$12*I51/$C$7,'Engine Inputs'!$B$9)*$C$7,0)*'Engine Inputs'!$B$10/$D$7)*(1-'Engine Inputs'!$B$4)+IF($D$7=1,(1-IF(OR($D$7=2,MOD(A52,2)=1),1,0))*I51*'Engine Inputs'!$B$10*(1-'Engine Inputs'!$B$4)/2,0)-IF(MOD(A52,2)=0,INDEX($B$11:$D$25,B52,1)*(1-'Engine Inputs'!$B$4),0)</f>
        <v>120861997.2319169</v>
      </c>
      <c r="J52" s="51">
        <f>J51+IF(OR($D$7=2,MOD(A52,2)=1),1,0)*(MIN('Engine Inputs'!$B$12*J51/$C$7,'Engine Inputs'!$B$9)*($B$7-'Engine Inputs'!$B$5-'Engine Inputs'!$B$6-2*'Engine Inputs'!$B$7*SQRT(MIN('Engine Inputs'!$B$12*J51/$C$7,'Engine Inputs'!$B$9)/'Engine Inputs'!$B$8))+MAX(J51-MIN('Engine Inputs'!$B$12*J51/$C$7,'Engine Inputs'!$B$9)*$C$7,0)*'Engine Inputs'!$B$10/$D$7)*(1-'Engine Inputs'!$B$4)+IF($D$7=1,(1-IF(OR($D$7=2,MOD(A52,2)=1),1,0))*J51*'Engine Inputs'!$B$10*(1-'Engine Inputs'!$B$4)/2,0)-IF(MOD(A52,2)=0,INDEX($B$11:$D$25,B52,2)*(1-'Engine Inputs'!$B$4),0)</f>
        <v>430871365.66699338</v>
      </c>
      <c r="K52" s="53">
        <f>K51+IF(OR($D$7=2,MOD(A52,2)=1),1,0)*(MIN('Engine Inputs'!$B$12*K51/$C$7,'Engine Inputs'!$B$9)*($B$7-'Engine Inputs'!$B$5-'Engine Inputs'!$B$6-2*'Engine Inputs'!$B$7*SQRT(MIN('Engine Inputs'!$B$12*K51/$C$7,'Engine Inputs'!$B$9)/'Engine Inputs'!$B$8))+MAX(K51-MIN('Engine Inputs'!$B$12*K51/$C$7,'Engine Inputs'!$B$9)*$C$7,0)*'Engine Inputs'!$B$10/$D$7)*(1-'Engine Inputs'!$B$4)+IF($D$7=1,(1-IF(OR($D$7=2,MOD(A52,2)=1),1,0))*K51*'Engine Inputs'!$B$10*(1-'Engine Inputs'!$B$4)/2,0)-IF(MOD(A52,2)=0,INDEX($B$11:$D$25,B52,3)*(1-'Engine Inputs'!$B$4),0)</f>
        <v>1076719538.8662648</v>
      </c>
    </row>
    <row r="53" spans="1:11" ht="13.5" customHeight="1" x14ac:dyDescent="0.3">
      <c r="A53" s="10">
        <v>25</v>
      </c>
      <c r="B53" s="48">
        <f t="shared" si="3"/>
        <v>13</v>
      </c>
      <c r="C53" s="52">
        <f>C52+IF(OR($D$5=2,MOD(A53,2)=1),1,0)*(MIN('Engine Inputs'!$B$12*C52/$C$5,'Engine Inputs'!$B$9)*($B$5-'Engine Inputs'!$B$5-'Engine Inputs'!$B$6-2*'Engine Inputs'!$B$7*SQRT(MIN('Engine Inputs'!$B$12*C52/$C$5,'Engine Inputs'!$B$9)/'Engine Inputs'!$B$8))+MAX(C52-MIN('Engine Inputs'!$B$12*C52/$C$5,'Engine Inputs'!$B$9)*$C$5,0)*'Engine Inputs'!$B$10/$D$5)*(1-'Engine Inputs'!$B$4)+IF($D$5=1,(1-IF(OR($D$5=2,MOD(A53,2)=1),1,0))*C52*'Engine Inputs'!$B$10*(1-'Engine Inputs'!$B$4)/2,0)-IF(MOD(A53,2)=0,INDEX($B$11:$D$25,B53,1)*(1-'Engine Inputs'!$B$4),0)</f>
        <v>14697313712.199636</v>
      </c>
      <c r="D53" s="52">
        <f>D52+IF(OR($D$5=2,MOD(A53,2)=1),1,0)*(MIN('Engine Inputs'!$B$12*D52/$C$5,'Engine Inputs'!$B$9)*($B$5-'Engine Inputs'!$B$5-'Engine Inputs'!$B$6-2*'Engine Inputs'!$B$7*SQRT(MIN('Engine Inputs'!$B$12*D52/$C$5,'Engine Inputs'!$B$9)/'Engine Inputs'!$B$8))+MAX(D52-MIN('Engine Inputs'!$B$12*D52/$C$5,'Engine Inputs'!$B$9)*$C$5,0)*'Engine Inputs'!$B$10/$D$5)*(1-'Engine Inputs'!$B$4)+IF($D$5=1,(1-IF(OR($D$5=2,MOD(A53,2)=1),1,0))*D52*'Engine Inputs'!$B$10*(1-'Engine Inputs'!$B$4)/2,0)-IF(MOD(A53,2)=0,INDEX($B$11:$D$25,B53,2)*(1-'Engine Inputs'!$B$4),0)</f>
        <v>17168489138.28894</v>
      </c>
      <c r="E53" s="52">
        <f>E52+IF(OR($D$5=2,MOD(A53,2)=1),1,0)*(MIN('Engine Inputs'!$B$12*E52/$C$5,'Engine Inputs'!$B$9)*($B$5-'Engine Inputs'!$B$5-'Engine Inputs'!$B$6-2*'Engine Inputs'!$B$7*SQRT(MIN('Engine Inputs'!$B$12*E52/$C$5,'Engine Inputs'!$B$9)/'Engine Inputs'!$B$8))+MAX(E52-MIN('Engine Inputs'!$B$12*E52/$C$5,'Engine Inputs'!$B$9)*$C$5,0)*'Engine Inputs'!$B$10/$D$5)*(1-'Engine Inputs'!$B$4)+IF($D$5=1,(1-IF(OR($D$5=2,MOD(A53,2)=1),1,0))*E52*'Engine Inputs'!$B$10*(1-'Engine Inputs'!$B$4)/2,0)-IF(MOD(A53,2)=0,INDEX($B$11:$D$25,B53,3)*(1-'Engine Inputs'!$B$4),0)</f>
        <v>18983926583.343163</v>
      </c>
      <c r="F53" s="52">
        <f>F52+IF(OR($D$6=2,MOD(A53,2)=1),1,0)*(MIN('Engine Inputs'!$B$12*F52/$C$6,'Engine Inputs'!$B$9)*($B$6-'Engine Inputs'!$B$5-'Engine Inputs'!$B$6-2*'Engine Inputs'!$B$7*SQRT(MIN('Engine Inputs'!$B$12*F52/$C$6,'Engine Inputs'!$B$9)/'Engine Inputs'!$B$8))+MAX(F52-MIN('Engine Inputs'!$B$12*F52/$C$6,'Engine Inputs'!$B$9)*$C$6,0)*'Engine Inputs'!$B$10/$D$6)*(1-'Engine Inputs'!$B$4)+IF($D$6=1,(1-IF(OR($D$6=2,MOD(A53,2)=1),1,0))*F52*'Engine Inputs'!$B$10*(1-'Engine Inputs'!$B$4)/2,0)-IF(MOD(A53,2)=0,INDEX($B$11:$D$25,B53,1)*(1-'Engine Inputs'!$B$4),0)</f>
        <v>5200623609.4793787</v>
      </c>
      <c r="G53" s="52">
        <f>G52+IF(OR($D$6=2,MOD(A53,2)=1),1,0)*(MIN('Engine Inputs'!$B$12*G52/$C$6,'Engine Inputs'!$B$9)*($B$6-'Engine Inputs'!$B$5-'Engine Inputs'!$B$6-2*'Engine Inputs'!$B$7*SQRT(MIN('Engine Inputs'!$B$12*G52/$C$6,'Engine Inputs'!$B$9)/'Engine Inputs'!$B$8))+MAX(G52-MIN('Engine Inputs'!$B$12*G52/$C$6,'Engine Inputs'!$B$9)*$C$6,0)*'Engine Inputs'!$B$10/$D$6)*(1-'Engine Inputs'!$B$4)+IF($D$6=1,(1-IF(OR($D$6=2,MOD(A53,2)=1),1,0))*G52*'Engine Inputs'!$B$10*(1-'Engine Inputs'!$B$4)/2,0)-IF(MOD(A53,2)=0,INDEX($B$11:$D$25,B53,2)*(1-'Engine Inputs'!$B$4),0)</f>
        <v>7123451467.125392</v>
      </c>
      <c r="H53" s="52">
        <f>H52+IF(OR($D$6=2,MOD(A53,2)=1),1,0)*(MIN('Engine Inputs'!$B$12*H52/$C$6,'Engine Inputs'!$B$9)*($B$6-'Engine Inputs'!$B$5-'Engine Inputs'!$B$6-2*'Engine Inputs'!$B$7*SQRT(MIN('Engine Inputs'!$B$12*H52/$C$6,'Engine Inputs'!$B$9)/'Engine Inputs'!$B$8))+MAX(H52-MIN('Engine Inputs'!$B$12*H52/$C$6,'Engine Inputs'!$B$9)*$C$6,0)*'Engine Inputs'!$B$10/$D$6)*(1-'Engine Inputs'!$B$4)+IF($D$6=1,(1-IF(OR($D$6=2,MOD(A53,2)=1),1,0))*H52*'Engine Inputs'!$B$10*(1-'Engine Inputs'!$B$4)/2,0)-IF(MOD(A53,2)=0,INDEX($B$11:$D$25,B53,3)*(1-'Engine Inputs'!$B$4),0)</f>
        <v>8617408723.4531097</v>
      </c>
      <c r="I53" s="49">
        <f>I52+IF(OR($D$7=2,MOD(A53,2)=1),1,0)*(MIN('Engine Inputs'!$B$12*I52/$C$7,'Engine Inputs'!$B$9)*($B$7-'Engine Inputs'!$B$5-'Engine Inputs'!$B$6-2*'Engine Inputs'!$B$7*SQRT(MIN('Engine Inputs'!$B$12*I52/$C$7,'Engine Inputs'!$B$9)/'Engine Inputs'!$B$8))+MAX(I52-MIN('Engine Inputs'!$B$12*I52/$C$7,'Engine Inputs'!$B$9)*$C$7,0)*'Engine Inputs'!$B$10/$D$7)*(1-'Engine Inputs'!$B$4)+IF($D$7=1,(1-IF(OR($D$7=2,MOD(A53,2)=1),1,0))*I52*'Engine Inputs'!$B$10*(1-'Engine Inputs'!$B$4)/2,0)-IF(MOD(A53,2)=0,INDEX($B$11:$D$25,B53,1)*(1-'Engine Inputs'!$B$4),0)</f>
        <v>165571997.56386748</v>
      </c>
      <c r="J53" s="49">
        <f>J52+IF(OR($D$7=2,MOD(A53,2)=1),1,0)*(MIN('Engine Inputs'!$B$12*J52/$C$7,'Engine Inputs'!$B$9)*($B$7-'Engine Inputs'!$B$5-'Engine Inputs'!$B$6-2*'Engine Inputs'!$B$7*SQRT(MIN('Engine Inputs'!$B$12*J52/$C$7,'Engine Inputs'!$B$9)/'Engine Inputs'!$B$8))+MAX(J52-MIN('Engine Inputs'!$B$12*J52/$C$7,'Engine Inputs'!$B$9)*$C$7,0)*'Engine Inputs'!$B$10/$D$7)*(1-'Engine Inputs'!$B$4)+IF($D$7=1,(1-IF(OR($D$7=2,MOD(A53,2)=1),1,0))*J52*'Engine Inputs'!$B$10*(1-'Engine Inputs'!$B$4)/2,0)-IF(MOD(A53,2)=0,INDEX($B$11:$D$25,B53,2)*(1-'Engine Inputs'!$B$4),0)</f>
        <v>584141851.61360109</v>
      </c>
      <c r="K53" s="52">
        <f>K52+IF(OR($D$7=2,MOD(A53,2)=1),1,0)*(MIN('Engine Inputs'!$B$12*K52/$C$7,'Engine Inputs'!$B$9)*($B$7-'Engine Inputs'!$B$5-'Engine Inputs'!$B$6-2*'Engine Inputs'!$B$7*SQRT(MIN('Engine Inputs'!$B$12*K52/$C$7,'Engine Inputs'!$B$9)/'Engine Inputs'!$B$8))+MAX(K52-MIN('Engine Inputs'!$B$12*K52/$C$7,'Engine Inputs'!$B$9)*$C$7,0)*'Engine Inputs'!$B$10/$D$7)*(1-'Engine Inputs'!$B$4)+IF($D$7=1,(1-IF(OR($D$7=2,MOD(A53,2)=1),1,0))*K52*'Engine Inputs'!$B$10*(1-'Engine Inputs'!$B$4)/2,0)-IF(MOD(A53,2)=0,INDEX($B$11:$D$25,B53,3)*(1-'Engine Inputs'!$B$4),0)</f>
        <v>1435975755.6766152</v>
      </c>
    </row>
    <row r="54" spans="1:11" ht="13.5" customHeight="1" x14ac:dyDescent="0.3">
      <c r="A54" s="13">
        <v>26</v>
      </c>
      <c r="B54" s="50">
        <f t="shared" si="3"/>
        <v>13</v>
      </c>
      <c r="C54" s="53">
        <f>C53+IF(OR($D$5=2,MOD(A54,2)=1),1,0)*(MIN('Engine Inputs'!$B$12*C53/$C$5,'Engine Inputs'!$B$9)*($B$5-'Engine Inputs'!$B$5-'Engine Inputs'!$B$6-2*'Engine Inputs'!$B$7*SQRT(MIN('Engine Inputs'!$B$12*C53/$C$5,'Engine Inputs'!$B$9)/'Engine Inputs'!$B$8))+MAX(C53-MIN('Engine Inputs'!$B$12*C53/$C$5,'Engine Inputs'!$B$9)*$C$5,0)*'Engine Inputs'!$B$10/$D$5)*(1-'Engine Inputs'!$B$4)+IF($D$5=1,(1-IF(OR($D$5=2,MOD(A54,2)=1),1,0))*C53*'Engine Inputs'!$B$10*(1-'Engine Inputs'!$B$4)/2,0)-IF(MOD(A54,2)=0,INDEX($B$11:$D$25,B54,1)*(1-'Engine Inputs'!$B$4),0)</f>
        <v>15813490775.031492</v>
      </c>
      <c r="D54" s="53">
        <f>D53+IF(OR($D$5=2,MOD(A54,2)=1),1,0)*(MIN('Engine Inputs'!$B$12*D53/$C$5,'Engine Inputs'!$B$9)*($B$5-'Engine Inputs'!$B$5-'Engine Inputs'!$B$6-2*'Engine Inputs'!$B$7*SQRT(MIN('Engine Inputs'!$B$12*D53/$C$5,'Engine Inputs'!$B$9)/'Engine Inputs'!$B$8))+MAX(D53-MIN('Engine Inputs'!$B$12*D53/$C$5,'Engine Inputs'!$B$9)*$C$5,0)*'Engine Inputs'!$B$10/$D$5)*(1-'Engine Inputs'!$B$4)+IF($D$5=1,(1-IF(OR($D$5=2,MOD(A54,2)=1),1,0))*D53*'Engine Inputs'!$B$10*(1-'Engine Inputs'!$B$4)/2,0)-IF(MOD(A54,2)=0,INDEX($B$11:$D$25,B54,2)*(1-'Engine Inputs'!$B$4),0)</f>
        <v>18344354599.953457</v>
      </c>
      <c r="E54" s="53">
        <f>E53+IF(OR($D$5=2,MOD(A54,2)=1),1,0)*(MIN('Engine Inputs'!$B$12*E53/$C$5,'Engine Inputs'!$B$9)*($B$5-'Engine Inputs'!$B$5-'Engine Inputs'!$B$6-2*'Engine Inputs'!$B$7*SQRT(MIN('Engine Inputs'!$B$12*E53/$C$5,'Engine Inputs'!$B$9)/'Engine Inputs'!$B$8))+MAX(E53-MIN('Engine Inputs'!$B$12*E53/$C$5,'Engine Inputs'!$B$9)*$C$5,0)*'Engine Inputs'!$B$10/$D$5)*(1-'Engine Inputs'!$B$4)+IF($D$5=1,(1-IF(OR($D$5=2,MOD(A54,2)=1),1,0))*E53*'Engine Inputs'!$B$10*(1-'Engine Inputs'!$B$4)/2,0)-IF(MOD(A54,2)=0,INDEX($B$11:$D$25,B54,3)*(1-'Engine Inputs'!$B$4),0)</f>
        <v>20203008809.846375</v>
      </c>
      <c r="F54" s="53">
        <f>F53+IF(OR($D$6=2,MOD(A54,2)=1),1,0)*(MIN('Engine Inputs'!$B$12*F53/$C$6,'Engine Inputs'!$B$9)*($B$6-'Engine Inputs'!$B$5-'Engine Inputs'!$B$6-2*'Engine Inputs'!$B$7*SQRT(MIN('Engine Inputs'!$B$12*F53/$C$6,'Engine Inputs'!$B$9)/'Engine Inputs'!$B$8))+MAX(F53-MIN('Engine Inputs'!$B$12*F53/$C$6,'Engine Inputs'!$B$9)*$C$6,0)*'Engine Inputs'!$B$10/$D$6)*(1-'Engine Inputs'!$B$4)+IF($D$6=1,(1-IF(OR($D$6=2,MOD(A54,2)=1),1,0))*F53*'Engine Inputs'!$B$10*(1-'Engine Inputs'!$B$4)/2,0)-IF(MOD(A54,2)=0,INDEX($B$11:$D$25,B54,1)*(1-'Engine Inputs'!$B$4),0)</f>
        <v>5745107501.5969896</v>
      </c>
      <c r="G54" s="53">
        <f>G53+IF(OR($D$6=2,MOD(A54,2)=1),1,0)*(MIN('Engine Inputs'!$B$12*G53/$C$6,'Engine Inputs'!$B$9)*($B$6-'Engine Inputs'!$B$5-'Engine Inputs'!$B$6-2*'Engine Inputs'!$B$7*SQRT(MIN('Engine Inputs'!$B$12*G53/$C$6,'Engine Inputs'!$B$9)/'Engine Inputs'!$B$8))+MAX(G53-MIN('Engine Inputs'!$B$12*G53/$C$6,'Engine Inputs'!$B$9)*$C$6,0)*'Engine Inputs'!$B$10/$D$6)*(1-'Engine Inputs'!$B$4)+IF($D$6=1,(1-IF(OR($D$6=2,MOD(A54,2)=1),1,0))*G53*'Engine Inputs'!$B$10*(1-'Engine Inputs'!$B$4)/2,0)-IF(MOD(A54,2)=0,INDEX($B$11:$D$25,B54,2)*(1-'Engine Inputs'!$B$4),0)</f>
        <v>7714287725.872097</v>
      </c>
      <c r="H54" s="53">
        <f>H53+IF(OR($D$6=2,MOD(A54,2)=1),1,0)*(MIN('Engine Inputs'!$B$12*H53/$C$6,'Engine Inputs'!$B$9)*($B$6-'Engine Inputs'!$B$5-'Engine Inputs'!$B$6-2*'Engine Inputs'!$B$7*SQRT(MIN('Engine Inputs'!$B$12*H53/$C$6,'Engine Inputs'!$B$9)/'Engine Inputs'!$B$8))+MAX(H53-MIN('Engine Inputs'!$B$12*H53/$C$6,'Engine Inputs'!$B$9)*$C$6,0)*'Engine Inputs'!$B$10/$D$6)*(1-'Engine Inputs'!$B$4)+IF($D$6=1,(1-IF(OR($D$6=2,MOD(A54,2)=1),1,0))*H53*'Engine Inputs'!$B$10*(1-'Engine Inputs'!$B$4)/2,0)-IF(MOD(A54,2)=0,INDEX($B$11:$D$25,B54,3)*(1-'Engine Inputs'!$B$4),0)</f>
        <v>9243643220.2566071</v>
      </c>
      <c r="I54" s="51">
        <f>I53+IF(OR($D$7=2,MOD(A54,2)=1),1,0)*(MIN('Engine Inputs'!$B$12*I53/$C$7,'Engine Inputs'!$B$9)*($B$7-'Engine Inputs'!$B$5-'Engine Inputs'!$B$6-2*'Engine Inputs'!$B$7*SQRT(MIN('Engine Inputs'!$B$12*I53/$C$7,'Engine Inputs'!$B$9)/'Engine Inputs'!$B$8))+MAX(I53-MIN('Engine Inputs'!$B$12*I53/$C$7,'Engine Inputs'!$B$9)*$C$7,0)*'Engine Inputs'!$B$10/$D$7)*(1-'Engine Inputs'!$B$4)+IF($D$7=1,(1-IF(OR($D$7=2,MOD(A54,2)=1),1,0))*I53*'Engine Inputs'!$B$10*(1-'Engine Inputs'!$B$4)/2,0)-IF(MOD(A54,2)=0,INDEX($B$11:$D$25,B54,1)*(1-'Engine Inputs'!$B$4),0)</f>
        <v>169449110.77341977</v>
      </c>
      <c r="J54" s="51">
        <f>J53+IF(OR($D$7=2,MOD(A54,2)=1),1,0)*(MIN('Engine Inputs'!$B$12*J53/$C$7,'Engine Inputs'!$B$9)*($B$7-'Engine Inputs'!$B$5-'Engine Inputs'!$B$6-2*'Engine Inputs'!$B$7*SQRT(MIN('Engine Inputs'!$B$12*J53/$C$7,'Engine Inputs'!$B$9)/'Engine Inputs'!$B$8))+MAX(J53-MIN('Engine Inputs'!$B$12*J53/$C$7,'Engine Inputs'!$B$9)*$C$7,0)*'Engine Inputs'!$B$10/$D$7)*(1-'Engine Inputs'!$B$4)+IF($D$7=1,(1-IF(OR($D$7=2,MOD(A54,2)=1),1,0))*J53*'Engine Inputs'!$B$10*(1-'Engine Inputs'!$B$4)/2,0)-IF(MOD(A54,2)=0,INDEX($B$11:$D$25,B54,2)*(1-'Engine Inputs'!$B$4),0)</f>
        <v>597787175.10158455</v>
      </c>
      <c r="K54" s="53">
        <f>K53+IF(OR($D$7=2,MOD(A54,2)=1),1,0)*(MIN('Engine Inputs'!$B$12*K53/$C$7,'Engine Inputs'!$B$9)*($B$7-'Engine Inputs'!$B$5-'Engine Inputs'!$B$6-2*'Engine Inputs'!$B$7*SQRT(MIN('Engine Inputs'!$B$12*K53/$C$7,'Engine Inputs'!$B$9)/'Engine Inputs'!$B$8))+MAX(K53-MIN('Engine Inputs'!$B$12*K53/$C$7,'Engine Inputs'!$B$9)*$C$7,0)*'Engine Inputs'!$B$10/$D$7)*(1-'Engine Inputs'!$B$4)+IF($D$7=1,(1-IF(OR($D$7=2,MOD(A54,2)=1),1,0))*K53*'Engine Inputs'!$B$10*(1-'Engine Inputs'!$B$4)/2,0)-IF(MOD(A54,2)=0,INDEX($B$11:$D$25,B54,3)*(1-'Engine Inputs'!$B$4),0)</f>
        <v>1469402620.4449728</v>
      </c>
    </row>
    <row r="55" spans="1:11" ht="13.5" customHeight="1" x14ac:dyDescent="0.3">
      <c r="A55" s="10">
        <v>27</v>
      </c>
      <c r="B55" s="48">
        <f t="shared" si="3"/>
        <v>14</v>
      </c>
      <c r="C55" s="52">
        <f>C54+IF(OR($D$5=2,MOD(A55,2)=1),1,0)*(MIN('Engine Inputs'!$B$12*C54/$C$5,'Engine Inputs'!$B$9)*($B$5-'Engine Inputs'!$B$5-'Engine Inputs'!$B$6-2*'Engine Inputs'!$B$7*SQRT(MIN('Engine Inputs'!$B$12*C54/$C$5,'Engine Inputs'!$B$9)/'Engine Inputs'!$B$8))+MAX(C54-MIN('Engine Inputs'!$B$12*C54/$C$5,'Engine Inputs'!$B$9)*$C$5,0)*'Engine Inputs'!$B$10/$D$5)*(1-'Engine Inputs'!$B$4)+IF($D$5=1,(1-IF(OR($D$5=2,MOD(A55,2)=1),1,0))*C54*'Engine Inputs'!$B$10*(1-'Engine Inputs'!$B$4)/2,0)-IF(MOD(A55,2)=0,INDEX($B$11:$D$25,B55,1)*(1-'Engine Inputs'!$B$4),0)</f>
        <v>16956963374.502243</v>
      </c>
      <c r="D55" s="52">
        <f>D54+IF(OR($D$5=2,MOD(A55,2)=1),1,0)*(MIN('Engine Inputs'!$B$12*D54/$C$5,'Engine Inputs'!$B$9)*($B$5-'Engine Inputs'!$B$5-'Engine Inputs'!$B$6-2*'Engine Inputs'!$B$7*SQRT(MIN('Engine Inputs'!$B$12*D54/$C$5,'Engine Inputs'!$B$9)/'Engine Inputs'!$B$8))+MAX(D54-MIN('Engine Inputs'!$B$12*D54/$C$5,'Engine Inputs'!$B$9)*$C$5,0)*'Engine Inputs'!$B$10/$D$5)*(1-'Engine Inputs'!$B$4)+IF($D$5=1,(1-IF(OR($D$5=2,MOD(A55,2)=1),1,0))*D54*'Engine Inputs'!$B$10*(1-'Engine Inputs'!$B$4)/2,0)-IF(MOD(A55,2)=0,INDEX($B$11:$D$25,B55,2)*(1-'Engine Inputs'!$B$4),0)</f>
        <v>19549378819.99184</v>
      </c>
      <c r="E55" s="52">
        <f>E54+IF(OR($D$5=2,MOD(A55,2)=1),1,0)*(MIN('Engine Inputs'!$B$12*E54/$C$5,'Engine Inputs'!$B$9)*($B$5-'Engine Inputs'!$B$5-'Engine Inputs'!$B$6-2*'Engine Inputs'!$B$7*SQRT(MIN('Engine Inputs'!$B$12*E54/$C$5,'Engine Inputs'!$B$9)/'Engine Inputs'!$B$8))+MAX(E54-MIN('Engine Inputs'!$B$12*E54/$C$5,'Engine Inputs'!$B$9)*$C$5,0)*'Engine Inputs'!$B$10/$D$5)*(1-'Engine Inputs'!$B$4)+IF($D$5=1,(1-IF(OR($D$5=2,MOD(A55,2)=1),1,0))*E54*'Engine Inputs'!$B$10*(1-'Engine Inputs'!$B$4)/2,0)-IF(MOD(A55,2)=0,INDEX($B$11:$D$25,B55,3)*(1-'Engine Inputs'!$B$4),0)</f>
        <v>21453236243.731037</v>
      </c>
      <c r="F55" s="52">
        <f>F54+IF(OR($D$6=2,MOD(A55,2)=1),1,0)*(MIN('Engine Inputs'!$B$12*F54/$C$6,'Engine Inputs'!$B$9)*($B$6-'Engine Inputs'!$B$5-'Engine Inputs'!$B$6-2*'Engine Inputs'!$B$7*SQRT(MIN('Engine Inputs'!$B$12*F54/$C$6,'Engine Inputs'!$B$9)/'Engine Inputs'!$B$8))+MAX(F54-MIN('Engine Inputs'!$B$12*F54/$C$6,'Engine Inputs'!$B$9)*$C$6,0)*'Engine Inputs'!$B$10/$D$6)*(1-'Engine Inputs'!$B$4)+IF($D$6=1,(1-IF(OR($D$6=2,MOD(A55,2)=1),1,0))*F54*'Engine Inputs'!$B$10*(1-'Engine Inputs'!$B$4)/2,0)-IF(MOD(A55,2)=0,INDEX($B$11:$D$25,B55,1)*(1-'Engine Inputs'!$B$4),0)</f>
        <v>6302983123.7644577</v>
      </c>
      <c r="G55" s="52">
        <f>G54+IF(OR($D$6=2,MOD(A55,2)=1),1,0)*(MIN('Engine Inputs'!$B$12*G54/$C$6,'Engine Inputs'!$B$9)*($B$6-'Engine Inputs'!$B$5-'Engine Inputs'!$B$6-2*'Engine Inputs'!$B$7*SQRT(MIN('Engine Inputs'!$B$12*G54/$C$6,'Engine Inputs'!$B$9)/'Engine Inputs'!$B$8))+MAX(G54-MIN('Engine Inputs'!$B$12*G54/$C$6,'Engine Inputs'!$B$9)*$C$6,0)*'Engine Inputs'!$B$10/$D$6)*(1-'Engine Inputs'!$B$4)+IF($D$6=1,(1-IF(OR($D$6=2,MOD(A55,2)=1),1,0))*G54*'Engine Inputs'!$B$10*(1-'Engine Inputs'!$B$4)/2,0)-IF(MOD(A55,2)=0,INDEX($B$11:$D$25,B55,2)*(1-'Engine Inputs'!$B$4),0)</f>
        <v>8320054598.7660255</v>
      </c>
      <c r="H55" s="52">
        <f>H54+IF(OR($D$6=2,MOD(A55,2)=1),1,0)*(MIN('Engine Inputs'!$B$12*H54/$C$6,'Engine Inputs'!$B$9)*($B$6-'Engine Inputs'!$B$5-'Engine Inputs'!$B$6-2*'Engine Inputs'!$B$7*SQRT(MIN('Engine Inputs'!$B$12*H54/$C$6,'Engine Inputs'!$B$9)/'Engine Inputs'!$B$8))+MAX(H54-MIN('Engine Inputs'!$B$12*H54/$C$6,'Engine Inputs'!$B$9)*$C$6,0)*'Engine Inputs'!$B$10/$D$6)*(1-'Engine Inputs'!$B$4)+IF($D$6=1,(1-IF(OR($D$6=2,MOD(A55,2)=1),1,0))*H54*'Engine Inputs'!$B$10*(1-'Engine Inputs'!$B$4)/2,0)-IF(MOD(A55,2)=0,INDEX($B$11:$D$25,B55,3)*(1-'Engine Inputs'!$B$4),0)</f>
        <v>9886604630.5161648</v>
      </c>
      <c r="I55" s="49">
        <f>I54+IF(OR($D$7=2,MOD(A55,2)=1),1,0)*(MIN('Engine Inputs'!$B$12*I54/$C$7,'Engine Inputs'!$B$9)*($B$7-'Engine Inputs'!$B$5-'Engine Inputs'!$B$6-2*'Engine Inputs'!$B$7*SQRT(MIN('Engine Inputs'!$B$12*I54/$C$7,'Engine Inputs'!$B$9)/'Engine Inputs'!$B$8))+MAX(I54-MIN('Engine Inputs'!$B$12*I54/$C$7,'Engine Inputs'!$B$9)*$C$7,0)*'Engine Inputs'!$B$10/$D$7)*(1-'Engine Inputs'!$B$4)+IF($D$7=1,(1-IF(OR($D$7=2,MOD(A55,2)=1),1,0))*I54*'Engine Inputs'!$B$10*(1-'Engine Inputs'!$B$4)/2,0)-IF(MOD(A55,2)=0,INDEX($B$11:$D$25,B55,1)*(1-'Engine Inputs'!$B$4),0)</f>
        <v>231633930.94505608</v>
      </c>
      <c r="J55" s="49">
        <f>J54+IF(OR($D$7=2,MOD(A55,2)=1),1,0)*(MIN('Engine Inputs'!$B$12*J54/$C$7,'Engine Inputs'!$B$9)*($B$7-'Engine Inputs'!$B$5-'Engine Inputs'!$B$6-2*'Engine Inputs'!$B$7*SQRT(MIN('Engine Inputs'!$B$12*J54/$C$7,'Engine Inputs'!$B$9)/'Engine Inputs'!$B$8))+MAX(J54-MIN('Engine Inputs'!$B$12*J54/$C$7,'Engine Inputs'!$B$9)*$C$7,0)*'Engine Inputs'!$B$10/$D$7)*(1-'Engine Inputs'!$B$4)+IF($D$7=1,(1-IF(OR($D$7=2,MOD(A55,2)=1),1,0))*J54*'Engine Inputs'!$B$10*(1-'Engine Inputs'!$B$4)/2,0)-IF(MOD(A55,2)=0,INDEX($B$11:$D$25,B55,2)*(1-'Engine Inputs'!$B$4),0)</f>
        <v>807222389.90773976</v>
      </c>
      <c r="K55" s="52">
        <f>K54+IF(OR($D$7=2,MOD(A55,2)=1),1,0)*(MIN('Engine Inputs'!$B$12*K54/$C$7,'Engine Inputs'!$B$9)*($B$7-'Engine Inputs'!$B$5-'Engine Inputs'!$B$6-2*'Engine Inputs'!$B$7*SQRT(MIN('Engine Inputs'!$B$12*K54/$C$7,'Engine Inputs'!$B$9)/'Engine Inputs'!$B$8))+MAX(K54-MIN('Engine Inputs'!$B$12*K54/$C$7,'Engine Inputs'!$B$9)*$C$7,0)*'Engine Inputs'!$B$10/$D$7)*(1-'Engine Inputs'!$B$4)+IF($D$7=1,(1-IF(OR($D$7=2,MOD(A55,2)=1),1,0))*K54*'Engine Inputs'!$B$10*(1-'Engine Inputs'!$B$4)/2,0)-IF(MOD(A55,2)=0,INDEX($B$11:$D$25,B55,3)*(1-'Engine Inputs'!$B$4),0)</f>
        <v>1847759256.4897768</v>
      </c>
    </row>
    <row r="56" spans="1:11" ht="13.5" customHeight="1" x14ac:dyDescent="0.3">
      <c r="A56" s="13">
        <v>28</v>
      </c>
      <c r="B56" s="50">
        <f t="shared" si="3"/>
        <v>14</v>
      </c>
      <c r="C56" s="53">
        <f>C55+IF(OR($D$5=2,MOD(A56,2)=1),1,0)*(MIN('Engine Inputs'!$B$12*C55/$C$5,'Engine Inputs'!$B$9)*($B$5-'Engine Inputs'!$B$5-'Engine Inputs'!$B$6-2*'Engine Inputs'!$B$7*SQRT(MIN('Engine Inputs'!$B$12*C55/$C$5,'Engine Inputs'!$B$9)/'Engine Inputs'!$B$8))+MAX(C55-MIN('Engine Inputs'!$B$12*C55/$C$5,'Engine Inputs'!$B$9)*$C$5,0)*'Engine Inputs'!$B$10/$D$5)*(1-'Engine Inputs'!$B$4)+IF($D$5=1,(1-IF(OR($D$5=2,MOD(A56,2)=1),1,0))*C55*'Engine Inputs'!$B$10*(1-'Engine Inputs'!$B$4)/2,0)-IF(MOD(A56,2)=0,INDEX($B$11:$D$25,B56,1)*(1-'Engine Inputs'!$B$4),0)</f>
        <v>18128096020.981163</v>
      </c>
      <c r="D56" s="53">
        <f>D55+IF(OR($D$5=2,MOD(A56,2)=1),1,0)*(MIN('Engine Inputs'!$B$12*D55/$C$5,'Engine Inputs'!$B$9)*($B$5-'Engine Inputs'!$B$5-'Engine Inputs'!$B$6-2*'Engine Inputs'!$B$7*SQRT(MIN('Engine Inputs'!$B$12*D55/$C$5,'Engine Inputs'!$B$9)/'Engine Inputs'!$B$8))+MAX(D55-MIN('Engine Inputs'!$B$12*D55/$C$5,'Engine Inputs'!$B$9)*$C$5,0)*'Engine Inputs'!$B$10/$D$5)*(1-'Engine Inputs'!$B$4)+IF($D$5=1,(1-IF(OR($D$5=2,MOD(A56,2)=1),1,0))*D55*'Engine Inputs'!$B$10*(1-'Engine Inputs'!$B$4)/2,0)-IF(MOD(A56,2)=0,INDEX($B$11:$D$25,B56,2)*(1-'Engine Inputs'!$B$4),0)</f>
        <v>20783148471.071243</v>
      </c>
      <c r="E56" s="53">
        <f>E55+IF(OR($D$5=2,MOD(A56,2)=1),1,0)*(MIN('Engine Inputs'!$B$12*E55/$C$5,'Engine Inputs'!$B$9)*($B$5-'Engine Inputs'!$B$5-'Engine Inputs'!$B$6-2*'Engine Inputs'!$B$7*SQRT(MIN('Engine Inputs'!$B$12*E55/$C$5,'Engine Inputs'!$B$9)/'Engine Inputs'!$B$8))+MAX(E55-MIN('Engine Inputs'!$B$12*E55/$C$5,'Engine Inputs'!$B$9)*$C$5,0)*'Engine Inputs'!$B$10/$D$5)*(1-'Engine Inputs'!$B$4)+IF($D$5=1,(1-IF(OR($D$5=2,MOD(A56,2)=1),1,0))*E55*'Engine Inputs'!$B$10*(1-'Engine Inputs'!$B$4)/2,0)-IF(MOD(A56,2)=0,INDEX($B$11:$D$25,B56,3)*(1-'Engine Inputs'!$B$4),0)</f>
        <v>22732373068.898746</v>
      </c>
      <c r="F56" s="53">
        <f>F55+IF(OR($D$6=2,MOD(A56,2)=1),1,0)*(MIN('Engine Inputs'!$B$12*F55/$C$6,'Engine Inputs'!$B$9)*($B$6-'Engine Inputs'!$B$5-'Engine Inputs'!$B$6-2*'Engine Inputs'!$B$7*SQRT(MIN('Engine Inputs'!$B$12*F55/$C$6,'Engine Inputs'!$B$9)/'Engine Inputs'!$B$8))+MAX(F55-MIN('Engine Inputs'!$B$12*F55/$C$6,'Engine Inputs'!$B$9)*$C$6,0)*'Engine Inputs'!$B$10/$D$6)*(1-'Engine Inputs'!$B$4)+IF($D$6=1,(1-IF(OR($D$6=2,MOD(A56,2)=1),1,0))*F55*'Engine Inputs'!$B$10*(1-'Engine Inputs'!$B$4)/2,0)-IF(MOD(A56,2)=0,INDEX($B$11:$D$25,B56,1)*(1-'Engine Inputs'!$B$4),0)</f>
        <v>6874276840.2132874</v>
      </c>
      <c r="G56" s="53">
        <f>G55+IF(OR($D$6=2,MOD(A56,2)=1),1,0)*(MIN('Engine Inputs'!$B$12*G55/$C$6,'Engine Inputs'!$B$9)*($B$6-'Engine Inputs'!$B$5-'Engine Inputs'!$B$6-2*'Engine Inputs'!$B$7*SQRT(MIN('Engine Inputs'!$B$12*G55/$C$6,'Engine Inputs'!$B$9)/'Engine Inputs'!$B$8))+MAX(G55-MIN('Engine Inputs'!$B$12*G55/$C$6,'Engine Inputs'!$B$9)*$C$6,0)*'Engine Inputs'!$B$10/$D$6)*(1-'Engine Inputs'!$B$4)+IF($D$6=1,(1-IF(OR($D$6=2,MOD(A56,2)=1),1,0))*G55*'Engine Inputs'!$B$10*(1-'Engine Inputs'!$B$4)/2,0)-IF(MOD(A56,2)=0,INDEX($B$11:$D$25,B56,2)*(1-'Engine Inputs'!$B$4),0)</f>
        <v>8939992724.3154831</v>
      </c>
      <c r="H56" s="53">
        <f>H55+IF(OR($D$6=2,MOD(A56,2)=1),1,0)*(MIN('Engine Inputs'!$B$12*H55/$C$6,'Engine Inputs'!$B$9)*($B$6-'Engine Inputs'!$B$5-'Engine Inputs'!$B$6-2*'Engine Inputs'!$B$7*SQRT(MIN('Engine Inputs'!$B$12*H55/$C$6,'Engine Inputs'!$B$9)/'Engine Inputs'!$B$8))+MAX(H55-MIN('Engine Inputs'!$B$12*H55/$C$6,'Engine Inputs'!$B$9)*$C$6,0)*'Engine Inputs'!$B$10/$D$6)*(1-'Engine Inputs'!$B$4)+IF($D$6=1,(1-IF(OR($D$6=2,MOD(A56,2)=1),1,0))*H55*'Engine Inputs'!$B$10*(1-'Engine Inputs'!$B$4)/2,0)-IF(MOD(A56,2)=0,INDEX($B$11:$D$25,B56,3)*(1-'Engine Inputs'!$B$4),0)</f>
        <v>10543706479.4578</v>
      </c>
      <c r="I56" s="51">
        <f>I55+IF(OR($D$7=2,MOD(A56,2)=1),1,0)*(MIN('Engine Inputs'!$B$12*I55/$C$7,'Engine Inputs'!$B$9)*($B$7-'Engine Inputs'!$B$5-'Engine Inputs'!$B$6-2*'Engine Inputs'!$B$7*SQRT(MIN('Engine Inputs'!$B$12*I55/$C$7,'Engine Inputs'!$B$9)/'Engine Inputs'!$B$8))+MAX(I55-MIN('Engine Inputs'!$B$12*I55/$C$7,'Engine Inputs'!$B$9)*$C$7,0)*'Engine Inputs'!$B$10/$D$7)*(1-'Engine Inputs'!$B$4)+IF($D$7=1,(1-IF(OR($D$7=2,MOD(A56,2)=1),1,0))*I55*'Engine Inputs'!$B$10*(1-'Engine Inputs'!$B$4)/2,0)-IF(MOD(A56,2)=0,INDEX($B$11:$D$25,B56,1)*(1-'Engine Inputs'!$B$4),0)</f>
        <v>237117696.79921222</v>
      </c>
      <c r="J56" s="51">
        <f>J55+IF(OR($D$7=2,MOD(A56,2)=1),1,0)*(MIN('Engine Inputs'!$B$12*J55/$C$7,'Engine Inputs'!$B$9)*($B$7-'Engine Inputs'!$B$5-'Engine Inputs'!$B$6-2*'Engine Inputs'!$B$7*SQRT(MIN('Engine Inputs'!$B$12*J55/$C$7,'Engine Inputs'!$B$9)/'Engine Inputs'!$B$8))+MAX(J55-MIN('Engine Inputs'!$B$12*J55/$C$7,'Engine Inputs'!$B$9)*$C$7,0)*'Engine Inputs'!$B$10/$D$7)*(1-'Engine Inputs'!$B$4)+IF($D$7=1,(1-IF(OR($D$7=2,MOD(A56,2)=1),1,0))*J55*'Engine Inputs'!$B$10*(1-'Engine Inputs'!$B$4)/2,0)-IF(MOD(A56,2)=0,INDEX($B$11:$D$25,B56,2)*(1-'Engine Inputs'!$B$4),0)</f>
        <v>826293121.31925201</v>
      </c>
      <c r="K56" s="53">
        <f>K55+IF(OR($D$7=2,MOD(A56,2)=1),1,0)*(MIN('Engine Inputs'!$B$12*K55/$C$7,'Engine Inputs'!$B$9)*($B$7-'Engine Inputs'!$B$5-'Engine Inputs'!$B$6-2*'Engine Inputs'!$B$7*SQRT(MIN('Engine Inputs'!$B$12*K55/$C$7,'Engine Inputs'!$B$9)/'Engine Inputs'!$B$8))+MAX(K55-MIN('Engine Inputs'!$B$12*K55/$C$7,'Engine Inputs'!$B$9)*$C$7,0)*'Engine Inputs'!$B$10/$D$7)*(1-'Engine Inputs'!$B$4)+IF($D$7=1,(1-IF(OR($D$7=2,MOD(A56,2)=1),1,0))*K55*'Engine Inputs'!$B$10*(1-'Engine Inputs'!$B$4)/2,0)-IF(MOD(A56,2)=0,INDEX($B$11:$D$25,B56,3)*(1-'Engine Inputs'!$B$4),0)</f>
        <v>1891200860.7113109</v>
      </c>
    </row>
    <row r="57" spans="1:11" ht="13.5" customHeight="1" x14ac:dyDescent="0.3">
      <c r="A57" s="10">
        <v>29</v>
      </c>
      <c r="B57" s="48">
        <f t="shared" si="3"/>
        <v>15</v>
      </c>
      <c r="C57" s="52">
        <f>C56+IF(OR($D$5=2,MOD(A57,2)=1),1,0)*(MIN('Engine Inputs'!$B$12*C56/$C$5,'Engine Inputs'!$B$9)*($B$5-'Engine Inputs'!$B$5-'Engine Inputs'!$B$6-2*'Engine Inputs'!$B$7*SQRT(MIN('Engine Inputs'!$B$12*C56/$C$5,'Engine Inputs'!$B$9)/'Engine Inputs'!$B$8))+MAX(C56-MIN('Engine Inputs'!$B$12*C56/$C$5,'Engine Inputs'!$B$9)*$C$5,0)*'Engine Inputs'!$B$10/$D$5)*(1-'Engine Inputs'!$B$4)+IF($D$5=1,(1-IF(OR($D$5=2,MOD(A57,2)=1),1,0))*C56*'Engine Inputs'!$B$10*(1-'Engine Inputs'!$B$4)/2,0)-IF(MOD(A57,2)=0,INDEX($B$11:$D$25,B57,1)*(1-'Engine Inputs'!$B$4),0)</f>
        <v>19327860745.875507</v>
      </c>
      <c r="D57" s="52">
        <f>D56+IF(OR($D$5=2,MOD(A57,2)=1),1,0)*(MIN('Engine Inputs'!$B$12*D56/$C$5,'Engine Inputs'!$B$9)*($B$5-'Engine Inputs'!$B$5-'Engine Inputs'!$B$6-2*'Engine Inputs'!$B$7*SQRT(MIN('Engine Inputs'!$B$12*D56/$C$5,'Engine Inputs'!$B$9)/'Engine Inputs'!$B$8))+MAX(D56-MIN('Engine Inputs'!$B$12*D56/$C$5,'Engine Inputs'!$B$9)*$C$5,0)*'Engine Inputs'!$B$10/$D$5)*(1-'Engine Inputs'!$B$4)+IF($D$5=1,(1-IF(OR($D$5=2,MOD(A57,2)=1),1,0))*D56*'Engine Inputs'!$B$10*(1-'Engine Inputs'!$B$4)/2,0)-IF(MOD(A57,2)=0,INDEX($B$11:$D$25,B57,2)*(1-'Engine Inputs'!$B$4),0)</f>
        <v>22047485133.572758</v>
      </c>
      <c r="E57" s="52">
        <f>E56+IF(OR($D$5=2,MOD(A57,2)=1),1,0)*(MIN('Engine Inputs'!$B$12*E56/$C$5,'Engine Inputs'!$B$9)*($B$5-'Engine Inputs'!$B$5-'Engine Inputs'!$B$6-2*'Engine Inputs'!$B$7*SQRT(MIN('Engine Inputs'!$B$12*E56/$C$5,'Engine Inputs'!$B$9)/'Engine Inputs'!$B$8))+MAX(E56-MIN('Engine Inputs'!$B$12*E56/$C$5,'Engine Inputs'!$B$9)*$C$5,0)*'Engine Inputs'!$B$10/$D$5)*(1-'Engine Inputs'!$B$4)+IF($D$5=1,(1-IF(OR($D$5=2,MOD(A57,2)=1),1,0))*E56*'Engine Inputs'!$B$10*(1-'Engine Inputs'!$B$4)/2,0)-IF(MOD(A57,2)=0,INDEX($B$11:$D$25,B57,3)*(1-'Engine Inputs'!$B$4),0)</f>
        <v>24044115653.309265</v>
      </c>
      <c r="F57" s="52">
        <f>F56+IF(OR($D$6=2,MOD(A57,2)=1),1,0)*(MIN('Engine Inputs'!$B$12*F56/$C$6,'Engine Inputs'!$B$9)*($B$6-'Engine Inputs'!$B$5-'Engine Inputs'!$B$6-2*'Engine Inputs'!$B$7*SQRT(MIN('Engine Inputs'!$B$12*F56/$C$6,'Engine Inputs'!$B$9)/'Engine Inputs'!$B$8))+MAX(F56-MIN('Engine Inputs'!$B$12*F56/$C$6,'Engine Inputs'!$B$9)*$C$6,0)*'Engine Inputs'!$B$10/$D$6)*(1-'Engine Inputs'!$B$4)+IF($D$6=1,(1-IF(OR($D$6=2,MOD(A57,2)=1),1,0))*F56*'Engine Inputs'!$B$10*(1-'Engine Inputs'!$B$4)/2,0)-IF(MOD(A57,2)=0,INDEX($B$11:$D$25,B57,1)*(1-'Engine Inputs'!$B$4),0)</f>
        <v>7459614312.3636398</v>
      </c>
      <c r="G57" s="52">
        <f>G56+IF(OR($D$6=2,MOD(A57,2)=1),1,0)*(MIN('Engine Inputs'!$B$12*G56/$C$6,'Engine Inputs'!$B$9)*($B$6-'Engine Inputs'!$B$5-'Engine Inputs'!$B$6-2*'Engine Inputs'!$B$7*SQRT(MIN('Engine Inputs'!$B$12*G56/$C$6,'Engine Inputs'!$B$9)/'Engine Inputs'!$B$8))+MAX(G56-MIN('Engine Inputs'!$B$12*G56/$C$6,'Engine Inputs'!$B$9)*$C$6,0)*'Engine Inputs'!$B$10/$D$6)*(1-'Engine Inputs'!$B$4)+IF($D$6=1,(1-IF(OR($D$6=2,MOD(A57,2)=1),1,0))*G56*'Engine Inputs'!$B$10*(1-'Engine Inputs'!$B$4)/2,0)-IF(MOD(A57,2)=0,INDEX($B$11:$D$25,B57,2)*(1-'Engine Inputs'!$B$4),0)</f>
        <v>9575569233.0535545</v>
      </c>
      <c r="H57" s="52">
        <f>H56+IF(OR($D$6=2,MOD(A57,2)=1),1,0)*(MIN('Engine Inputs'!$B$12*H56/$C$6,'Engine Inputs'!$B$9)*($B$6-'Engine Inputs'!$B$5-'Engine Inputs'!$B$6-2*'Engine Inputs'!$B$7*SQRT(MIN('Engine Inputs'!$B$12*H56/$C$6,'Engine Inputs'!$B$9)/'Engine Inputs'!$B$8))+MAX(H56-MIN('Engine Inputs'!$B$12*H56/$C$6,'Engine Inputs'!$B$9)*$C$6,0)*'Engine Inputs'!$B$10/$D$6)*(1-'Engine Inputs'!$B$4)+IF($D$6=1,(1-IF(OR($D$6=2,MOD(A57,2)=1),1,0))*H56*'Engine Inputs'!$B$10*(1-'Engine Inputs'!$B$4)/2,0)-IF(MOD(A57,2)=0,INDEX($B$11:$D$25,B57,3)*(1-'Engine Inputs'!$B$4),0)</f>
        <v>11218285948.206434</v>
      </c>
      <c r="I57" s="49">
        <f>I56+IF(OR($D$7=2,MOD(A57,2)=1),1,0)*(MIN('Engine Inputs'!$B$12*I56/$C$7,'Engine Inputs'!$B$9)*($B$7-'Engine Inputs'!$B$5-'Engine Inputs'!$B$6-2*'Engine Inputs'!$B$7*SQRT(MIN('Engine Inputs'!$B$12*I56/$C$7,'Engine Inputs'!$B$9)/'Engine Inputs'!$B$8))+MAX(I56-MIN('Engine Inputs'!$B$12*I56/$C$7,'Engine Inputs'!$B$9)*$C$7,0)*'Engine Inputs'!$B$10/$D$7)*(1-'Engine Inputs'!$B$4)+IF($D$7=1,(1-IF(OR($D$7=2,MOD(A57,2)=1),1,0))*I56*'Engine Inputs'!$B$10*(1-'Engine Inputs'!$B$4)/2,0)-IF(MOD(A57,2)=0,INDEX($B$11:$D$25,B57,1)*(1-'Engine Inputs'!$B$4),0)</f>
        <v>323314236.48343909</v>
      </c>
      <c r="J57" s="52">
        <f>J56+IF(OR($D$7=2,MOD(A57,2)=1),1,0)*(MIN('Engine Inputs'!$B$12*J56/$C$7,'Engine Inputs'!$B$9)*($B$7-'Engine Inputs'!$B$5-'Engine Inputs'!$B$6-2*'Engine Inputs'!$B$7*SQRT(MIN('Engine Inputs'!$B$12*J56/$C$7,'Engine Inputs'!$B$9)/'Engine Inputs'!$B$8))+MAX(J56-MIN('Engine Inputs'!$B$12*J56/$C$7,'Engine Inputs'!$B$9)*$C$7,0)*'Engine Inputs'!$B$10/$D$7)*(1-'Engine Inputs'!$B$4)+IF($D$7=1,(1-IF(OR($D$7=2,MOD(A57,2)=1),1,0))*J56*'Engine Inputs'!$B$10*(1-'Engine Inputs'!$B$4)/2,0)-IF(MOD(A57,2)=0,INDEX($B$11:$D$25,B57,2)*(1-'Engine Inputs'!$B$4),0)</f>
        <v>1110621969.2649941</v>
      </c>
      <c r="K57" s="52">
        <f>K56+IF(OR($D$7=2,MOD(A57,2)=1),1,0)*(MIN('Engine Inputs'!$B$12*K56/$C$7,'Engine Inputs'!$B$9)*($B$7-'Engine Inputs'!$B$5-'Engine Inputs'!$B$6-2*'Engine Inputs'!$B$7*SQRT(MIN('Engine Inputs'!$B$12*K56/$C$7,'Engine Inputs'!$B$9)/'Engine Inputs'!$B$8))+MAX(K56-MIN('Engine Inputs'!$B$12*K56/$C$7,'Engine Inputs'!$B$9)*$C$7,0)*'Engine Inputs'!$B$10/$D$7)*(1-'Engine Inputs'!$B$4)+IF($D$7=1,(1-IF(OR($D$7=2,MOD(A57,2)=1),1,0))*K56*'Engine Inputs'!$B$10*(1-'Engine Inputs'!$B$4)/2,0)-IF(MOD(A57,2)=0,INDEX($B$11:$D$25,B57,3)*(1-'Engine Inputs'!$B$4),0)</f>
        <v>2290074100.6012621</v>
      </c>
    </row>
    <row r="58" spans="1:11" ht="13.5" customHeight="1" x14ac:dyDescent="0.3">
      <c r="A58" s="13">
        <v>30</v>
      </c>
      <c r="B58" s="50">
        <f t="shared" si="3"/>
        <v>15</v>
      </c>
      <c r="C58" s="53">
        <f>C57+IF(OR($D$5=2,MOD(A58,2)=1),1,0)*(MIN('Engine Inputs'!$B$12*C57/$C$5,'Engine Inputs'!$B$9)*($B$5-'Engine Inputs'!$B$5-'Engine Inputs'!$B$6-2*'Engine Inputs'!$B$7*SQRT(MIN('Engine Inputs'!$B$12*C57/$C$5,'Engine Inputs'!$B$9)/'Engine Inputs'!$B$8))+MAX(C57-MIN('Engine Inputs'!$B$12*C57/$C$5,'Engine Inputs'!$B$9)*$C$5,0)*'Engine Inputs'!$B$10/$D$5)*(1-'Engine Inputs'!$B$4)+IF($D$5=1,(1-IF(OR($D$5=2,MOD(A58,2)=1),1,0))*C57*'Engine Inputs'!$B$10*(1-'Engine Inputs'!$B$4)/2,0)-IF(MOD(A58,2)=0,INDEX($B$11:$D$25,B58,1)*(1-'Engine Inputs'!$B$4),0)</f>
        <v>20556654564.785172</v>
      </c>
      <c r="D58" s="53">
        <f>D57+IF(OR($D$5=2,MOD(A58,2)=1),1,0)*(MIN('Engine Inputs'!$B$12*D57/$C$5,'Engine Inputs'!$B$9)*($B$5-'Engine Inputs'!$B$5-'Engine Inputs'!$B$6-2*'Engine Inputs'!$B$7*SQRT(MIN('Engine Inputs'!$B$12*D57/$C$5,'Engine Inputs'!$B$9)/'Engine Inputs'!$B$8))+MAX(D57-MIN('Engine Inputs'!$B$12*D57/$C$5,'Engine Inputs'!$B$9)*$C$5,0)*'Engine Inputs'!$B$10/$D$5)*(1-'Engine Inputs'!$B$4)+IF($D$5=1,(1-IF(OR($D$5=2,MOD(A58,2)=1),1,0))*D57*'Engine Inputs'!$B$10*(1-'Engine Inputs'!$B$4)/2,0)-IF(MOD(A58,2)=0,INDEX($B$11:$D$25,B58,2)*(1-'Engine Inputs'!$B$4),0)</f>
        <v>23342009729.440975</v>
      </c>
      <c r="E58" s="53">
        <f>E57+IF(OR($D$5=2,MOD(A58,2)=1),1,0)*(MIN('Engine Inputs'!$B$12*E57/$C$5,'Engine Inputs'!$B$9)*($B$5-'Engine Inputs'!$B$5-'Engine Inputs'!$B$6-2*'Engine Inputs'!$B$7*SQRT(MIN('Engine Inputs'!$B$12*E57/$C$5,'Engine Inputs'!$B$9)/'Engine Inputs'!$B$8))+MAX(E57-MIN('Engine Inputs'!$B$12*E57/$C$5,'Engine Inputs'!$B$9)*$C$5,0)*'Engine Inputs'!$B$10/$D$5)*(1-'Engine Inputs'!$B$4)+IF($D$5=1,(1-IF(OR($D$5=2,MOD(A58,2)=1),1,0))*E57*'Engine Inputs'!$B$10*(1-'Engine Inputs'!$B$4)/2,0)-IF(MOD(A58,2)=0,INDEX($B$11:$D$25,B58,3)*(1-'Engine Inputs'!$B$4),0)</f>
        <v>25386263702.069683</v>
      </c>
      <c r="F58" s="53">
        <f>F57+IF(OR($D$6=2,MOD(A58,2)=1),1,0)*(MIN('Engine Inputs'!$B$12*F57/$C$6,'Engine Inputs'!$B$9)*($B$6-'Engine Inputs'!$B$5-'Engine Inputs'!$B$6-2*'Engine Inputs'!$B$7*SQRT(MIN('Engine Inputs'!$B$12*F57/$C$6,'Engine Inputs'!$B$9)/'Engine Inputs'!$B$8))+MAX(F57-MIN('Engine Inputs'!$B$12*F57/$C$6,'Engine Inputs'!$B$9)*$C$6,0)*'Engine Inputs'!$B$10/$D$6)*(1-'Engine Inputs'!$B$4)+IF($D$6=1,(1-IF(OR($D$6=2,MOD(A58,2)=1),1,0))*F57*'Engine Inputs'!$B$10*(1-'Engine Inputs'!$B$4)/2,0)-IF(MOD(A58,2)=0,INDEX($B$11:$D$25,B58,1)*(1-'Engine Inputs'!$B$4),0)</f>
        <v>8059037761.9716778</v>
      </c>
      <c r="G58" s="53">
        <f>G57+IF(OR($D$6=2,MOD(A58,2)=1),1,0)*(MIN('Engine Inputs'!$B$12*G57/$C$6,'Engine Inputs'!$B$9)*($B$6-'Engine Inputs'!$B$5-'Engine Inputs'!$B$6-2*'Engine Inputs'!$B$7*SQRT(MIN('Engine Inputs'!$B$12*G57/$C$6,'Engine Inputs'!$B$9)/'Engine Inputs'!$B$8))+MAX(G57-MIN('Engine Inputs'!$B$12*G57/$C$6,'Engine Inputs'!$B$9)*$C$6,0)*'Engine Inputs'!$B$10/$D$6)*(1-'Engine Inputs'!$B$4)+IF($D$6=1,(1-IF(OR($D$6=2,MOD(A58,2)=1),1,0))*G57*'Engine Inputs'!$B$10*(1-'Engine Inputs'!$B$4)/2,0)-IF(MOD(A58,2)=0,INDEX($B$11:$D$25,B58,2)*(1-'Engine Inputs'!$B$4),0)</f>
        <v>10226041976.714739</v>
      </c>
      <c r="H58" s="53">
        <f>H57+IF(OR($D$6=2,MOD(A58,2)=1),1,0)*(MIN('Engine Inputs'!$B$12*H57/$C$6,'Engine Inputs'!$B$9)*($B$6-'Engine Inputs'!$B$5-'Engine Inputs'!$B$6-2*'Engine Inputs'!$B$7*SQRT(MIN('Engine Inputs'!$B$12*H57/$C$6,'Engine Inputs'!$B$9)/'Engine Inputs'!$B$8))+MAX(H57-MIN('Engine Inputs'!$B$12*H57/$C$6,'Engine Inputs'!$B$9)*$C$6,0)*'Engine Inputs'!$B$10/$D$6)*(1-'Engine Inputs'!$B$4)+IF($D$6=1,(1-IF(OR($D$6=2,MOD(A58,2)=1),1,0))*H57*'Engine Inputs'!$B$10*(1-'Engine Inputs'!$B$4)/2,0)-IF(MOD(A58,2)=0,INDEX($B$11:$D$25,B58,3)*(1-'Engine Inputs'!$B$4),0)</f>
        <v>11907774819.466824</v>
      </c>
      <c r="I58" s="51">
        <f>I57+IF(OR($D$7=2,MOD(A58,2)=1),1,0)*(MIN('Engine Inputs'!$B$12*I57/$C$7,'Engine Inputs'!$B$9)*($B$7-'Engine Inputs'!$B$5-'Engine Inputs'!$B$6-2*'Engine Inputs'!$B$7*SQRT(MIN('Engine Inputs'!$B$12*I57/$C$7,'Engine Inputs'!$B$9)/'Engine Inputs'!$B$8))+MAX(I57-MIN('Engine Inputs'!$B$12*I57/$C$7,'Engine Inputs'!$B$9)*$C$7,0)*'Engine Inputs'!$B$10/$D$7)*(1-'Engine Inputs'!$B$4)+IF($D$7=1,(1-IF(OR($D$7=2,MOD(A58,2)=1),1,0))*I57*'Engine Inputs'!$B$10*(1-'Engine Inputs'!$B$4)/2,0)-IF(MOD(A58,2)=0,INDEX($B$11:$D$25,B58,1)*(1-'Engine Inputs'!$B$4),0)</f>
        <v>331027704.04041094</v>
      </c>
      <c r="J58" s="53">
        <f>J57+IF(OR($D$7=2,MOD(A58,2)=1),1,0)*(MIN('Engine Inputs'!$B$12*J57/$C$7,'Engine Inputs'!$B$9)*($B$7-'Engine Inputs'!$B$5-'Engine Inputs'!$B$6-2*'Engine Inputs'!$B$7*SQRT(MIN('Engine Inputs'!$B$12*J57/$C$7,'Engine Inputs'!$B$9)/'Engine Inputs'!$B$8))+MAX(J57-MIN('Engine Inputs'!$B$12*J57/$C$7,'Engine Inputs'!$B$9)*$C$7,0)*'Engine Inputs'!$B$10/$D$7)*(1-'Engine Inputs'!$B$4)+IF($D$7=1,(1-IF(OR($D$7=2,MOD(A58,2)=1),1,0))*J57*'Engine Inputs'!$B$10*(1-'Engine Inputs'!$B$4)/2,0)-IF(MOD(A58,2)=0,INDEX($B$11:$D$25,B58,2)*(1-'Engine Inputs'!$B$4),0)</f>
        <v>1137071499.8063066</v>
      </c>
      <c r="K58" s="53">
        <f>K57+IF(OR($D$7=2,MOD(A58,2)=1),1,0)*(MIN('Engine Inputs'!$B$12*K57/$C$7,'Engine Inputs'!$B$9)*($B$7-'Engine Inputs'!$B$5-'Engine Inputs'!$B$6-2*'Engine Inputs'!$B$7*SQRT(MIN('Engine Inputs'!$B$12*K57/$C$7,'Engine Inputs'!$B$9)/'Engine Inputs'!$B$8))+MAX(K57-MIN('Engine Inputs'!$B$12*K57/$C$7,'Engine Inputs'!$B$9)*$C$7,0)*'Engine Inputs'!$B$10/$D$7)*(1-'Engine Inputs'!$B$4)+IF($D$7=1,(1-IF(OR($D$7=2,MOD(A58,2)=1),1,0))*K57*'Engine Inputs'!$B$10*(1-'Engine Inputs'!$B$4)/2,0)-IF(MOD(A58,2)=0,INDEX($B$11:$D$25,B58,3)*(1-'Engine Inputs'!$B$4),0)</f>
        <v>2344272978.757525</v>
      </c>
    </row>
    <row r="60" spans="1:11" ht="19.5" customHeight="1" x14ac:dyDescent="0.3">
      <c r="A60" s="144" t="s">
        <v>61</v>
      </c>
      <c r="B60" s="144"/>
      <c r="C60" s="144"/>
      <c r="D60" s="144"/>
      <c r="E60" s="144"/>
      <c r="F60" s="144"/>
      <c r="G60" s="144"/>
      <c r="H60" s="144"/>
      <c r="I60" s="144"/>
      <c r="J60" s="144"/>
      <c r="K60" s="144"/>
    </row>
    <row r="61" spans="1:11" ht="25.5" customHeight="1" x14ac:dyDescent="0.3">
      <c r="A61" s="2" t="s">
        <v>25</v>
      </c>
      <c r="B61" s="2" t="str">
        <f>"BULL "&amp;IF($C$3&gt;=10000000,"₹"&amp;TEXT($C$3/10000000,"0.##")&amp;"Cr","₹"&amp;TEXT($C$3/100000,"0.##")&amp;"L")</f>
        <v>BULL ₹20.L</v>
      </c>
      <c r="C61" s="2" t="str">
        <f>"BULL "&amp;IF($D$3&gt;=10000000,"₹"&amp;TEXT($D$3/10000000,"0.##")&amp;"Cr","₹"&amp;TEXT($D$3/100000,"0.##")&amp;"L")</f>
        <v>BULL ₹75.L</v>
      </c>
      <c r="D61" s="2" t="str">
        <f>"BULL "&amp;IF($E$3&gt;=10000000,"₹"&amp;TEXT($E$3/10000000,"0.##")&amp;"Cr","₹"&amp;TEXT($E$3/100000,"0.##")&amp;"L")</f>
        <v>BULL ₹2.Cr</v>
      </c>
      <c r="E61" s="2" t="str">
        <f>"BASE "&amp;IF($C$3&gt;=10000000,"₹"&amp;TEXT($C$3/10000000,"0.##")&amp;"Cr","₹"&amp;TEXT($C$3/100000,"0.##")&amp;"L")</f>
        <v>BASE ₹20.L</v>
      </c>
      <c r="F61" s="2" t="str">
        <f>"BASE "&amp;IF($D$3&gt;=10000000,"₹"&amp;TEXT($D$3/10000000,"0.##")&amp;"Cr","₹"&amp;TEXT($D$3/100000,"0.##")&amp;"L")</f>
        <v>BASE ₹75.L</v>
      </c>
      <c r="G61" s="2" t="str">
        <f>"BASE "&amp;IF($E$3&gt;=10000000,"₹"&amp;TEXT($E$3/10000000,"0.##")&amp;"Cr","₹"&amp;TEXT($E$3/100000,"0.##")&amp;"L")</f>
        <v>BASE ₹2.Cr</v>
      </c>
      <c r="H61" s="2" t="str">
        <f>"BEAR "&amp;IF($C$3&gt;=10000000,"₹"&amp;TEXT($C$3/10000000,"0.##")&amp;"Cr","₹"&amp;TEXT($C$3/100000,"0.##")&amp;"L")</f>
        <v>BEAR ₹20.L</v>
      </c>
      <c r="I61" s="2" t="str">
        <f>"BEAR "&amp;IF($D$3&gt;=10000000,"₹"&amp;TEXT($D$3/10000000,"0.##")&amp;"Cr","₹"&amp;TEXT($D$3/100000,"0.##")&amp;"L")</f>
        <v>BEAR ₹75.L</v>
      </c>
      <c r="J61" s="2" t="str">
        <f>"BEAR "&amp;IF($E$3&gt;=10000000,"₹"&amp;TEXT($E$3/10000000,"0.##")&amp;"Cr","₹"&amp;TEXT($E$3/100000,"0.##")&amp;"L")</f>
        <v>BEAR ₹2.Cr</v>
      </c>
    </row>
    <row r="62" spans="1:11" ht="13.5" customHeight="1" x14ac:dyDescent="0.3">
      <c r="A62" s="10">
        <v>1</v>
      </c>
      <c r="B62" s="54">
        <f t="shared" ref="B62:J62" si="4">C30/10000000</f>
        <v>0.68221215863105733</v>
      </c>
      <c r="C62" s="54">
        <f t="shared" si="4"/>
        <v>2.5512045922211506</v>
      </c>
      <c r="D62" s="54">
        <f t="shared" si="4"/>
        <v>6.7785195391407553</v>
      </c>
      <c r="E62" s="54">
        <f t="shared" si="4"/>
        <v>0.43430808531417064</v>
      </c>
      <c r="F62" s="54">
        <f t="shared" si="4"/>
        <v>1.6237476245658848</v>
      </c>
      <c r="G62" s="54">
        <f t="shared" si="4"/>
        <v>4.3129078643371939</v>
      </c>
      <c r="H62" s="54">
        <f t="shared" si="4"/>
        <v>0.28200696888868731</v>
      </c>
      <c r="I62" s="54">
        <f t="shared" si="4"/>
        <v>1.0560459741080461</v>
      </c>
      <c r="J62" s="54">
        <f t="shared" si="4"/>
        <v>2.8109561991346674</v>
      </c>
      <c r="K62" s="55"/>
    </row>
    <row r="63" spans="1:11" ht="13.5" customHeight="1" x14ac:dyDescent="0.3">
      <c r="A63" s="13">
        <v>2</v>
      </c>
      <c r="B63" s="56">
        <f t="shared" ref="B63:J63" si="5">C32/10000000</f>
        <v>2.324842003285581</v>
      </c>
      <c r="C63" s="56">
        <f t="shared" si="5"/>
        <v>8.6496755711372622</v>
      </c>
      <c r="D63" s="56">
        <f t="shared" si="5"/>
        <v>22.829113717642638</v>
      </c>
      <c r="E63" s="56">
        <f t="shared" si="5"/>
        <v>0.94343288429494254</v>
      </c>
      <c r="F63" s="56">
        <f t="shared" si="5"/>
        <v>3.5116128502298585</v>
      </c>
      <c r="G63" s="56">
        <f t="shared" si="5"/>
        <v>9.2735084918258401</v>
      </c>
      <c r="H63" s="56">
        <f t="shared" si="5"/>
        <v>0.39814192686511074</v>
      </c>
      <c r="I63" s="56">
        <f t="shared" si="5"/>
        <v>1.4884634131903511</v>
      </c>
      <c r="J63" s="56">
        <f t="shared" si="5"/>
        <v>3.9533304966341181</v>
      </c>
      <c r="K63" s="57"/>
    </row>
    <row r="64" spans="1:11" ht="13.5" customHeight="1" x14ac:dyDescent="0.3">
      <c r="A64" s="10">
        <v>3</v>
      </c>
      <c r="B64" s="54">
        <f t="shared" ref="B64:J64" si="6">C34/10000000</f>
        <v>7.8873710056162523</v>
      </c>
      <c r="C64" s="54">
        <f t="shared" si="6"/>
        <v>29.070751412786716</v>
      </c>
      <c r="D64" s="54">
        <f t="shared" si="6"/>
        <v>75.794077271540019</v>
      </c>
      <c r="E64" s="54">
        <f t="shared" si="6"/>
        <v>2.0442978172904724</v>
      </c>
      <c r="F64" s="54">
        <f t="shared" si="6"/>
        <v>7.5597884051181001</v>
      </c>
      <c r="G64" s="54">
        <f t="shared" si="6"/>
        <v>19.795532217556286</v>
      </c>
      <c r="H64" s="54">
        <f t="shared" si="6"/>
        <v>0.56028698417610179</v>
      </c>
      <c r="I64" s="54">
        <f t="shared" si="6"/>
        <v>2.0904722323624552</v>
      </c>
      <c r="J64" s="54">
        <f t="shared" si="6"/>
        <v>5.5377923246680245</v>
      </c>
      <c r="K64" s="55"/>
    </row>
    <row r="65" spans="1:11" ht="13.5" customHeight="1" x14ac:dyDescent="0.3">
      <c r="A65" s="13">
        <v>4</v>
      </c>
      <c r="B65" s="56">
        <f t="shared" ref="B65:J65" si="7">C36/10000000</f>
        <v>26.541124637908144</v>
      </c>
      <c r="C65" s="56">
        <f t="shared" si="7"/>
        <v>96.15613673251093</v>
      </c>
      <c r="D65" s="56">
        <f t="shared" si="7"/>
        <v>216.10751291077256</v>
      </c>
      <c r="E65" s="56">
        <f t="shared" si="7"/>
        <v>4.419494886041381</v>
      </c>
      <c r="F65" s="56">
        <f t="shared" si="7"/>
        <v>16.188354710292792</v>
      </c>
      <c r="G65" s="56">
        <f t="shared" si="7"/>
        <v>41.87154219955022</v>
      </c>
      <c r="H65" s="56">
        <f t="shared" si="7"/>
        <v>0.78967978891970325</v>
      </c>
      <c r="I65" s="56">
        <f t="shared" si="7"/>
        <v>2.9394137511311409</v>
      </c>
      <c r="J65" s="56">
        <f t="shared" si="7"/>
        <v>7.7627656165999515</v>
      </c>
      <c r="K65" s="57"/>
    </row>
    <row r="66" spans="1:11" ht="13.5" customHeight="1" x14ac:dyDescent="0.3">
      <c r="A66" s="10">
        <v>5</v>
      </c>
      <c r="B66" s="54">
        <f t="shared" ref="B66:J66" si="8">C38/10000000</f>
        <v>87.934873472290263</v>
      </c>
      <c r="C66" s="54">
        <f t="shared" si="8"/>
        <v>253.23551854088421</v>
      </c>
      <c r="D66" s="54">
        <f t="shared" si="8"/>
        <v>380.29421439598286</v>
      </c>
      <c r="E66" s="54">
        <f t="shared" si="8"/>
        <v>9.5087946394099792</v>
      </c>
      <c r="F66" s="54">
        <f t="shared" si="8"/>
        <v>34.349804366364289</v>
      </c>
      <c r="G66" s="54">
        <f t="shared" si="8"/>
        <v>87.282224488586849</v>
      </c>
      <c r="H66" s="54">
        <f t="shared" si="8"/>
        <v>1.1102595309550936</v>
      </c>
      <c r="I66" s="54">
        <f t="shared" si="8"/>
        <v>4.1210569209699166</v>
      </c>
      <c r="J66" s="54">
        <f t="shared" si="8"/>
        <v>10.843468961981822</v>
      </c>
      <c r="K66" s="55"/>
    </row>
    <row r="67" spans="1:11" ht="13.5" customHeight="1" x14ac:dyDescent="0.3">
      <c r="A67" s="13">
        <v>6</v>
      </c>
      <c r="B67" s="56">
        <f t="shared" ref="B67:J67" si="9">C40/10000000</f>
        <v>238.29065270386329</v>
      </c>
      <c r="C67" s="56">
        <f t="shared" si="9"/>
        <v>419.29688646403321</v>
      </c>
      <c r="D67" s="56">
        <f t="shared" si="9"/>
        <v>552.56420184574608</v>
      </c>
      <c r="E67" s="56">
        <f t="shared" si="9"/>
        <v>20.323033415471745</v>
      </c>
      <c r="F67" s="56">
        <f t="shared" si="9"/>
        <v>71.954101538994664</v>
      </c>
      <c r="G67" s="56">
        <f t="shared" si="9"/>
        <v>169.93039716437056</v>
      </c>
      <c r="H67" s="56">
        <f t="shared" si="9"/>
        <v>1.5631567516326998</v>
      </c>
      <c r="I67" s="56">
        <f t="shared" si="9"/>
        <v>5.7828729597352035</v>
      </c>
      <c r="J67" s="56">
        <f t="shared" si="9"/>
        <v>15.150572352716813</v>
      </c>
      <c r="K67" s="57"/>
    </row>
    <row r="68" spans="1:11" ht="13.5" customHeight="1" x14ac:dyDescent="0.3">
      <c r="A68" s="10">
        <v>7</v>
      </c>
      <c r="B68" s="54">
        <f t="shared" ref="B68:J68" si="10">C42/10000000</f>
        <v>403.63682957982161</v>
      </c>
      <c r="C68" s="54">
        <f t="shared" si="10"/>
        <v>593.53383445819418</v>
      </c>
      <c r="D68" s="54">
        <f t="shared" si="10"/>
        <v>733.31543387299337</v>
      </c>
      <c r="E68" s="54">
        <f t="shared" si="10"/>
        <v>42.999923649797736</v>
      </c>
      <c r="F68" s="54">
        <f t="shared" si="10"/>
        <v>147.76830541525868</v>
      </c>
      <c r="G68" s="54">
        <f t="shared" si="10"/>
        <v>262.8690514538697</v>
      </c>
      <c r="H68" s="54">
        <f t="shared" si="10"/>
        <v>2.2024044548816684</v>
      </c>
      <c r="I68" s="54">
        <f t="shared" si="10"/>
        <v>8.1159209533422523</v>
      </c>
      <c r="J68" s="54">
        <f t="shared" si="10"/>
        <v>21.155416442763748</v>
      </c>
      <c r="K68" s="55"/>
    </row>
    <row r="69" spans="1:11" ht="13.5" customHeight="1" x14ac:dyDescent="0.3">
      <c r="A69" s="13">
        <v>8</v>
      </c>
      <c r="B69" s="56">
        <f t="shared" ref="B69:J69" si="11">C44/10000000</f>
        <v>577.11589283957551</v>
      </c>
      <c r="C69" s="56">
        <f t="shared" si="11"/>
        <v>776.32080298576079</v>
      </c>
      <c r="D69" s="56">
        <f t="shared" si="11"/>
        <v>922.89062950125424</v>
      </c>
      <c r="E69" s="56">
        <f t="shared" si="11"/>
        <v>89.639862956889743</v>
      </c>
      <c r="F69" s="56">
        <f t="shared" si="11"/>
        <v>239.63457735724344</v>
      </c>
      <c r="G69" s="56">
        <f t="shared" si="11"/>
        <v>360.30845576668173</v>
      </c>
      <c r="H69" s="56">
        <f t="shared" si="11"/>
        <v>3.0962210785421935</v>
      </c>
      <c r="I69" s="56">
        <f t="shared" si="11"/>
        <v>11.356491803901099</v>
      </c>
      <c r="J69" s="56">
        <f t="shared" si="11"/>
        <v>29.424580618082285</v>
      </c>
      <c r="K69" s="57"/>
    </row>
    <row r="70" spans="1:11" ht="13.5" customHeight="1" x14ac:dyDescent="0.3">
      <c r="A70" s="10">
        <v>9</v>
      </c>
      <c r="B70" s="54">
        <f t="shared" ref="B70:J70" si="12">C46/10000000</f>
        <v>759.13572623787627</v>
      </c>
      <c r="C70" s="54">
        <f t="shared" si="12"/>
        <v>968.10679106750968</v>
      </c>
      <c r="D70" s="54">
        <f t="shared" si="12"/>
        <v>1121.7990445936223</v>
      </c>
      <c r="E70" s="54">
        <f t="shared" si="12"/>
        <v>173.39781408805646</v>
      </c>
      <c r="F70" s="54">
        <f t="shared" si="12"/>
        <v>336.02363549255068</v>
      </c>
      <c r="G70" s="54">
        <f t="shared" si="12"/>
        <v>462.54502429651842</v>
      </c>
      <c r="H70" s="54">
        <f t="shared" si="12"/>
        <v>4.3548347937131497</v>
      </c>
      <c r="I70" s="54">
        <f t="shared" si="12"/>
        <v>15.885499490658921</v>
      </c>
      <c r="J70" s="54">
        <f t="shared" si="12"/>
        <v>40.870087480045434</v>
      </c>
      <c r="K70" s="55"/>
    </row>
    <row r="71" spans="1:11" ht="13.5" customHeight="1" x14ac:dyDescent="0.3">
      <c r="A71" s="13">
        <v>10</v>
      </c>
      <c r="B71" s="56">
        <f t="shared" ref="B71:J71" si="13">C48/10000000</f>
        <v>950.11681137745347</v>
      </c>
      <c r="C71" s="56">
        <f t="shared" si="13"/>
        <v>1169.3348409705613</v>
      </c>
      <c r="D71" s="56">
        <f t="shared" si="13"/>
        <v>1330.5001748413797</v>
      </c>
      <c r="E71" s="56">
        <f t="shared" si="13"/>
        <v>266.56704282485532</v>
      </c>
      <c r="F71" s="56">
        <f t="shared" si="13"/>
        <v>437.15814690582516</v>
      </c>
      <c r="G71" s="56">
        <f t="shared" si="13"/>
        <v>569.81493238422263</v>
      </c>
      <c r="H71" s="56">
        <f t="shared" si="13"/>
        <v>6.1244439437527927</v>
      </c>
      <c r="I71" s="56">
        <f t="shared" si="13"/>
        <v>22.196982566046309</v>
      </c>
      <c r="J71" s="56">
        <f t="shared" si="13"/>
        <v>56.639328688529112</v>
      </c>
      <c r="K71" s="57"/>
    </row>
    <row r="72" spans="1:11" ht="13.5" customHeight="1" x14ac:dyDescent="0.3">
      <c r="A72" s="10">
        <v>11</v>
      </c>
      <c r="B72" s="54">
        <f t="shared" ref="B72:J72" si="14">C50/10000000</f>
        <v>1150.5003311298178</v>
      </c>
      <c r="C72" s="54">
        <f t="shared" si="14"/>
        <v>1380.4698069438055</v>
      </c>
      <c r="D72" s="54">
        <f t="shared" si="14"/>
        <v>1549.4761379571942</v>
      </c>
      <c r="E72" s="54">
        <f t="shared" si="14"/>
        <v>364.32320529114531</v>
      </c>
      <c r="F72" s="54">
        <f t="shared" si="14"/>
        <v>543.27174109038299</v>
      </c>
      <c r="G72" s="54">
        <f t="shared" si="14"/>
        <v>682.36598282158513</v>
      </c>
      <c r="H72" s="54">
        <f t="shared" si="14"/>
        <v>8.6080285627878421</v>
      </c>
      <c r="I72" s="54">
        <f t="shared" si="14"/>
        <v>30.962478579177535</v>
      </c>
      <c r="J72" s="54">
        <f t="shared" si="14"/>
        <v>78.248311905743549</v>
      </c>
      <c r="K72" s="55"/>
    </row>
    <row r="73" spans="1:11" ht="13.5" customHeight="1" x14ac:dyDescent="0.3">
      <c r="A73" s="13">
        <v>12</v>
      </c>
      <c r="B73" s="56">
        <f t="shared" ref="B73:J73" si="15">C52/10000000</f>
        <v>1360.7491888059596</v>
      </c>
      <c r="C73" s="56">
        <f t="shared" si="15"/>
        <v>1601.9994290715351</v>
      </c>
      <c r="D73" s="56">
        <f t="shared" si="15"/>
        <v>1779.2327874088505</v>
      </c>
      <c r="E73" s="56">
        <f t="shared" si="15"/>
        <v>466.89212670115222</v>
      </c>
      <c r="F73" s="56">
        <f t="shared" si="15"/>
        <v>654.6095496526051</v>
      </c>
      <c r="G73" s="56">
        <f t="shared" si="15"/>
        <v>800.45817829728674</v>
      </c>
      <c r="H73" s="56">
        <f t="shared" si="15"/>
        <v>12.08619972319169</v>
      </c>
      <c r="I73" s="56">
        <f t="shared" si="15"/>
        <v>43.087136566699336</v>
      </c>
      <c r="J73" s="56">
        <f t="shared" si="15"/>
        <v>107.67195388662648</v>
      </c>
      <c r="K73" s="57"/>
    </row>
    <row r="74" spans="1:11" ht="13.5" customHeight="1" x14ac:dyDescent="0.3">
      <c r="A74" s="10">
        <v>13</v>
      </c>
      <c r="B74" s="54">
        <f t="shared" ref="B74:J74" si="16">C54/10000000</f>
        <v>1581.3490775031491</v>
      </c>
      <c r="C74" s="54">
        <f t="shared" si="16"/>
        <v>1834.4354599953456</v>
      </c>
      <c r="D74" s="54">
        <f t="shared" si="16"/>
        <v>2020.3008809846374</v>
      </c>
      <c r="E74" s="54">
        <f t="shared" si="16"/>
        <v>574.510750159699</v>
      </c>
      <c r="F74" s="54">
        <f t="shared" si="16"/>
        <v>771.42877258720966</v>
      </c>
      <c r="G74" s="54">
        <f t="shared" si="16"/>
        <v>924.36432202566073</v>
      </c>
      <c r="H74" s="54">
        <f t="shared" si="16"/>
        <v>16.944911077341978</v>
      </c>
      <c r="I74" s="54">
        <f t="shared" si="16"/>
        <v>59.778717510158458</v>
      </c>
      <c r="J74" s="54">
        <f t="shared" si="16"/>
        <v>146.94026204449727</v>
      </c>
      <c r="K74" s="55"/>
    </row>
    <row r="75" spans="1:11" ht="13.5" customHeight="1" x14ac:dyDescent="0.3">
      <c r="A75" s="13">
        <v>14</v>
      </c>
      <c r="B75" s="56">
        <f t="shared" ref="B75:J75" si="17">C56/10000000</f>
        <v>1812.8096020981163</v>
      </c>
      <c r="C75" s="56">
        <f t="shared" si="17"/>
        <v>2078.3148471071245</v>
      </c>
      <c r="D75" s="56">
        <f t="shared" si="17"/>
        <v>2273.2373068898746</v>
      </c>
      <c r="E75" s="56">
        <f t="shared" si="17"/>
        <v>687.42768402132879</v>
      </c>
      <c r="F75" s="56">
        <f t="shared" si="17"/>
        <v>893.99927243154832</v>
      </c>
      <c r="G75" s="56">
        <f t="shared" si="17"/>
        <v>1054.3706479457801</v>
      </c>
      <c r="H75" s="56">
        <f t="shared" si="17"/>
        <v>23.711769679921222</v>
      </c>
      <c r="I75" s="56">
        <f t="shared" si="17"/>
        <v>82.629312131925204</v>
      </c>
      <c r="J75" s="56">
        <f t="shared" si="17"/>
        <v>189.12008607113108</v>
      </c>
      <c r="K75" s="57"/>
    </row>
    <row r="76" spans="1:11" ht="13.5" customHeight="1" x14ac:dyDescent="0.3">
      <c r="A76" s="10">
        <v>15</v>
      </c>
      <c r="B76" s="54">
        <f t="shared" ref="B76:J76" si="18">C58/10000000</f>
        <v>2055.6654564785172</v>
      </c>
      <c r="C76" s="54">
        <f t="shared" si="18"/>
        <v>2334.2009729440974</v>
      </c>
      <c r="D76" s="54">
        <f t="shared" si="18"/>
        <v>2538.6263702069682</v>
      </c>
      <c r="E76" s="54">
        <f t="shared" si="18"/>
        <v>805.90377619716776</v>
      </c>
      <c r="F76" s="54">
        <f t="shared" si="18"/>
        <v>1022.6041976714739</v>
      </c>
      <c r="G76" s="54">
        <f t="shared" si="18"/>
        <v>1190.7774819466824</v>
      </c>
      <c r="H76" s="54">
        <f t="shared" si="18"/>
        <v>33.102770404041095</v>
      </c>
      <c r="I76" s="54">
        <f t="shared" si="18"/>
        <v>113.70714998063066</v>
      </c>
      <c r="J76" s="54">
        <f t="shared" si="18"/>
        <v>234.42729787575249</v>
      </c>
      <c r="K76" s="55"/>
    </row>
    <row r="78" spans="1:11" ht="19.5" customHeight="1" x14ac:dyDescent="0.3">
      <c r="A78" s="144" t="s">
        <v>62</v>
      </c>
      <c r="B78" s="144"/>
      <c r="C78" s="144"/>
      <c r="D78" s="144"/>
      <c r="E78" s="144"/>
      <c r="F78" s="144"/>
      <c r="G78" s="144"/>
      <c r="H78" s="144"/>
      <c r="I78" s="144"/>
      <c r="J78" s="144"/>
      <c r="K78" s="144"/>
    </row>
  </sheetData>
  <mergeCells count="6">
    <mergeCell ref="A78:K78"/>
    <mergeCell ref="A1:K1"/>
    <mergeCell ref="A2:K2"/>
    <mergeCell ref="A9:F9"/>
    <mergeCell ref="A27:K27"/>
    <mergeCell ref="A60:K6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C19"/>
  <sheetViews>
    <sheetView showGridLines="0" zoomScaleNormal="100" workbookViewId="0">
      <selection sqref="A1:C1"/>
    </sheetView>
  </sheetViews>
  <sheetFormatPr defaultColWidth="8.6640625" defaultRowHeight="14.4" x14ac:dyDescent="0.3"/>
  <cols>
    <col min="1" max="1" width="48" customWidth="1"/>
    <col min="2" max="2" width="14" customWidth="1"/>
    <col min="3" max="3" width="70" customWidth="1"/>
  </cols>
  <sheetData>
    <row r="1" spans="1:3" ht="30" customHeight="1" x14ac:dyDescent="0.3">
      <c r="A1" s="142" t="s">
        <v>63</v>
      </c>
      <c r="B1" s="142"/>
      <c r="C1" s="142"/>
    </row>
    <row r="2" spans="1:3" ht="27.75" customHeight="1" x14ac:dyDescent="0.3">
      <c r="A2" s="145" t="s">
        <v>64</v>
      </c>
      <c r="B2" s="145"/>
      <c r="C2" s="145"/>
    </row>
    <row r="3" spans="1:3" ht="27.75" customHeight="1" x14ac:dyDescent="0.3">
      <c r="A3" s="141" t="s">
        <v>65</v>
      </c>
      <c r="B3" s="141"/>
      <c r="C3" s="141"/>
    </row>
    <row r="4" spans="1:3" ht="27.75" customHeight="1" x14ac:dyDescent="0.3">
      <c r="A4" s="141" t="s">
        <v>66</v>
      </c>
      <c r="B4" s="141"/>
      <c r="C4" s="141"/>
    </row>
    <row r="6" spans="1:3" ht="19.5" customHeight="1" x14ac:dyDescent="0.3">
      <c r="A6" s="144" t="s">
        <v>67</v>
      </c>
      <c r="B6" s="144"/>
      <c r="C6" s="144"/>
    </row>
    <row r="7" spans="1:3" ht="15" customHeight="1" x14ac:dyDescent="0.3">
      <c r="A7" s="3" t="s">
        <v>68</v>
      </c>
      <c r="B7" s="6">
        <v>0.01</v>
      </c>
      <c r="C7" s="5" t="s">
        <v>69</v>
      </c>
    </row>
    <row r="8" spans="1:3" ht="15" customHeight="1" x14ac:dyDescent="0.3">
      <c r="A8" s="3" t="s">
        <v>70</v>
      </c>
      <c r="B8" s="58">
        <v>0.5</v>
      </c>
      <c r="C8" s="5" t="s">
        <v>71</v>
      </c>
    </row>
    <row r="9" spans="1:3" ht="15" customHeight="1" x14ac:dyDescent="0.3">
      <c r="A9" s="3" t="s">
        <v>72</v>
      </c>
      <c r="B9" s="4">
        <v>5.9999999999999995E-4</v>
      </c>
    </row>
    <row r="10" spans="1:3" ht="15" customHeight="1" x14ac:dyDescent="0.3">
      <c r="A10" s="3" t="s">
        <v>73</v>
      </c>
      <c r="B10" s="6">
        <v>0.2727</v>
      </c>
    </row>
    <row r="11" spans="1:3" ht="15" customHeight="1" x14ac:dyDescent="0.3">
      <c r="A11" s="3" t="s">
        <v>74</v>
      </c>
      <c r="B11" s="8">
        <v>0.25</v>
      </c>
    </row>
    <row r="13" spans="1:3" ht="15" customHeight="1" x14ac:dyDescent="0.3">
      <c r="A13" s="59" t="s">
        <v>75</v>
      </c>
    </row>
    <row r="14" spans="1:3" ht="15" customHeight="1" x14ac:dyDescent="0.3">
      <c r="A14" s="60" t="s">
        <v>76</v>
      </c>
      <c r="B14" s="28">
        <f>B7*B8+B9</f>
        <v>5.5999999999999999E-3</v>
      </c>
    </row>
    <row r="15" spans="1:3" ht="15" customHeight="1" x14ac:dyDescent="0.3">
      <c r="A15" s="60" t="s">
        <v>77</v>
      </c>
      <c r="B15" s="28">
        <f>B11/B10</f>
        <v>0.91675834250091681</v>
      </c>
    </row>
    <row r="16" spans="1:3" ht="15" customHeight="1" x14ac:dyDescent="0.3">
      <c r="A16" s="60" t="s">
        <v>78</v>
      </c>
      <c r="B16" s="28">
        <f>(B7*B8+B9)/B10</f>
        <v>2.0535386872020535E-2</v>
      </c>
    </row>
    <row r="17" spans="1:2" ht="15" customHeight="1" x14ac:dyDescent="0.3">
      <c r="A17" s="60" t="s">
        <v>79</v>
      </c>
      <c r="B17" s="28">
        <f>(B11-B7*B8-B9)/B10</f>
        <v>0.8962229556288962</v>
      </c>
    </row>
    <row r="18" spans="1:2" ht="15" customHeight="1" x14ac:dyDescent="0.3">
      <c r="A18" s="60" t="s">
        <v>80</v>
      </c>
      <c r="B18" s="28">
        <f>B15-B17</f>
        <v>2.0535386872020611E-2</v>
      </c>
    </row>
    <row r="19" spans="1:2" ht="15" customHeight="1" x14ac:dyDescent="0.3">
      <c r="A19" s="60" t="s">
        <v>81</v>
      </c>
      <c r="B19" s="29">
        <f>((1+B17*(1-0.25168))/(1+B15*(1-0.25168)))^30</f>
        <v>0.75981223067043047</v>
      </c>
    </row>
  </sheetData>
  <mergeCells count="5">
    <mergeCell ref="A1:C1"/>
    <mergeCell ref="A2:C2"/>
    <mergeCell ref="A3:C3"/>
    <mergeCell ref="A4:C4"/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B23"/>
  <sheetViews>
    <sheetView showGridLines="0" zoomScaleNormal="100" workbookViewId="0">
      <selection sqref="A1:B1"/>
    </sheetView>
  </sheetViews>
  <sheetFormatPr defaultColWidth="8.6640625" defaultRowHeight="14.4" x14ac:dyDescent="0.3"/>
  <cols>
    <col min="1" max="1" width="52" customWidth="1"/>
    <col min="2" max="2" width="15" customWidth="1"/>
  </cols>
  <sheetData>
    <row r="1" spans="1:2" ht="30" customHeight="1" x14ac:dyDescent="0.3">
      <c r="A1" s="142" t="s">
        <v>82</v>
      </c>
      <c r="B1" s="142"/>
    </row>
    <row r="2" spans="1:2" ht="27.75" customHeight="1" x14ac:dyDescent="0.3">
      <c r="A2" s="145" t="s">
        <v>83</v>
      </c>
      <c r="B2" s="145"/>
    </row>
    <row r="3" spans="1:2" ht="27.75" customHeight="1" x14ac:dyDescent="0.3">
      <c r="A3" s="141" t="s">
        <v>84</v>
      </c>
      <c r="B3" s="141"/>
    </row>
    <row r="4" spans="1:2" ht="27.75" customHeight="1" x14ac:dyDescent="0.3">
      <c r="A4" s="141" t="s">
        <v>85</v>
      </c>
      <c r="B4" s="141"/>
    </row>
    <row r="6" spans="1:2" ht="19.5" customHeight="1" x14ac:dyDescent="0.3">
      <c r="A6" s="144" t="s">
        <v>67</v>
      </c>
      <c r="B6" s="144"/>
    </row>
    <row r="7" spans="1:2" ht="15" customHeight="1" x14ac:dyDescent="0.3">
      <c r="A7" s="3" t="s">
        <v>86</v>
      </c>
      <c r="B7" s="58">
        <v>23</v>
      </c>
    </row>
    <row r="8" spans="1:2" ht="15" customHeight="1" x14ac:dyDescent="0.3">
      <c r="A8" s="3" t="s">
        <v>87</v>
      </c>
      <c r="B8" s="58">
        <v>16.399999999999999</v>
      </c>
    </row>
    <row r="9" spans="1:2" ht="15" customHeight="1" x14ac:dyDescent="0.3">
      <c r="A9" s="3" t="s">
        <v>88</v>
      </c>
      <c r="B9" s="58">
        <v>250</v>
      </c>
    </row>
    <row r="10" spans="1:2" ht="15" customHeight="1" x14ac:dyDescent="0.3">
      <c r="A10" s="3" t="s">
        <v>89</v>
      </c>
      <c r="B10" s="58">
        <v>30</v>
      </c>
    </row>
    <row r="11" spans="1:2" ht="15" customHeight="1" x14ac:dyDescent="0.3">
      <c r="A11" s="3" t="s">
        <v>90</v>
      </c>
      <c r="B11" s="6">
        <v>0.2727</v>
      </c>
    </row>
    <row r="12" spans="1:2" ht="15" customHeight="1" x14ac:dyDescent="0.3">
      <c r="A12" s="3" t="s">
        <v>91</v>
      </c>
      <c r="B12" s="6">
        <v>0.4</v>
      </c>
    </row>
    <row r="13" spans="1:2" ht="15" customHeight="1" x14ac:dyDescent="0.3">
      <c r="A13" s="3" t="s">
        <v>92</v>
      </c>
      <c r="B13" s="61">
        <v>0.5</v>
      </c>
    </row>
    <row r="14" spans="1:2" ht="15" customHeight="1" x14ac:dyDescent="0.3">
      <c r="A14" s="3" t="s">
        <v>93</v>
      </c>
      <c r="B14" s="8">
        <v>0.91700000000000004</v>
      </c>
    </row>
    <row r="16" spans="1:2" ht="19.5" customHeight="1" x14ac:dyDescent="0.3">
      <c r="A16" s="144" t="s">
        <v>94</v>
      </c>
      <c r="B16" s="144"/>
    </row>
    <row r="17" spans="1:2" ht="15" customHeight="1" x14ac:dyDescent="0.3">
      <c r="A17" s="60" t="s">
        <v>95</v>
      </c>
      <c r="B17" s="62">
        <f>B7/(B8*B9)</f>
        <v>5.6097560975609754E-3</v>
      </c>
    </row>
    <row r="18" spans="1:2" ht="15" customHeight="1" x14ac:dyDescent="0.3">
      <c r="A18" s="60" t="s">
        <v>96</v>
      </c>
      <c r="B18" s="63">
        <f>1-(1-B7/(B8*B9))^B10</f>
        <v>0.15529387754633428</v>
      </c>
    </row>
    <row r="19" spans="1:2" ht="15" customHeight="1" x14ac:dyDescent="0.3">
      <c r="A19" s="60" t="s">
        <v>97</v>
      </c>
      <c r="B19" s="63">
        <f>1-B11/B12</f>
        <v>0.31825000000000003</v>
      </c>
    </row>
    <row r="20" spans="1:2" ht="15" customHeight="1" x14ac:dyDescent="0.3">
      <c r="A20" s="60" t="s">
        <v>98</v>
      </c>
      <c r="B20" s="28">
        <f>B18*B19*B13*B14</f>
        <v>2.2660113788601929E-2</v>
      </c>
    </row>
    <row r="21" spans="1:2" ht="15" customHeight="1" x14ac:dyDescent="0.3">
      <c r="A21" s="60" t="s">
        <v>99</v>
      </c>
      <c r="B21" s="28">
        <f>((1+(B14-B20)*(1-0.25168))^2)/((1+B14*(1-0.25168))^2)-1</f>
        <v>-2.0011457161642321E-2</v>
      </c>
    </row>
    <row r="23" spans="1:2" ht="27.75" customHeight="1" x14ac:dyDescent="0.3">
      <c r="A23" s="141" t="s">
        <v>100</v>
      </c>
      <c r="B23" s="141"/>
    </row>
  </sheetData>
  <mergeCells count="7">
    <mergeCell ref="A16:B16"/>
    <mergeCell ref="A23:B23"/>
    <mergeCell ref="A1:B1"/>
    <mergeCell ref="A2:B2"/>
    <mergeCell ref="A3:B3"/>
    <mergeCell ref="A4:B4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F25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46" customWidth="1"/>
    <col min="2" max="6" width="11" customWidth="1"/>
  </cols>
  <sheetData>
    <row r="1" spans="1:6" ht="30" customHeight="1" x14ac:dyDescent="0.3">
      <c r="A1" s="142" t="s">
        <v>101</v>
      </c>
      <c r="B1" s="142"/>
      <c r="C1" s="142"/>
      <c r="D1" s="142"/>
      <c r="E1" s="142"/>
      <c r="F1" s="142"/>
    </row>
    <row r="2" spans="1:6" ht="27.75" customHeight="1" x14ac:dyDescent="0.3">
      <c r="A2" s="145" t="s">
        <v>102</v>
      </c>
      <c r="B2" s="145"/>
      <c r="C2" s="145"/>
      <c r="D2" s="145"/>
      <c r="E2" s="145"/>
      <c r="F2" s="145"/>
    </row>
    <row r="4" spans="1:6" ht="19.5" customHeight="1" x14ac:dyDescent="0.3">
      <c r="A4" s="144" t="s">
        <v>67</v>
      </c>
      <c r="B4" s="144"/>
      <c r="C4" s="144"/>
      <c r="D4" s="144"/>
      <c r="E4" s="144"/>
      <c r="F4" s="144"/>
    </row>
    <row r="5" spans="1:6" ht="15" customHeight="1" x14ac:dyDescent="0.3">
      <c r="A5" s="3" t="s">
        <v>103</v>
      </c>
      <c r="B5" s="61">
        <v>0.55000000000000004</v>
      </c>
    </row>
    <row r="6" spans="1:6" ht="15" customHeight="1" x14ac:dyDescent="0.3">
      <c r="A6" s="3" t="s">
        <v>104</v>
      </c>
      <c r="B6" s="8">
        <v>0.91700000000000004</v>
      </c>
    </row>
    <row r="7" spans="1:6" ht="15" customHeight="1" x14ac:dyDescent="0.3">
      <c r="A7" s="3" t="s">
        <v>105</v>
      </c>
      <c r="B7" s="8">
        <v>7.0000000000000007E-2</v>
      </c>
    </row>
    <row r="8" spans="1:6" ht="15" customHeight="1" x14ac:dyDescent="0.3">
      <c r="A8" s="3" t="s">
        <v>48</v>
      </c>
      <c r="B8" s="6">
        <v>0.2727</v>
      </c>
    </row>
    <row r="10" spans="1:6" ht="19.5" customHeight="1" x14ac:dyDescent="0.3">
      <c r="A10" s="144" t="s">
        <v>94</v>
      </c>
      <c r="B10" s="144"/>
      <c r="C10" s="144"/>
      <c r="D10" s="144"/>
      <c r="E10" s="144"/>
      <c r="F10" s="144"/>
    </row>
    <row r="11" spans="1:6" ht="15" customHeight="1" x14ac:dyDescent="0.3">
      <c r="A11" s="60" t="s">
        <v>106</v>
      </c>
      <c r="B11" s="63">
        <f>B7/B8</f>
        <v>0.2566923359002567</v>
      </c>
    </row>
    <row r="12" spans="1:6" ht="15" customHeight="1" x14ac:dyDescent="0.3">
      <c r="A12" s="60" t="s">
        <v>107</v>
      </c>
      <c r="B12" s="27">
        <f>B5/B11-(1-B5)/B6</f>
        <v>1.651912213740458</v>
      </c>
    </row>
    <row r="13" spans="1:6" ht="15" customHeight="1" x14ac:dyDescent="0.3">
      <c r="A13" s="60" t="s">
        <v>108</v>
      </c>
      <c r="B13" s="63">
        <f>MIN(B12,1)</f>
        <v>1</v>
      </c>
    </row>
    <row r="14" spans="1:6" ht="15" customHeight="1" x14ac:dyDescent="0.3">
      <c r="A14" s="60" t="s">
        <v>109</v>
      </c>
      <c r="B14" s="63">
        <f>MIN(B12,2)/2</f>
        <v>0.82595610687022902</v>
      </c>
    </row>
    <row r="15" spans="1:6" ht="15" customHeight="1" x14ac:dyDescent="0.3">
      <c r="A15" s="60" t="s">
        <v>110</v>
      </c>
      <c r="B15" s="28">
        <f>B5*LN(1+B14*B6)+(1-B5)*LN(1-B14*B11)</f>
        <v>0.20288482564232541</v>
      </c>
    </row>
    <row r="18" spans="1:6" ht="19.5" customHeight="1" x14ac:dyDescent="0.3">
      <c r="A18" s="144" t="s">
        <v>111</v>
      </c>
      <c r="B18" s="144"/>
      <c r="C18" s="144"/>
      <c r="D18" s="144"/>
      <c r="E18" s="144"/>
      <c r="F18" s="144"/>
    </row>
    <row r="19" spans="1:6" ht="25.5" customHeight="1" x14ac:dyDescent="0.3">
      <c r="A19" s="2" t="s">
        <v>112</v>
      </c>
      <c r="B19" s="64">
        <v>0.05</v>
      </c>
      <c r="C19" s="64">
        <v>7.0000000000000007E-2</v>
      </c>
      <c r="D19" s="64">
        <v>0.1</v>
      </c>
      <c r="E19" s="64">
        <v>0.12</v>
      </c>
      <c r="F19" s="64">
        <v>0.15</v>
      </c>
    </row>
    <row r="20" spans="1:6" ht="13.5" customHeight="1" x14ac:dyDescent="0.3">
      <c r="A20" s="65">
        <v>0.45</v>
      </c>
      <c r="B20" s="66">
        <f t="shared" ref="B20:F25" si="0">$A20/(B$19/$B$8)-(1-$A20)/$B$6</f>
        <v>1.8545181025081787</v>
      </c>
      <c r="C20" s="66">
        <f t="shared" si="0"/>
        <v>1.1532895310796074</v>
      </c>
      <c r="D20" s="66">
        <f t="shared" si="0"/>
        <v>0.62736810250817876</v>
      </c>
      <c r="E20" s="66">
        <f t="shared" si="0"/>
        <v>0.42284310250817869</v>
      </c>
      <c r="F20" s="66">
        <f t="shared" si="0"/>
        <v>0.21831810250817874</v>
      </c>
    </row>
    <row r="21" spans="1:6" ht="13.5" customHeight="1" x14ac:dyDescent="0.3">
      <c r="A21" s="65">
        <v>0.5</v>
      </c>
      <c r="B21" s="66">
        <f t="shared" si="0"/>
        <v>2.1817437295528896</v>
      </c>
      <c r="C21" s="66">
        <f t="shared" si="0"/>
        <v>1.4026008724100327</v>
      </c>
      <c r="D21" s="66">
        <f t="shared" si="0"/>
        <v>0.81824372955288982</v>
      </c>
      <c r="E21" s="66">
        <f t="shared" si="0"/>
        <v>0.59099372955288987</v>
      </c>
      <c r="F21" s="66">
        <f t="shared" si="0"/>
        <v>0.36374372955288981</v>
      </c>
    </row>
    <row r="22" spans="1:6" ht="13.5" customHeight="1" x14ac:dyDescent="0.3">
      <c r="A22" s="65">
        <v>0.55000000000000004</v>
      </c>
      <c r="B22" s="66">
        <f t="shared" si="0"/>
        <v>2.5089693565976012</v>
      </c>
      <c r="C22" s="66">
        <f t="shared" si="0"/>
        <v>1.651912213740458</v>
      </c>
      <c r="D22" s="66">
        <f t="shared" si="0"/>
        <v>1.0091193565976011</v>
      </c>
      <c r="E22" s="66">
        <f t="shared" si="0"/>
        <v>0.75914435659760104</v>
      </c>
      <c r="F22" s="66">
        <f t="shared" si="0"/>
        <v>0.50916935659760099</v>
      </c>
    </row>
    <row r="23" spans="1:6" ht="13.5" customHeight="1" x14ac:dyDescent="0.3">
      <c r="A23" s="65">
        <v>0.6</v>
      </c>
      <c r="B23" s="66">
        <f t="shared" si="0"/>
        <v>2.8361949836423115</v>
      </c>
      <c r="C23" s="66">
        <f t="shared" si="0"/>
        <v>1.9012235550708831</v>
      </c>
      <c r="D23" s="66">
        <f t="shared" si="0"/>
        <v>1.1999949836423118</v>
      </c>
      <c r="E23" s="66">
        <f t="shared" si="0"/>
        <v>0.92729498364231189</v>
      </c>
      <c r="F23" s="66">
        <f t="shared" si="0"/>
        <v>0.65459498364231195</v>
      </c>
    </row>
    <row r="24" spans="1:6" ht="13.5" customHeight="1" x14ac:dyDescent="0.3">
      <c r="A24" s="65">
        <v>0.65</v>
      </c>
      <c r="B24" s="66">
        <f t="shared" si="0"/>
        <v>3.1634206106870226</v>
      </c>
      <c r="C24" s="66">
        <f t="shared" si="0"/>
        <v>2.1505348964013087</v>
      </c>
      <c r="D24" s="66">
        <f t="shared" si="0"/>
        <v>1.3908706106870228</v>
      </c>
      <c r="E24" s="66">
        <f t="shared" si="0"/>
        <v>1.095445610687023</v>
      </c>
      <c r="F24" s="66">
        <f t="shared" si="0"/>
        <v>0.8000206106870229</v>
      </c>
    </row>
    <row r="25" spans="1:6" ht="13.5" customHeight="1" x14ac:dyDescent="0.3">
      <c r="A25" s="65">
        <v>0.7</v>
      </c>
      <c r="B25" s="66">
        <f t="shared" si="0"/>
        <v>3.4906462377317333</v>
      </c>
      <c r="C25" s="66">
        <f t="shared" si="0"/>
        <v>2.3998462377317336</v>
      </c>
      <c r="D25" s="66">
        <f t="shared" si="0"/>
        <v>1.5817462377317337</v>
      </c>
      <c r="E25" s="66">
        <f t="shared" si="0"/>
        <v>1.2635962377317338</v>
      </c>
      <c r="F25" s="66">
        <f t="shared" si="0"/>
        <v>0.94544623773173386</v>
      </c>
    </row>
  </sheetData>
  <mergeCells count="5">
    <mergeCell ref="A1:F1"/>
    <mergeCell ref="A2:F2"/>
    <mergeCell ref="A4:F4"/>
    <mergeCell ref="A10:F10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F32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40" customWidth="1"/>
    <col min="2" max="6" width="20" customWidth="1"/>
  </cols>
  <sheetData>
    <row r="1" spans="1:6" ht="30" customHeight="1" x14ac:dyDescent="0.3">
      <c r="A1" s="142" t="s">
        <v>113</v>
      </c>
      <c r="B1" s="142"/>
      <c r="C1" s="142"/>
      <c r="D1" s="142"/>
      <c r="E1" s="142"/>
      <c r="F1" s="142"/>
    </row>
    <row r="2" spans="1:6" ht="27.75" customHeight="1" x14ac:dyDescent="0.3">
      <c r="A2" s="145" t="s">
        <v>114</v>
      </c>
      <c r="B2" s="145"/>
      <c r="C2" s="145"/>
      <c r="D2" s="145"/>
      <c r="E2" s="145"/>
      <c r="F2" s="145"/>
    </row>
    <row r="4" spans="1:6" ht="19.5" customHeight="1" x14ac:dyDescent="0.3">
      <c r="A4" s="144" t="s">
        <v>67</v>
      </c>
      <c r="B4" s="144"/>
      <c r="C4" s="144"/>
      <c r="D4" s="144"/>
      <c r="E4" s="144"/>
      <c r="F4" s="144"/>
    </row>
    <row r="5" spans="1:6" ht="15" customHeight="1" x14ac:dyDescent="0.3">
      <c r="A5" s="3" t="s">
        <v>115</v>
      </c>
      <c r="B5" s="7">
        <v>1000000000</v>
      </c>
    </row>
    <row r="6" spans="1:6" ht="15" customHeight="1" x14ac:dyDescent="0.3">
      <c r="A6" s="3" t="s">
        <v>116</v>
      </c>
      <c r="B6" s="61">
        <v>0.75</v>
      </c>
    </row>
    <row r="7" spans="1:6" ht="15" customHeight="1" x14ac:dyDescent="0.3">
      <c r="A7" s="3" t="s">
        <v>117</v>
      </c>
      <c r="B7" s="67">
        <v>5000000</v>
      </c>
    </row>
    <row r="8" spans="1:6" ht="15" customHeight="1" x14ac:dyDescent="0.3">
      <c r="A8" s="3" t="s">
        <v>118</v>
      </c>
      <c r="B8" s="4">
        <v>0.25168000000000001</v>
      </c>
    </row>
    <row r="9" spans="1:6" ht="15" customHeight="1" x14ac:dyDescent="0.3">
      <c r="A9" s="3" t="s">
        <v>26</v>
      </c>
      <c r="B9" s="61">
        <v>0.25</v>
      </c>
    </row>
    <row r="10" spans="1:6" ht="15" customHeight="1" x14ac:dyDescent="0.3">
      <c r="A10" s="3" t="s">
        <v>48</v>
      </c>
      <c r="B10" s="6">
        <v>0.2727</v>
      </c>
    </row>
    <row r="11" spans="1:6" ht="15" customHeight="1" x14ac:dyDescent="0.3">
      <c r="A11" s="3" t="s">
        <v>119</v>
      </c>
      <c r="B11" s="67">
        <v>7500000</v>
      </c>
    </row>
    <row r="14" spans="1:6" ht="25.5" customHeight="1" x14ac:dyDescent="0.3">
      <c r="A14" s="2" t="s">
        <v>25</v>
      </c>
      <c r="B14" s="2" t="s">
        <v>120</v>
      </c>
      <c r="C14" s="2" t="s">
        <v>121</v>
      </c>
      <c r="D14" s="2" t="s">
        <v>122</v>
      </c>
      <c r="E14" s="2" t="s">
        <v>123</v>
      </c>
      <c r="F14" s="2" t="s">
        <v>124</v>
      </c>
    </row>
    <row r="15" spans="1:6" ht="13.5" customHeight="1" x14ac:dyDescent="0.3">
      <c r="A15" s="10">
        <v>1</v>
      </c>
      <c r="B15" s="49">
        <f>($B$11+(MIN($B$11/$B$10,'Engine Inputs'!$B$9)*($B$9-'Engine Inputs'!$B$5-'Engine Inputs'!$B$6-2*'Engine Inputs'!$B$7*SQRT(MIN($B$11/$B$10,'Engine Inputs'!$B$9)/'Engine Inputs'!$B$8))+MAX($B$11-MIN($B$11/$B$10,'Engine Inputs'!$B$9)*$B$10,0)*'Engine Inputs'!$B$10/2)*(1-$B$8))+(MIN(($B$11+(MIN($B$11/$B$10,'Engine Inputs'!$B$9)*($B$9-'Engine Inputs'!$B$5-'Engine Inputs'!$B$6-2*'Engine Inputs'!$B$7*SQRT(MIN($B$11/$B$10,'Engine Inputs'!$B$9)/'Engine Inputs'!$B$8))+MAX($B$11-MIN($B$11/$B$10,'Engine Inputs'!$B$9)*$B$10,0)*'Engine Inputs'!$B$10/2)*(1-$B$8))/$B$10,'Engine Inputs'!$B$9)*($B$9-'Engine Inputs'!$B$5-'Engine Inputs'!$B$6-2*'Engine Inputs'!$B$7*SQRT(MIN(($B$11+(MIN($B$11/$B$10,'Engine Inputs'!$B$9)*($B$9-'Engine Inputs'!$B$5-'Engine Inputs'!$B$6-2*'Engine Inputs'!$B$7*SQRT(MIN($B$11/$B$10,'Engine Inputs'!$B$9)/'Engine Inputs'!$B$8))+MAX($B$11-MIN($B$11/$B$10,'Engine Inputs'!$B$9)*$B$10,0)*'Engine Inputs'!$B$10/2)*(1-$B$8))/$B$10,'Engine Inputs'!$B$9)/'Engine Inputs'!$B$8))+MAX(($B$11+(MIN($B$11/$B$10,'Engine Inputs'!$B$9)*($B$9-'Engine Inputs'!$B$5-'Engine Inputs'!$B$6-2*'Engine Inputs'!$B$7*SQRT(MIN($B$11/$B$10,'Engine Inputs'!$B$9)/'Engine Inputs'!$B$8))+MAX($B$11-MIN($B$11/$B$10,'Engine Inputs'!$B$9)*$B$10,0)*'Engine Inputs'!$B$10/2)*(1-$B$8))-MIN(($B$11+(MIN($B$11/$B$10,'Engine Inputs'!$B$9)*($B$9-'Engine Inputs'!$B$5-'Engine Inputs'!$B$6-2*'Engine Inputs'!$B$7*SQRT(MIN($B$11/$B$10,'Engine Inputs'!$B$9)/'Engine Inputs'!$B$8))+MAX($B$11-MIN($B$11/$B$10,'Engine Inputs'!$B$9)*$B$10,0)*'Engine Inputs'!$B$10/2)*(1-$B$8))/$B$10,'Engine Inputs'!$B$9)*$B$10,0)*'Engine Inputs'!$B$10/2)*(1-$B$8)-INDEX('Rebuilt Scenarios'!$C$11:$C$25,A15)*(1-$B$8)</f>
        <v>20758381.960995086</v>
      </c>
      <c r="C15" s="49">
        <f>IF($B$11&lt;'Engine Inputs'!$B$11,($B$11+(MIN($B$11/$B$10,'Engine Inputs'!$B$9)*($B$9-'Engine Inputs'!$B$5-'Engine Inputs'!$B$6-2*'Engine Inputs'!$B$7*SQRT(MIN($B$11/$B$10,'Engine Inputs'!$B$9)/'Engine Inputs'!$B$8))+MAX($B$11-MIN($B$11/$B$10,'Engine Inputs'!$B$9)*$B$10,0)*'Engine Inputs'!$B$10/2)*(1-$B$8))+(MIN(($B$11+(MIN($B$11/$B$10,'Engine Inputs'!$B$9)*($B$9-'Engine Inputs'!$B$5-'Engine Inputs'!$B$6-2*'Engine Inputs'!$B$7*SQRT(MIN($B$11/$B$10,'Engine Inputs'!$B$9)/'Engine Inputs'!$B$8))+MAX($B$11-MIN($B$11/$B$10,'Engine Inputs'!$B$9)*$B$10,0)*'Engine Inputs'!$B$10/2)*(1-$B$8))/$B$10,'Engine Inputs'!$B$9)*($B$9-'Engine Inputs'!$B$5-'Engine Inputs'!$B$6-2*'Engine Inputs'!$B$7*SQRT(MIN(($B$11+(MIN($B$11/$B$10,'Engine Inputs'!$B$9)*($B$9-'Engine Inputs'!$B$5-'Engine Inputs'!$B$6-2*'Engine Inputs'!$B$7*SQRT(MIN($B$11/$B$10,'Engine Inputs'!$B$9)/'Engine Inputs'!$B$8))+MAX($B$11-MIN($B$11/$B$10,'Engine Inputs'!$B$9)*$B$10,0)*'Engine Inputs'!$B$10/2)*(1-$B$8))/$B$10,'Engine Inputs'!$B$9)/'Engine Inputs'!$B$8))+MAX(($B$11+(MIN($B$11/$B$10,'Engine Inputs'!$B$9)*($B$9-'Engine Inputs'!$B$5-'Engine Inputs'!$B$6-2*'Engine Inputs'!$B$7*SQRT(MIN($B$11/$B$10,'Engine Inputs'!$B$9)/'Engine Inputs'!$B$8))+MAX($B$11-MIN($B$11/$B$10,'Engine Inputs'!$B$9)*$B$10,0)*'Engine Inputs'!$B$10/2)*(1-$B$8))-MIN(($B$11+(MIN($B$11/$B$10,'Engine Inputs'!$B$9)*($B$9-'Engine Inputs'!$B$5-'Engine Inputs'!$B$6-2*'Engine Inputs'!$B$7*SQRT(MIN($B$11/$B$10,'Engine Inputs'!$B$9)/'Engine Inputs'!$B$8))+MAX($B$11-MIN($B$11/$B$10,'Engine Inputs'!$B$9)*$B$10,0)*'Engine Inputs'!$B$10/2)*(1-$B$8))/$B$10,'Engine Inputs'!$B$9)*$B$10,0)*'Engine Inputs'!$B$10/2)*(1-$B$8)-INDEX('Rebuilt Scenarios'!$C$11:$C$25,A15)*(1-$B$8),$B$11+(($B$6*$B$11-$B$7)*(12/18))*(1-$B$8))</f>
        <v>20758381.960995086</v>
      </c>
      <c r="D15" s="49">
        <f>MIN(($B$11+(MIN($B$11/$B$10,'Engine Inputs'!$B$9)*($B$9-'Engine Inputs'!$B$5-'Engine Inputs'!$B$6-2*'Engine Inputs'!$B$7*SQRT(MIN($B$11/$B$10,'Engine Inputs'!$B$9)/'Engine Inputs'!$B$8))+MAX($B$11-MIN($B$11/$B$10,'Engine Inputs'!$B$9)*$B$10,0)*'Engine Inputs'!$B$10/2)*(1-$B$8))+(MIN(($B$11+(MIN($B$11/$B$10,'Engine Inputs'!$B$9)*($B$9-'Engine Inputs'!$B$5-'Engine Inputs'!$B$6-2*'Engine Inputs'!$B$7*SQRT(MIN($B$11/$B$10,'Engine Inputs'!$B$9)/'Engine Inputs'!$B$8))+MAX($B$11-MIN($B$11/$B$10,'Engine Inputs'!$B$9)*$B$10,0)*'Engine Inputs'!$B$10/2)*(1-$B$8))/$B$10,'Engine Inputs'!$B$9)*($B$9-'Engine Inputs'!$B$5-'Engine Inputs'!$B$6-2*'Engine Inputs'!$B$7*SQRT(MIN(($B$11+(MIN($B$11/$B$10,'Engine Inputs'!$B$9)*($B$9-'Engine Inputs'!$B$5-'Engine Inputs'!$B$6-2*'Engine Inputs'!$B$7*SQRT(MIN($B$11/$B$10,'Engine Inputs'!$B$9)/'Engine Inputs'!$B$8))+MAX($B$11-MIN($B$11/$B$10,'Engine Inputs'!$B$9)*$B$10,0)*'Engine Inputs'!$B$10/2)*(1-$B$8))/$B$10,'Engine Inputs'!$B$9)/'Engine Inputs'!$B$8))+MAX(($B$11+(MIN($B$11/$B$10,'Engine Inputs'!$B$9)*($B$9-'Engine Inputs'!$B$5-'Engine Inputs'!$B$6-2*'Engine Inputs'!$B$7*SQRT(MIN($B$11/$B$10,'Engine Inputs'!$B$9)/'Engine Inputs'!$B$8))+MAX($B$11-MIN($B$11/$B$10,'Engine Inputs'!$B$9)*$B$10,0)*'Engine Inputs'!$B$10/2)*(1-$B$8))-MIN(($B$11+(MIN($B$11/$B$10,'Engine Inputs'!$B$9)*($B$9-'Engine Inputs'!$B$5-'Engine Inputs'!$B$6-2*'Engine Inputs'!$B$7*SQRT(MIN($B$11/$B$10,'Engine Inputs'!$B$9)/'Engine Inputs'!$B$8))+MAX($B$11-MIN($B$11/$B$10,'Engine Inputs'!$B$9)*$B$10,0)*'Engine Inputs'!$B$10/2)*(1-$B$8))/$B$10,'Engine Inputs'!$B$9)*$B$10,0)*'Engine Inputs'!$B$10/2)*(1-$B$8)-INDEX('Rebuilt Scenarios'!$C$11:$C$25,A15)*(1-$B$8),$B$5)</f>
        <v>20758381.960995086</v>
      </c>
      <c r="E15" s="49">
        <f>IF(0&gt;0,0+(($B$6*0-$B$7)*(12/18))*(1-$B$8),0)+MAX(($B$11+(MIN($B$11/$B$10,'Engine Inputs'!$B$9)*($B$9-'Engine Inputs'!$B$5-'Engine Inputs'!$B$6-2*'Engine Inputs'!$B$7*SQRT(MIN($B$11/$B$10,'Engine Inputs'!$B$9)/'Engine Inputs'!$B$8))+MAX($B$11-MIN($B$11/$B$10,'Engine Inputs'!$B$9)*$B$10,0)*'Engine Inputs'!$B$10/2)*(1-$B$8))+(MIN(($B$11+(MIN($B$11/$B$10,'Engine Inputs'!$B$9)*($B$9-'Engine Inputs'!$B$5-'Engine Inputs'!$B$6-2*'Engine Inputs'!$B$7*SQRT(MIN($B$11/$B$10,'Engine Inputs'!$B$9)/'Engine Inputs'!$B$8))+MAX($B$11-MIN($B$11/$B$10,'Engine Inputs'!$B$9)*$B$10,0)*'Engine Inputs'!$B$10/2)*(1-$B$8))/$B$10,'Engine Inputs'!$B$9)*($B$9-'Engine Inputs'!$B$5-'Engine Inputs'!$B$6-2*'Engine Inputs'!$B$7*SQRT(MIN(($B$11+(MIN($B$11/$B$10,'Engine Inputs'!$B$9)*($B$9-'Engine Inputs'!$B$5-'Engine Inputs'!$B$6-2*'Engine Inputs'!$B$7*SQRT(MIN($B$11/$B$10,'Engine Inputs'!$B$9)/'Engine Inputs'!$B$8))+MAX($B$11-MIN($B$11/$B$10,'Engine Inputs'!$B$9)*$B$10,0)*'Engine Inputs'!$B$10/2)*(1-$B$8))/$B$10,'Engine Inputs'!$B$9)/'Engine Inputs'!$B$8))+MAX(($B$11+(MIN($B$11/$B$10,'Engine Inputs'!$B$9)*($B$9-'Engine Inputs'!$B$5-'Engine Inputs'!$B$6-2*'Engine Inputs'!$B$7*SQRT(MIN($B$11/$B$10,'Engine Inputs'!$B$9)/'Engine Inputs'!$B$8))+MAX($B$11-MIN($B$11/$B$10,'Engine Inputs'!$B$9)*$B$10,0)*'Engine Inputs'!$B$10/2)*(1-$B$8))-MIN(($B$11+(MIN($B$11/$B$10,'Engine Inputs'!$B$9)*($B$9-'Engine Inputs'!$B$5-'Engine Inputs'!$B$6-2*'Engine Inputs'!$B$7*SQRT(MIN($B$11/$B$10,'Engine Inputs'!$B$9)/'Engine Inputs'!$B$8))+MAX($B$11-MIN($B$11/$B$10,'Engine Inputs'!$B$9)*$B$10,0)*'Engine Inputs'!$B$10/2)*(1-$B$8))/$B$10,'Engine Inputs'!$B$9)*$B$10,0)*'Engine Inputs'!$B$10/2)*(1-$B$8)-INDEX('Rebuilt Scenarios'!$C$11:$C$25,A15)*(1-$B$8)-$B$5,0)</f>
        <v>0</v>
      </c>
      <c r="F15" s="49">
        <f t="shared" ref="F15:F29" si="0">D15+E15</f>
        <v>20758381.960995086</v>
      </c>
    </row>
    <row r="16" spans="1:6" ht="13.5" customHeight="1" x14ac:dyDescent="0.3">
      <c r="A16" s="13">
        <v>2</v>
      </c>
      <c r="B16" s="51">
        <f>(B15+(MIN(B15/$B$10,'Engine Inputs'!$B$9)*($B$9-'Engine Inputs'!$B$5-'Engine Inputs'!$B$6-2*'Engine Inputs'!$B$7*SQRT(MIN(B15/$B$10,'Engine Inputs'!$B$9)/'Engine Inputs'!$B$8))+MAX(B15-MIN(B15/$B$10,'Engine Inputs'!$B$9)*$B$10,0)*'Engine Inputs'!$B$10/2)*(1-$B$8))+(MIN((B15+(MIN(B15/$B$10,'Engine Inputs'!$B$9)*($B$9-'Engine Inputs'!$B$5-'Engine Inputs'!$B$6-2*'Engine Inputs'!$B$7*SQRT(MIN(B15/$B$10,'Engine Inputs'!$B$9)/'Engine Inputs'!$B$8))+MAX(B15-MIN(B15/$B$10,'Engine Inputs'!$B$9)*$B$10,0)*'Engine Inputs'!$B$10/2)*(1-$B$8))/$B$10,'Engine Inputs'!$B$9)*($B$9-'Engine Inputs'!$B$5-'Engine Inputs'!$B$6-2*'Engine Inputs'!$B$7*SQRT(MIN((B15+(MIN(B15/$B$10,'Engine Inputs'!$B$9)*($B$9-'Engine Inputs'!$B$5-'Engine Inputs'!$B$6-2*'Engine Inputs'!$B$7*SQRT(MIN(B15/$B$10,'Engine Inputs'!$B$9)/'Engine Inputs'!$B$8))+MAX(B15-MIN(B15/$B$10,'Engine Inputs'!$B$9)*$B$10,0)*'Engine Inputs'!$B$10/2)*(1-$B$8))/$B$10,'Engine Inputs'!$B$9)/'Engine Inputs'!$B$8))+MAX((B15+(MIN(B15/$B$10,'Engine Inputs'!$B$9)*($B$9-'Engine Inputs'!$B$5-'Engine Inputs'!$B$6-2*'Engine Inputs'!$B$7*SQRT(MIN(B15/$B$10,'Engine Inputs'!$B$9)/'Engine Inputs'!$B$8))+MAX(B15-MIN(B15/$B$10,'Engine Inputs'!$B$9)*$B$10,0)*'Engine Inputs'!$B$10/2)*(1-$B$8))-MIN((B15+(MIN(B15/$B$10,'Engine Inputs'!$B$9)*($B$9-'Engine Inputs'!$B$5-'Engine Inputs'!$B$6-2*'Engine Inputs'!$B$7*SQRT(MIN(B15/$B$10,'Engine Inputs'!$B$9)/'Engine Inputs'!$B$8))+MAX(B15-MIN(B15/$B$10,'Engine Inputs'!$B$9)*$B$10,0)*'Engine Inputs'!$B$10/2)*(1-$B$8))/$B$10,'Engine Inputs'!$B$9)*$B$10,0)*'Engine Inputs'!$B$10/2)*(1-$B$8)-INDEX('Rebuilt Scenarios'!$C$11:$C$25,A16)*(1-$B$8)</f>
        <v>57336442.686842307</v>
      </c>
      <c r="C16" s="51">
        <f>IF(C15&lt;'Engine Inputs'!$B$11,(C15+(MIN(C15/$B$10,'Engine Inputs'!$B$9)*($B$9-'Engine Inputs'!$B$5-'Engine Inputs'!$B$6-2*'Engine Inputs'!$B$7*SQRT(MIN(C15/$B$10,'Engine Inputs'!$B$9)/'Engine Inputs'!$B$8))+MAX(C15-MIN(C15/$B$10,'Engine Inputs'!$B$9)*$B$10,0)*'Engine Inputs'!$B$10/2)*(1-$B$8))+(MIN((C15+(MIN(C15/$B$10,'Engine Inputs'!$B$9)*($B$9-'Engine Inputs'!$B$5-'Engine Inputs'!$B$6-2*'Engine Inputs'!$B$7*SQRT(MIN(C15/$B$10,'Engine Inputs'!$B$9)/'Engine Inputs'!$B$8))+MAX(C15-MIN(C15/$B$10,'Engine Inputs'!$B$9)*$B$10,0)*'Engine Inputs'!$B$10/2)*(1-$B$8))/$B$10,'Engine Inputs'!$B$9)*($B$9-'Engine Inputs'!$B$5-'Engine Inputs'!$B$6-2*'Engine Inputs'!$B$7*SQRT(MIN((C15+(MIN(C15/$B$10,'Engine Inputs'!$B$9)*($B$9-'Engine Inputs'!$B$5-'Engine Inputs'!$B$6-2*'Engine Inputs'!$B$7*SQRT(MIN(C15/$B$10,'Engine Inputs'!$B$9)/'Engine Inputs'!$B$8))+MAX(C15-MIN(C15/$B$10,'Engine Inputs'!$B$9)*$B$10,0)*'Engine Inputs'!$B$10/2)*(1-$B$8))/$B$10,'Engine Inputs'!$B$9)/'Engine Inputs'!$B$8))+MAX((C15+(MIN(C15/$B$10,'Engine Inputs'!$B$9)*($B$9-'Engine Inputs'!$B$5-'Engine Inputs'!$B$6-2*'Engine Inputs'!$B$7*SQRT(MIN(C15/$B$10,'Engine Inputs'!$B$9)/'Engine Inputs'!$B$8))+MAX(C15-MIN(C15/$B$10,'Engine Inputs'!$B$9)*$B$10,0)*'Engine Inputs'!$B$10/2)*(1-$B$8))-MIN((C15+(MIN(C15/$B$10,'Engine Inputs'!$B$9)*($B$9-'Engine Inputs'!$B$5-'Engine Inputs'!$B$6-2*'Engine Inputs'!$B$7*SQRT(MIN(C15/$B$10,'Engine Inputs'!$B$9)/'Engine Inputs'!$B$8))+MAX(C15-MIN(C15/$B$10,'Engine Inputs'!$B$9)*$B$10,0)*'Engine Inputs'!$B$10/2)*(1-$B$8))/$B$10,'Engine Inputs'!$B$9)*$B$10,0)*'Engine Inputs'!$B$10/2)*(1-$B$8)-INDEX('Rebuilt Scenarios'!$C$11:$C$25,A16)*(1-$B$8),C15+(($B$6*C15-$B$7)*(12/18))*(1-$B$8))</f>
        <v>57336442.686842307</v>
      </c>
      <c r="D16" s="51">
        <f>MIN((D15+(MIN(D15/$B$10,'Engine Inputs'!$B$9)*($B$9-'Engine Inputs'!$B$5-'Engine Inputs'!$B$6-2*'Engine Inputs'!$B$7*SQRT(MIN(D15/$B$10,'Engine Inputs'!$B$9)/'Engine Inputs'!$B$8))+MAX(D15-MIN(D15/$B$10,'Engine Inputs'!$B$9)*$B$10,0)*'Engine Inputs'!$B$10/2)*(1-$B$8))+(MIN((D15+(MIN(D15/$B$10,'Engine Inputs'!$B$9)*($B$9-'Engine Inputs'!$B$5-'Engine Inputs'!$B$6-2*'Engine Inputs'!$B$7*SQRT(MIN(D15/$B$10,'Engine Inputs'!$B$9)/'Engine Inputs'!$B$8))+MAX(D15-MIN(D15/$B$10,'Engine Inputs'!$B$9)*$B$10,0)*'Engine Inputs'!$B$10/2)*(1-$B$8))/$B$10,'Engine Inputs'!$B$9)*($B$9-'Engine Inputs'!$B$5-'Engine Inputs'!$B$6-2*'Engine Inputs'!$B$7*SQRT(MIN((D15+(MIN(D15/$B$10,'Engine Inputs'!$B$9)*($B$9-'Engine Inputs'!$B$5-'Engine Inputs'!$B$6-2*'Engine Inputs'!$B$7*SQRT(MIN(D15/$B$10,'Engine Inputs'!$B$9)/'Engine Inputs'!$B$8))+MAX(D15-MIN(D15/$B$10,'Engine Inputs'!$B$9)*$B$10,0)*'Engine Inputs'!$B$10/2)*(1-$B$8))/$B$10,'Engine Inputs'!$B$9)/'Engine Inputs'!$B$8))+MAX((D15+(MIN(D15/$B$10,'Engine Inputs'!$B$9)*($B$9-'Engine Inputs'!$B$5-'Engine Inputs'!$B$6-2*'Engine Inputs'!$B$7*SQRT(MIN(D15/$B$10,'Engine Inputs'!$B$9)/'Engine Inputs'!$B$8))+MAX(D15-MIN(D15/$B$10,'Engine Inputs'!$B$9)*$B$10,0)*'Engine Inputs'!$B$10/2)*(1-$B$8))-MIN((D15+(MIN(D15/$B$10,'Engine Inputs'!$B$9)*($B$9-'Engine Inputs'!$B$5-'Engine Inputs'!$B$6-2*'Engine Inputs'!$B$7*SQRT(MIN(D15/$B$10,'Engine Inputs'!$B$9)/'Engine Inputs'!$B$8))+MAX(D15-MIN(D15/$B$10,'Engine Inputs'!$B$9)*$B$10,0)*'Engine Inputs'!$B$10/2)*(1-$B$8))/$B$10,'Engine Inputs'!$B$9)*$B$10,0)*'Engine Inputs'!$B$10/2)*(1-$B$8)-INDEX('Rebuilt Scenarios'!$C$11:$C$25,A16)*(1-$B$8),$B$5)</f>
        <v>57336442.686842307</v>
      </c>
      <c r="E16" s="51">
        <f>IF(E15&gt;0,E15+(($B$6*E15-$B$7)*(12/18))*(1-$B$8),0)+MAX((D15+(MIN(D15/$B$10,'Engine Inputs'!$B$9)*($B$9-'Engine Inputs'!$B$5-'Engine Inputs'!$B$6-2*'Engine Inputs'!$B$7*SQRT(MIN(D15/$B$10,'Engine Inputs'!$B$9)/'Engine Inputs'!$B$8))+MAX(D15-MIN(D15/$B$10,'Engine Inputs'!$B$9)*$B$10,0)*'Engine Inputs'!$B$10/2)*(1-$B$8))+(MIN((D15+(MIN(D15/$B$10,'Engine Inputs'!$B$9)*($B$9-'Engine Inputs'!$B$5-'Engine Inputs'!$B$6-2*'Engine Inputs'!$B$7*SQRT(MIN(D15/$B$10,'Engine Inputs'!$B$9)/'Engine Inputs'!$B$8))+MAX(D15-MIN(D15/$B$10,'Engine Inputs'!$B$9)*$B$10,0)*'Engine Inputs'!$B$10/2)*(1-$B$8))/$B$10,'Engine Inputs'!$B$9)*($B$9-'Engine Inputs'!$B$5-'Engine Inputs'!$B$6-2*'Engine Inputs'!$B$7*SQRT(MIN((D15+(MIN(D15/$B$10,'Engine Inputs'!$B$9)*($B$9-'Engine Inputs'!$B$5-'Engine Inputs'!$B$6-2*'Engine Inputs'!$B$7*SQRT(MIN(D15/$B$10,'Engine Inputs'!$B$9)/'Engine Inputs'!$B$8))+MAX(D15-MIN(D15/$B$10,'Engine Inputs'!$B$9)*$B$10,0)*'Engine Inputs'!$B$10/2)*(1-$B$8))/$B$10,'Engine Inputs'!$B$9)/'Engine Inputs'!$B$8))+MAX((D15+(MIN(D15/$B$10,'Engine Inputs'!$B$9)*($B$9-'Engine Inputs'!$B$5-'Engine Inputs'!$B$6-2*'Engine Inputs'!$B$7*SQRT(MIN(D15/$B$10,'Engine Inputs'!$B$9)/'Engine Inputs'!$B$8))+MAX(D15-MIN(D15/$B$10,'Engine Inputs'!$B$9)*$B$10,0)*'Engine Inputs'!$B$10/2)*(1-$B$8))-MIN((D15+(MIN(D15/$B$10,'Engine Inputs'!$B$9)*($B$9-'Engine Inputs'!$B$5-'Engine Inputs'!$B$6-2*'Engine Inputs'!$B$7*SQRT(MIN(D15/$B$10,'Engine Inputs'!$B$9)/'Engine Inputs'!$B$8))+MAX(D15-MIN(D15/$B$10,'Engine Inputs'!$B$9)*$B$10,0)*'Engine Inputs'!$B$10/2)*(1-$B$8))/$B$10,'Engine Inputs'!$B$9)*$B$10,0)*'Engine Inputs'!$B$10/2)*(1-$B$8)-INDEX('Rebuilt Scenarios'!$C$11:$C$25,A16)*(1-$B$8)-$B$5,0)</f>
        <v>0</v>
      </c>
      <c r="F16" s="51">
        <f t="shared" si="0"/>
        <v>57336442.686842307</v>
      </c>
    </row>
    <row r="17" spans="1:6" ht="13.5" customHeight="1" x14ac:dyDescent="0.3">
      <c r="A17" s="10">
        <v>3</v>
      </c>
      <c r="B17" s="49">
        <f>(B16+(MIN(B16/$B$10,'Engine Inputs'!$B$9)*($B$9-'Engine Inputs'!$B$5-'Engine Inputs'!$B$6-2*'Engine Inputs'!$B$7*SQRT(MIN(B16/$B$10,'Engine Inputs'!$B$9)/'Engine Inputs'!$B$8))+MAX(B16-MIN(B16/$B$10,'Engine Inputs'!$B$9)*$B$10,0)*'Engine Inputs'!$B$10/2)*(1-$B$8))+(MIN((B16+(MIN(B16/$B$10,'Engine Inputs'!$B$9)*($B$9-'Engine Inputs'!$B$5-'Engine Inputs'!$B$6-2*'Engine Inputs'!$B$7*SQRT(MIN(B16/$B$10,'Engine Inputs'!$B$9)/'Engine Inputs'!$B$8))+MAX(B16-MIN(B16/$B$10,'Engine Inputs'!$B$9)*$B$10,0)*'Engine Inputs'!$B$10/2)*(1-$B$8))/$B$10,'Engine Inputs'!$B$9)*($B$9-'Engine Inputs'!$B$5-'Engine Inputs'!$B$6-2*'Engine Inputs'!$B$7*SQRT(MIN((B16+(MIN(B16/$B$10,'Engine Inputs'!$B$9)*($B$9-'Engine Inputs'!$B$5-'Engine Inputs'!$B$6-2*'Engine Inputs'!$B$7*SQRT(MIN(B16/$B$10,'Engine Inputs'!$B$9)/'Engine Inputs'!$B$8))+MAX(B16-MIN(B16/$B$10,'Engine Inputs'!$B$9)*$B$10,0)*'Engine Inputs'!$B$10/2)*(1-$B$8))/$B$10,'Engine Inputs'!$B$9)/'Engine Inputs'!$B$8))+MAX((B16+(MIN(B16/$B$10,'Engine Inputs'!$B$9)*($B$9-'Engine Inputs'!$B$5-'Engine Inputs'!$B$6-2*'Engine Inputs'!$B$7*SQRT(MIN(B16/$B$10,'Engine Inputs'!$B$9)/'Engine Inputs'!$B$8))+MAX(B16-MIN(B16/$B$10,'Engine Inputs'!$B$9)*$B$10,0)*'Engine Inputs'!$B$10/2)*(1-$B$8))-MIN((B16+(MIN(B16/$B$10,'Engine Inputs'!$B$9)*($B$9-'Engine Inputs'!$B$5-'Engine Inputs'!$B$6-2*'Engine Inputs'!$B$7*SQRT(MIN(B16/$B$10,'Engine Inputs'!$B$9)/'Engine Inputs'!$B$8))+MAX(B16-MIN(B16/$B$10,'Engine Inputs'!$B$9)*$B$10,0)*'Engine Inputs'!$B$10/2)*(1-$B$8))/$B$10,'Engine Inputs'!$B$9)*$B$10,0)*'Engine Inputs'!$B$10/2)*(1-$B$8)-INDEX('Rebuilt Scenarios'!$C$11:$C$25,A17)*(1-$B$8)</f>
        <v>157389760.85499302</v>
      </c>
      <c r="C17" s="49">
        <f>IF(C16&lt;'Engine Inputs'!$B$11,(C16+(MIN(C16/$B$10,'Engine Inputs'!$B$9)*($B$9-'Engine Inputs'!$B$5-'Engine Inputs'!$B$6-2*'Engine Inputs'!$B$7*SQRT(MIN(C16/$B$10,'Engine Inputs'!$B$9)/'Engine Inputs'!$B$8))+MAX(C16-MIN(C16/$B$10,'Engine Inputs'!$B$9)*$B$10,0)*'Engine Inputs'!$B$10/2)*(1-$B$8))+(MIN((C16+(MIN(C16/$B$10,'Engine Inputs'!$B$9)*($B$9-'Engine Inputs'!$B$5-'Engine Inputs'!$B$6-2*'Engine Inputs'!$B$7*SQRT(MIN(C16/$B$10,'Engine Inputs'!$B$9)/'Engine Inputs'!$B$8))+MAX(C16-MIN(C16/$B$10,'Engine Inputs'!$B$9)*$B$10,0)*'Engine Inputs'!$B$10/2)*(1-$B$8))/$B$10,'Engine Inputs'!$B$9)*($B$9-'Engine Inputs'!$B$5-'Engine Inputs'!$B$6-2*'Engine Inputs'!$B$7*SQRT(MIN((C16+(MIN(C16/$B$10,'Engine Inputs'!$B$9)*($B$9-'Engine Inputs'!$B$5-'Engine Inputs'!$B$6-2*'Engine Inputs'!$B$7*SQRT(MIN(C16/$B$10,'Engine Inputs'!$B$9)/'Engine Inputs'!$B$8))+MAX(C16-MIN(C16/$B$10,'Engine Inputs'!$B$9)*$B$10,0)*'Engine Inputs'!$B$10/2)*(1-$B$8))/$B$10,'Engine Inputs'!$B$9)/'Engine Inputs'!$B$8))+MAX((C16+(MIN(C16/$B$10,'Engine Inputs'!$B$9)*($B$9-'Engine Inputs'!$B$5-'Engine Inputs'!$B$6-2*'Engine Inputs'!$B$7*SQRT(MIN(C16/$B$10,'Engine Inputs'!$B$9)/'Engine Inputs'!$B$8))+MAX(C16-MIN(C16/$B$10,'Engine Inputs'!$B$9)*$B$10,0)*'Engine Inputs'!$B$10/2)*(1-$B$8))-MIN((C16+(MIN(C16/$B$10,'Engine Inputs'!$B$9)*($B$9-'Engine Inputs'!$B$5-'Engine Inputs'!$B$6-2*'Engine Inputs'!$B$7*SQRT(MIN(C16/$B$10,'Engine Inputs'!$B$9)/'Engine Inputs'!$B$8))+MAX(C16-MIN(C16/$B$10,'Engine Inputs'!$B$9)*$B$10,0)*'Engine Inputs'!$B$10/2)*(1-$B$8))/$B$10,'Engine Inputs'!$B$9)*$B$10,0)*'Engine Inputs'!$B$10/2)*(1-$B$8)-INDEX('Rebuilt Scenarios'!$C$11:$C$25,A17)*(1-$B$8),C16+(($B$6*C16-$B$7)*(12/18))*(1-$B$8))</f>
        <v>157389760.85499302</v>
      </c>
      <c r="D17" s="49">
        <f>MIN((D16+(MIN(D16/$B$10,'Engine Inputs'!$B$9)*($B$9-'Engine Inputs'!$B$5-'Engine Inputs'!$B$6-2*'Engine Inputs'!$B$7*SQRT(MIN(D16/$B$10,'Engine Inputs'!$B$9)/'Engine Inputs'!$B$8))+MAX(D16-MIN(D16/$B$10,'Engine Inputs'!$B$9)*$B$10,0)*'Engine Inputs'!$B$10/2)*(1-$B$8))+(MIN((D16+(MIN(D16/$B$10,'Engine Inputs'!$B$9)*($B$9-'Engine Inputs'!$B$5-'Engine Inputs'!$B$6-2*'Engine Inputs'!$B$7*SQRT(MIN(D16/$B$10,'Engine Inputs'!$B$9)/'Engine Inputs'!$B$8))+MAX(D16-MIN(D16/$B$10,'Engine Inputs'!$B$9)*$B$10,0)*'Engine Inputs'!$B$10/2)*(1-$B$8))/$B$10,'Engine Inputs'!$B$9)*($B$9-'Engine Inputs'!$B$5-'Engine Inputs'!$B$6-2*'Engine Inputs'!$B$7*SQRT(MIN((D16+(MIN(D16/$B$10,'Engine Inputs'!$B$9)*($B$9-'Engine Inputs'!$B$5-'Engine Inputs'!$B$6-2*'Engine Inputs'!$B$7*SQRT(MIN(D16/$B$10,'Engine Inputs'!$B$9)/'Engine Inputs'!$B$8))+MAX(D16-MIN(D16/$B$10,'Engine Inputs'!$B$9)*$B$10,0)*'Engine Inputs'!$B$10/2)*(1-$B$8))/$B$10,'Engine Inputs'!$B$9)/'Engine Inputs'!$B$8))+MAX((D16+(MIN(D16/$B$10,'Engine Inputs'!$B$9)*($B$9-'Engine Inputs'!$B$5-'Engine Inputs'!$B$6-2*'Engine Inputs'!$B$7*SQRT(MIN(D16/$B$10,'Engine Inputs'!$B$9)/'Engine Inputs'!$B$8))+MAX(D16-MIN(D16/$B$10,'Engine Inputs'!$B$9)*$B$10,0)*'Engine Inputs'!$B$10/2)*(1-$B$8))-MIN((D16+(MIN(D16/$B$10,'Engine Inputs'!$B$9)*($B$9-'Engine Inputs'!$B$5-'Engine Inputs'!$B$6-2*'Engine Inputs'!$B$7*SQRT(MIN(D16/$B$10,'Engine Inputs'!$B$9)/'Engine Inputs'!$B$8))+MAX(D16-MIN(D16/$B$10,'Engine Inputs'!$B$9)*$B$10,0)*'Engine Inputs'!$B$10/2)*(1-$B$8))/$B$10,'Engine Inputs'!$B$9)*$B$10,0)*'Engine Inputs'!$B$10/2)*(1-$B$8)-INDEX('Rebuilt Scenarios'!$C$11:$C$25,A17)*(1-$B$8),$B$5)</f>
        <v>157389760.85499302</v>
      </c>
      <c r="E17" s="49">
        <f>IF(E16&gt;0,E16+(($B$6*E16-$B$7)*(12/18))*(1-$B$8),0)+MAX((D16+(MIN(D16/$B$10,'Engine Inputs'!$B$9)*($B$9-'Engine Inputs'!$B$5-'Engine Inputs'!$B$6-2*'Engine Inputs'!$B$7*SQRT(MIN(D16/$B$10,'Engine Inputs'!$B$9)/'Engine Inputs'!$B$8))+MAX(D16-MIN(D16/$B$10,'Engine Inputs'!$B$9)*$B$10,0)*'Engine Inputs'!$B$10/2)*(1-$B$8))+(MIN((D16+(MIN(D16/$B$10,'Engine Inputs'!$B$9)*($B$9-'Engine Inputs'!$B$5-'Engine Inputs'!$B$6-2*'Engine Inputs'!$B$7*SQRT(MIN(D16/$B$10,'Engine Inputs'!$B$9)/'Engine Inputs'!$B$8))+MAX(D16-MIN(D16/$B$10,'Engine Inputs'!$B$9)*$B$10,0)*'Engine Inputs'!$B$10/2)*(1-$B$8))/$B$10,'Engine Inputs'!$B$9)*($B$9-'Engine Inputs'!$B$5-'Engine Inputs'!$B$6-2*'Engine Inputs'!$B$7*SQRT(MIN((D16+(MIN(D16/$B$10,'Engine Inputs'!$B$9)*($B$9-'Engine Inputs'!$B$5-'Engine Inputs'!$B$6-2*'Engine Inputs'!$B$7*SQRT(MIN(D16/$B$10,'Engine Inputs'!$B$9)/'Engine Inputs'!$B$8))+MAX(D16-MIN(D16/$B$10,'Engine Inputs'!$B$9)*$B$10,0)*'Engine Inputs'!$B$10/2)*(1-$B$8))/$B$10,'Engine Inputs'!$B$9)/'Engine Inputs'!$B$8))+MAX((D16+(MIN(D16/$B$10,'Engine Inputs'!$B$9)*($B$9-'Engine Inputs'!$B$5-'Engine Inputs'!$B$6-2*'Engine Inputs'!$B$7*SQRT(MIN(D16/$B$10,'Engine Inputs'!$B$9)/'Engine Inputs'!$B$8))+MAX(D16-MIN(D16/$B$10,'Engine Inputs'!$B$9)*$B$10,0)*'Engine Inputs'!$B$10/2)*(1-$B$8))-MIN((D16+(MIN(D16/$B$10,'Engine Inputs'!$B$9)*($B$9-'Engine Inputs'!$B$5-'Engine Inputs'!$B$6-2*'Engine Inputs'!$B$7*SQRT(MIN(D16/$B$10,'Engine Inputs'!$B$9)/'Engine Inputs'!$B$8))+MAX(D16-MIN(D16/$B$10,'Engine Inputs'!$B$9)*$B$10,0)*'Engine Inputs'!$B$10/2)*(1-$B$8))/$B$10,'Engine Inputs'!$B$9)*$B$10,0)*'Engine Inputs'!$B$10/2)*(1-$B$8)-INDEX('Rebuilt Scenarios'!$C$11:$C$25,A17)*(1-$B$8)-$B$5,0)</f>
        <v>0</v>
      </c>
      <c r="F17" s="49">
        <f t="shared" si="0"/>
        <v>157389760.85499302</v>
      </c>
    </row>
    <row r="18" spans="1:6" ht="13.5" customHeight="1" x14ac:dyDescent="0.3">
      <c r="A18" s="13">
        <v>4</v>
      </c>
      <c r="B18" s="51">
        <f>(B17+(MIN(B17/$B$10,'Engine Inputs'!$B$9)*($B$9-'Engine Inputs'!$B$5-'Engine Inputs'!$B$6-2*'Engine Inputs'!$B$7*SQRT(MIN(B17/$B$10,'Engine Inputs'!$B$9)/'Engine Inputs'!$B$8))+MAX(B17-MIN(B17/$B$10,'Engine Inputs'!$B$9)*$B$10,0)*'Engine Inputs'!$B$10/2)*(1-$B$8))+(MIN((B17+(MIN(B17/$B$10,'Engine Inputs'!$B$9)*($B$9-'Engine Inputs'!$B$5-'Engine Inputs'!$B$6-2*'Engine Inputs'!$B$7*SQRT(MIN(B17/$B$10,'Engine Inputs'!$B$9)/'Engine Inputs'!$B$8))+MAX(B17-MIN(B17/$B$10,'Engine Inputs'!$B$9)*$B$10,0)*'Engine Inputs'!$B$10/2)*(1-$B$8))/$B$10,'Engine Inputs'!$B$9)*($B$9-'Engine Inputs'!$B$5-'Engine Inputs'!$B$6-2*'Engine Inputs'!$B$7*SQRT(MIN((B17+(MIN(B17/$B$10,'Engine Inputs'!$B$9)*($B$9-'Engine Inputs'!$B$5-'Engine Inputs'!$B$6-2*'Engine Inputs'!$B$7*SQRT(MIN(B17/$B$10,'Engine Inputs'!$B$9)/'Engine Inputs'!$B$8))+MAX(B17-MIN(B17/$B$10,'Engine Inputs'!$B$9)*$B$10,0)*'Engine Inputs'!$B$10/2)*(1-$B$8))/$B$10,'Engine Inputs'!$B$9)/'Engine Inputs'!$B$8))+MAX((B17+(MIN(B17/$B$10,'Engine Inputs'!$B$9)*($B$9-'Engine Inputs'!$B$5-'Engine Inputs'!$B$6-2*'Engine Inputs'!$B$7*SQRT(MIN(B17/$B$10,'Engine Inputs'!$B$9)/'Engine Inputs'!$B$8))+MAX(B17-MIN(B17/$B$10,'Engine Inputs'!$B$9)*$B$10,0)*'Engine Inputs'!$B$10/2)*(1-$B$8))-MIN((B17+(MIN(B17/$B$10,'Engine Inputs'!$B$9)*($B$9-'Engine Inputs'!$B$5-'Engine Inputs'!$B$6-2*'Engine Inputs'!$B$7*SQRT(MIN(B17/$B$10,'Engine Inputs'!$B$9)/'Engine Inputs'!$B$8))+MAX(B17-MIN(B17/$B$10,'Engine Inputs'!$B$9)*$B$10,0)*'Engine Inputs'!$B$10/2)*(1-$B$8))/$B$10,'Engine Inputs'!$B$9)*$B$10,0)*'Engine Inputs'!$B$10/2)*(1-$B$8)-INDEX('Rebuilt Scenarios'!$C$11:$C$25,A18)*(1-$B$8)</f>
        <v>427815064.07677126</v>
      </c>
      <c r="C18" s="51">
        <f>IF(C17&lt;'Engine Inputs'!$B$11,(C17+(MIN(C17/$B$10,'Engine Inputs'!$B$9)*($B$9-'Engine Inputs'!$B$5-'Engine Inputs'!$B$6-2*'Engine Inputs'!$B$7*SQRT(MIN(C17/$B$10,'Engine Inputs'!$B$9)/'Engine Inputs'!$B$8))+MAX(C17-MIN(C17/$B$10,'Engine Inputs'!$B$9)*$B$10,0)*'Engine Inputs'!$B$10/2)*(1-$B$8))+(MIN((C17+(MIN(C17/$B$10,'Engine Inputs'!$B$9)*($B$9-'Engine Inputs'!$B$5-'Engine Inputs'!$B$6-2*'Engine Inputs'!$B$7*SQRT(MIN(C17/$B$10,'Engine Inputs'!$B$9)/'Engine Inputs'!$B$8))+MAX(C17-MIN(C17/$B$10,'Engine Inputs'!$B$9)*$B$10,0)*'Engine Inputs'!$B$10/2)*(1-$B$8))/$B$10,'Engine Inputs'!$B$9)*($B$9-'Engine Inputs'!$B$5-'Engine Inputs'!$B$6-2*'Engine Inputs'!$B$7*SQRT(MIN((C17+(MIN(C17/$B$10,'Engine Inputs'!$B$9)*($B$9-'Engine Inputs'!$B$5-'Engine Inputs'!$B$6-2*'Engine Inputs'!$B$7*SQRT(MIN(C17/$B$10,'Engine Inputs'!$B$9)/'Engine Inputs'!$B$8))+MAX(C17-MIN(C17/$B$10,'Engine Inputs'!$B$9)*$B$10,0)*'Engine Inputs'!$B$10/2)*(1-$B$8))/$B$10,'Engine Inputs'!$B$9)/'Engine Inputs'!$B$8))+MAX((C17+(MIN(C17/$B$10,'Engine Inputs'!$B$9)*($B$9-'Engine Inputs'!$B$5-'Engine Inputs'!$B$6-2*'Engine Inputs'!$B$7*SQRT(MIN(C17/$B$10,'Engine Inputs'!$B$9)/'Engine Inputs'!$B$8))+MAX(C17-MIN(C17/$B$10,'Engine Inputs'!$B$9)*$B$10,0)*'Engine Inputs'!$B$10/2)*(1-$B$8))-MIN((C17+(MIN(C17/$B$10,'Engine Inputs'!$B$9)*($B$9-'Engine Inputs'!$B$5-'Engine Inputs'!$B$6-2*'Engine Inputs'!$B$7*SQRT(MIN(C17/$B$10,'Engine Inputs'!$B$9)/'Engine Inputs'!$B$8))+MAX(C17-MIN(C17/$B$10,'Engine Inputs'!$B$9)*$B$10,0)*'Engine Inputs'!$B$10/2)*(1-$B$8))/$B$10,'Engine Inputs'!$B$9)*$B$10,0)*'Engine Inputs'!$B$10/2)*(1-$B$8)-INDEX('Rebuilt Scenarios'!$C$11:$C$25,A18)*(1-$B$8),C17+(($B$6*C17-$B$7)*(12/18))*(1-$B$8))</f>
        <v>427815064.07677126</v>
      </c>
      <c r="D18" s="51">
        <f>MIN((D17+(MIN(D17/$B$10,'Engine Inputs'!$B$9)*($B$9-'Engine Inputs'!$B$5-'Engine Inputs'!$B$6-2*'Engine Inputs'!$B$7*SQRT(MIN(D17/$B$10,'Engine Inputs'!$B$9)/'Engine Inputs'!$B$8))+MAX(D17-MIN(D17/$B$10,'Engine Inputs'!$B$9)*$B$10,0)*'Engine Inputs'!$B$10/2)*(1-$B$8))+(MIN((D17+(MIN(D17/$B$10,'Engine Inputs'!$B$9)*($B$9-'Engine Inputs'!$B$5-'Engine Inputs'!$B$6-2*'Engine Inputs'!$B$7*SQRT(MIN(D17/$B$10,'Engine Inputs'!$B$9)/'Engine Inputs'!$B$8))+MAX(D17-MIN(D17/$B$10,'Engine Inputs'!$B$9)*$B$10,0)*'Engine Inputs'!$B$10/2)*(1-$B$8))/$B$10,'Engine Inputs'!$B$9)*($B$9-'Engine Inputs'!$B$5-'Engine Inputs'!$B$6-2*'Engine Inputs'!$B$7*SQRT(MIN((D17+(MIN(D17/$B$10,'Engine Inputs'!$B$9)*($B$9-'Engine Inputs'!$B$5-'Engine Inputs'!$B$6-2*'Engine Inputs'!$B$7*SQRT(MIN(D17/$B$10,'Engine Inputs'!$B$9)/'Engine Inputs'!$B$8))+MAX(D17-MIN(D17/$B$10,'Engine Inputs'!$B$9)*$B$10,0)*'Engine Inputs'!$B$10/2)*(1-$B$8))/$B$10,'Engine Inputs'!$B$9)/'Engine Inputs'!$B$8))+MAX((D17+(MIN(D17/$B$10,'Engine Inputs'!$B$9)*($B$9-'Engine Inputs'!$B$5-'Engine Inputs'!$B$6-2*'Engine Inputs'!$B$7*SQRT(MIN(D17/$B$10,'Engine Inputs'!$B$9)/'Engine Inputs'!$B$8))+MAX(D17-MIN(D17/$B$10,'Engine Inputs'!$B$9)*$B$10,0)*'Engine Inputs'!$B$10/2)*(1-$B$8))-MIN((D17+(MIN(D17/$B$10,'Engine Inputs'!$B$9)*($B$9-'Engine Inputs'!$B$5-'Engine Inputs'!$B$6-2*'Engine Inputs'!$B$7*SQRT(MIN(D17/$B$10,'Engine Inputs'!$B$9)/'Engine Inputs'!$B$8))+MAX(D17-MIN(D17/$B$10,'Engine Inputs'!$B$9)*$B$10,0)*'Engine Inputs'!$B$10/2)*(1-$B$8))/$B$10,'Engine Inputs'!$B$9)*$B$10,0)*'Engine Inputs'!$B$10/2)*(1-$B$8)-INDEX('Rebuilt Scenarios'!$C$11:$C$25,A18)*(1-$B$8),$B$5)</f>
        <v>427815064.07677126</v>
      </c>
      <c r="E18" s="51">
        <f>IF(E17&gt;0,E17+(($B$6*E17-$B$7)*(12/18))*(1-$B$8),0)+MAX((D17+(MIN(D17/$B$10,'Engine Inputs'!$B$9)*($B$9-'Engine Inputs'!$B$5-'Engine Inputs'!$B$6-2*'Engine Inputs'!$B$7*SQRT(MIN(D17/$B$10,'Engine Inputs'!$B$9)/'Engine Inputs'!$B$8))+MAX(D17-MIN(D17/$B$10,'Engine Inputs'!$B$9)*$B$10,0)*'Engine Inputs'!$B$10/2)*(1-$B$8))+(MIN((D17+(MIN(D17/$B$10,'Engine Inputs'!$B$9)*($B$9-'Engine Inputs'!$B$5-'Engine Inputs'!$B$6-2*'Engine Inputs'!$B$7*SQRT(MIN(D17/$B$10,'Engine Inputs'!$B$9)/'Engine Inputs'!$B$8))+MAX(D17-MIN(D17/$B$10,'Engine Inputs'!$B$9)*$B$10,0)*'Engine Inputs'!$B$10/2)*(1-$B$8))/$B$10,'Engine Inputs'!$B$9)*($B$9-'Engine Inputs'!$B$5-'Engine Inputs'!$B$6-2*'Engine Inputs'!$B$7*SQRT(MIN((D17+(MIN(D17/$B$10,'Engine Inputs'!$B$9)*($B$9-'Engine Inputs'!$B$5-'Engine Inputs'!$B$6-2*'Engine Inputs'!$B$7*SQRT(MIN(D17/$B$10,'Engine Inputs'!$B$9)/'Engine Inputs'!$B$8))+MAX(D17-MIN(D17/$B$10,'Engine Inputs'!$B$9)*$B$10,0)*'Engine Inputs'!$B$10/2)*(1-$B$8))/$B$10,'Engine Inputs'!$B$9)/'Engine Inputs'!$B$8))+MAX((D17+(MIN(D17/$B$10,'Engine Inputs'!$B$9)*($B$9-'Engine Inputs'!$B$5-'Engine Inputs'!$B$6-2*'Engine Inputs'!$B$7*SQRT(MIN(D17/$B$10,'Engine Inputs'!$B$9)/'Engine Inputs'!$B$8))+MAX(D17-MIN(D17/$B$10,'Engine Inputs'!$B$9)*$B$10,0)*'Engine Inputs'!$B$10/2)*(1-$B$8))-MIN((D17+(MIN(D17/$B$10,'Engine Inputs'!$B$9)*($B$9-'Engine Inputs'!$B$5-'Engine Inputs'!$B$6-2*'Engine Inputs'!$B$7*SQRT(MIN(D17/$B$10,'Engine Inputs'!$B$9)/'Engine Inputs'!$B$8))+MAX(D17-MIN(D17/$B$10,'Engine Inputs'!$B$9)*$B$10,0)*'Engine Inputs'!$B$10/2)*(1-$B$8))/$B$10,'Engine Inputs'!$B$9)*$B$10,0)*'Engine Inputs'!$B$10/2)*(1-$B$8)-INDEX('Rebuilt Scenarios'!$C$11:$C$25,A18)*(1-$B$8)-$B$5,0)</f>
        <v>0</v>
      </c>
      <c r="F18" s="51">
        <f t="shared" si="0"/>
        <v>427815064.07677126</v>
      </c>
    </row>
    <row r="19" spans="1:6" ht="13.5" customHeight="1" x14ac:dyDescent="0.3">
      <c r="A19" s="10">
        <v>5</v>
      </c>
      <c r="B19" s="52">
        <f>(B18+(MIN(B18/$B$10,'Engine Inputs'!$B$9)*($B$9-'Engine Inputs'!$B$5-'Engine Inputs'!$B$6-2*'Engine Inputs'!$B$7*SQRT(MIN(B18/$B$10,'Engine Inputs'!$B$9)/'Engine Inputs'!$B$8))+MAX(B18-MIN(B18/$B$10,'Engine Inputs'!$B$9)*$B$10,0)*'Engine Inputs'!$B$10/2)*(1-$B$8))+(MIN((B18+(MIN(B18/$B$10,'Engine Inputs'!$B$9)*($B$9-'Engine Inputs'!$B$5-'Engine Inputs'!$B$6-2*'Engine Inputs'!$B$7*SQRT(MIN(B18/$B$10,'Engine Inputs'!$B$9)/'Engine Inputs'!$B$8))+MAX(B18-MIN(B18/$B$10,'Engine Inputs'!$B$9)*$B$10,0)*'Engine Inputs'!$B$10/2)*(1-$B$8))/$B$10,'Engine Inputs'!$B$9)*($B$9-'Engine Inputs'!$B$5-'Engine Inputs'!$B$6-2*'Engine Inputs'!$B$7*SQRT(MIN((B18+(MIN(B18/$B$10,'Engine Inputs'!$B$9)*($B$9-'Engine Inputs'!$B$5-'Engine Inputs'!$B$6-2*'Engine Inputs'!$B$7*SQRT(MIN(B18/$B$10,'Engine Inputs'!$B$9)/'Engine Inputs'!$B$8))+MAX(B18-MIN(B18/$B$10,'Engine Inputs'!$B$9)*$B$10,0)*'Engine Inputs'!$B$10/2)*(1-$B$8))/$B$10,'Engine Inputs'!$B$9)/'Engine Inputs'!$B$8))+MAX((B18+(MIN(B18/$B$10,'Engine Inputs'!$B$9)*($B$9-'Engine Inputs'!$B$5-'Engine Inputs'!$B$6-2*'Engine Inputs'!$B$7*SQRT(MIN(B18/$B$10,'Engine Inputs'!$B$9)/'Engine Inputs'!$B$8))+MAX(B18-MIN(B18/$B$10,'Engine Inputs'!$B$9)*$B$10,0)*'Engine Inputs'!$B$10/2)*(1-$B$8))-MIN((B18+(MIN(B18/$B$10,'Engine Inputs'!$B$9)*($B$9-'Engine Inputs'!$B$5-'Engine Inputs'!$B$6-2*'Engine Inputs'!$B$7*SQRT(MIN(B18/$B$10,'Engine Inputs'!$B$9)/'Engine Inputs'!$B$8))+MAX(B18-MIN(B18/$B$10,'Engine Inputs'!$B$9)*$B$10,0)*'Engine Inputs'!$B$10/2)*(1-$B$8))/$B$10,'Engine Inputs'!$B$9)*$B$10,0)*'Engine Inputs'!$B$10/2)*(1-$B$8)-INDEX('Rebuilt Scenarios'!$C$11:$C$25,A19)*(1-$B$8)</f>
        <v>1143310477.2665029</v>
      </c>
      <c r="C19" s="49">
        <f>IF(C18&lt;'Engine Inputs'!$B$11,(C18+(MIN(C18/$B$10,'Engine Inputs'!$B$9)*($B$9-'Engine Inputs'!$B$5-'Engine Inputs'!$B$6-2*'Engine Inputs'!$B$7*SQRT(MIN(C18/$B$10,'Engine Inputs'!$B$9)/'Engine Inputs'!$B$8))+MAX(C18-MIN(C18/$B$10,'Engine Inputs'!$B$9)*$B$10,0)*'Engine Inputs'!$B$10/2)*(1-$B$8))+(MIN((C18+(MIN(C18/$B$10,'Engine Inputs'!$B$9)*($B$9-'Engine Inputs'!$B$5-'Engine Inputs'!$B$6-2*'Engine Inputs'!$B$7*SQRT(MIN(C18/$B$10,'Engine Inputs'!$B$9)/'Engine Inputs'!$B$8))+MAX(C18-MIN(C18/$B$10,'Engine Inputs'!$B$9)*$B$10,0)*'Engine Inputs'!$B$10/2)*(1-$B$8))/$B$10,'Engine Inputs'!$B$9)*($B$9-'Engine Inputs'!$B$5-'Engine Inputs'!$B$6-2*'Engine Inputs'!$B$7*SQRT(MIN((C18+(MIN(C18/$B$10,'Engine Inputs'!$B$9)*($B$9-'Engine Inputs'!$B$5-'Engine Inputs'!$B$6-2*'Engine Inputs'!$B$7*SQRT(MIN(C18/$B$10,'Engine Inputs'!$B$9)/'Engine Inputs'!$B$8))+MAX(C18-MIN(C18/$B$10,'Engine Inputs'!$B$9)*$B$10,0)*'Engine Inputs'!$B$10/2)*(1-$B$8))/$B$10,'Engine Inputs'!$B$9)/'Engine Inputs'!$B$8))+MAX((C18+(MIN(C18/$B$10,'Engine Inputs'!$B$9)*($B$9-'Engine Inputs'!$B$5-'Engine Inputs'!$B$6-2*'Engine Inputs'!$B$7*SQRT(MIN(C18/$B$10,'Engine Inputs'!$B$9)/'Engine Inputs'!$B$8))+MAX(C18-MIN(C18/$B$10,'Engine Inputs'!$B$9)*$B$10,0)*'Engine Inputs'!$B$10/2)*(1-$B$8))-MIN((C18+(MIN(C18/$B$10,'Engine Inputs'!$B$9)*($B$9-'Engine Inputs'!$B$5-'Engine Inputs'!$B$6-2*'Engine Inputs'!$B$7*SQRT(MIN(C18/$B$10,'Engine Inputs'!$B$9)/'Engine Inputs'!$B$8))+MAX(C18-MIN(C18/$B$10,'Engine Inputs'!$B$9)*$B$10,0)*'Engine Inputs'!$B$10/2)*(1-$B$8))/$B$10,'Engine Inputs'!$B$9)*$B$10,0)*'Engine Inputs'!$B$10/2)*(1-$B$8)-INDEX('Rebuilt Scenarios'!$C$11:$C$25,A19)*(1-$B$8),C18+(($B$6*C18-$B$7)*(12/18))*(1-$B$8))</f>
        <v>585391948.45173597</v>
      </c>
      <c r="D19" s="52">
        <f>MIN((D18+(MIN(D18/$B$10,'Engine Inputs'!$B$9)*($B$9-'Engine Inputs'!$B$5-'Engine Inputs'!$B$6-2*'Engine Inputs'!$B$7*SQRT(MIN(D18/$B$10,'Engine Inputs'!$B$9)/'Engine Inputs'!$B$8))+MAX(D18-MIN(D18/$B$10,'Engine Inputs'!$B$9)*$B$10,0)*'Engine Inputs'!$B$10/2)*(1-$B$8))+(MIN((D18+(MIN(D18/$B$10,'Engine Inputs'!$B$9)*($B$9-'Engine Inputs'!$B$5-'Engine Inputs'!$B$6-2*'Engine Inputs'!$B$7*SQRT(MIN(D18/$B$10,'Engine Inputs'!$B$9)/'Engine Inputs'!$B$8))+MAX(D18-MIN(D18/$B$10,'Engine Inputs'!$B$9)*$B$10,0)*'Engine Inputs'!$B$10/2)*(1-$B$8))/$B$10,'Engine Inputs'!$B$9)*($B$9-'Engine Inputs'!$B$5-'Engine Inputs'!$B$6-2*'Engine Inputs'!$B$7*SQRT(MIN((D18+(MIN(D18/$B$10,'Engine Inputs'!$B$9)*($B$9-'Engine Inputs'!$B$5-'Engine Inputs'!$B$6-2*'Engine Inputs'!$B$7*SQRT(MIN(D18/$B$10,'Engine Inputs'!$B$9)/'Engine Inputs'!$B$8))+MAX(D18-MIN(D18/$B$10,'Engine Inputs'!$B$9)*$B$10,0)*'Engine Inputs'!$B$10/2)*(1-$B$8))/$B$10,'Engine Inputs'!$B$9)/'Engine Inputs'!$B$8))+MAX((D18+(MIN(D18/$B$10,'Engine Inputs'!$B$9)*($B$9-'Engine Inputs'!$B$5-'Engine Inputs'!$B$6-2*'Engine Inputs'!$B$7*SQRT(MIN(D18/$B$10,'Engine Inputs'!$B$9)/'Engine Inputs'!$B$8))+MAX(D18-MIN(D18/$B$10,'Engine Inputs'!$B$9)*$B$10,0)*'Engine Inputs'!$B$10/2)*(1-$B$8))-MIN((D18+(MIN(D18/$B$10,'Engine Inputs'!$B$9)*($B$9-'Engine Inputs'!$B$5-'Engine Inputs'!$B$6-2*'Engine Inputs'!$B$7*SQRT(MIN(D18/$B$10,'Engine Inputs'!$B$9)/'Engine Inputs'!$B$8))+MAX(D18-MIN(D18/$B$10,'Engine Inputs'!$B$9)*$B$10,0)*'Engine Inputs'!$B$10/2)*(1-$B$8))/$B$10,'Engine Inputs'!$B$9)*$B$10,0)*'Engine Inputs'!$B$10/2)*(1-$B$8)-INDEX('Rebuilt Scenarios'!$C$11:$C$25,A19)*(1-$B$8),$B$5)</f>
        <v>1000000000</v>
      </c>
      <c r="E19" s="49">
        <f>IF(E18&gt;0,E18+(($B$6*E18-$B$7)*(12/18))*(1-$B$8),0)+MAX((D18+(MIN(D18/$B$10,'Engine Inputs'!$B$9)*($B$9-'Engine Inputs'!$B$5-'Engine Inputs'!$B$6-2*'Engine Inputs'!$B$7*SQRT(MIN(D18/$B$10,'Engine Inputs'!$B$9)/'Engine Inputs'!$B$8))+MAX(D18-MIN(D18/$B$10,'Engine Inputs'!$B$9)*$B$10,0)*'Engine Inputs'!$B$10/2)*(1-$B$8))+(MIN((D18+(MIN(D18/$B$10,'Engine Inputs'!$B$9)*($B$9-'Engine Inputs'!$B$5-'Engine Inputs'!$B$6-2*'Engine Inputs'!$B$7*SQRT(MIN(D18/$B$10,'Engine Inputs'!$B$9)/'Engine Inputs'!$B$8))+MAX(D18-MIN(D18/$B$10,'Engine Inputs'!$B$9)*$B$10,0)*'Engine Inputs'!$B$10/2)*(1-$B$8))/$B$10,'Engine Inputs'!$B$9)*($B$9-'Engine Inputs'!$B$5-'Engine Inputs'!$B$6-2*'Engine Inputs'!$B$7*SQRT(MIN((D18+(MIN(D18/$B$10,'Engine Inputs'!$B$9)*($B$9-'Engine Inputs'!$B$5-'Engine Inputs'!$B$6-2*'Engine Inputs'!$B$7*SQRT(MIN(D18/$B$10,'Engine Inputs'!$B$9)/'Engine Inputs'!$B$8))+MAX(D18-MIN(D18/$B$10,'Engine Inputs'!$B$9)*$B$10,0)*'Engine Inputs'!$B$10/2)*(1-$B$8))/$B$10,'Engine Inputs'!$B$9)/'Engine Inputs'!$B$8))+MAX((D18+(MIN(D18/$B$10,'Engine Inputs'!$B$9)*($B$9-'Engine Inputs'!$B$5-'Engine Inputs'!$B$6-2*'Engine Inputs'!$B$7*SQRT(MIN(D18/$B$10,'Engine Inputs'!$B$9)/'Engine Inputs'!$B$8))+MAX(D18-MIN(D18/$B$10,'Engine Inputs'!$B$9)*$B$10,0)*'Engine Inputs'!$B$10/2)*(1-$B$8))-MIN((D18+(MIN(D18/$B$10,'Engine Inputs'!$B$9)*($B$9-'Engine Inputs'!$B$5-'Engine Inputs'!$B$6-2*'Engine Inputs'!$B$7*SQRT(MIN(D18/$B$10,'Engine Inputs'!$B$9)/'Engine Inputs'!$B$8))+MAX(D18-MIN(D18/$B$10,'Engine Inputs'!$B$9)*$B$10,0)*'Engine Inputs'!$B$10/2)*(1-$B$8))/$B$10,'Engine Inputs'!$B$9)*$B$10,0)*'Engine Inputs'!$B$10/2)*(1-$B$8)-INDEX('Rebuilt Scenarios'!$C$11:$C$25,A19)*(1-$B$8)-$B$5,0)</f>
        <v>143310477.26650286</v>
      </c>
      <c r="F19" s="52">
        <f t="shared" si="0"/>
        <v>1143310477.2665029</v>
      </c>
    </row>
    <row r="20" spans="1:6" ht="13.5" customHeight="1" x14ac:dyDescent="0.3">
      <c r="A20" s="13">
        <v>6</v>
      </c>
      <c r="B20" s="53">
        <f>(B19+(MIN(B19/$B$10,'Engine Inputs'!$B$9)*($B$9-'Engine Inputs'!$B$5-'Engine Inputs'!$B$6-2*'Engine Inputs'!$B$7*SQRT(MIN(B19/$B$10,'Engine Inputs'!$B$9)/'Engine Inputs'!$B$8))+MAX(B19-MIN(B19/$B$10,'Engine Inputs'!$B$9)*$B$10,0)*'Engine Inputs'!$B$10/2)*(1-$B$8))+(MIN((B19+(MIN(B19/$B$10,'Engine Inputs'!$B$9)*($B$9-'Engine Inputs'!$B$5-'Engine Inputs'!$B$6-2*'Engine Inputs'!$B$7*SQRT(MIN(B19/$B$10,'Engine Inputs'!$B$9)/'Engine Inputs'!$B$8))+MAX(B19-MIN(B19/$B$10,'Engine Inputs'!$B$9)*$B$10,0)*'Engine Inputs'!$B$10/2)*(1-$B$8))/$B$10,'Engine Inputs'!$B$9)*($B$9-'Engine Inputs'!$B$5-'Engine Inputs'!$B$6-2*'Engine Inputs'!$B$7*SQRT(MIN((B19+(MIN(B19/$B$10,'Engine Inputs'!$B$9)*($B$9-'Engine Inputs'!$B$5-'Engine Inputs'!$B$6-2*'Engine Inputs'!$B$7*SQRT(MIN(B19/$B$10,'Engine Inputs'!$B$9)/'Engine Inputs'!$B$8))+MAX(B19-MIN(B19/$B$10,'Engine Inputs'!$B$9)*$B$10,0)*'Engine Inputs'!$B$10/2)*(1-$B$8))/$B$10,'Engine Inputs'!$B$9)/'Engine Inputs'!$B$8))+MAX((B19+(MIN(B19/$B$10,'Engine Inputs'!$B$9)*($B$9-'Engine Inputs'!$B$5-'Engine Inputs'!$B$6-2*'Engine Inputs'!$B$7*SQRT(MIN(B19/$B$10,'Engine Inputs'!$B$9)/'Engine Inputs'!$B$8))+MAX(B19-MIN(B19/$B$10,'Engine Inputs'!$B$9)*$B$10,0)*'Engine Inputs'!$B$10/2)*(1-$B$8))-MIN((B19+(MIN(B19/$B$10,'Engine Inputs'!$B$9)*($B$9-'Engine Inputs'!$B$5-'Engine Inputs'!$B$6-2*'Engine Inputs'!$B$7*SQRT(MIN(B19/$B$10,'Engine Inputs'!$B$9)/'Engine Inputs'!$B$8))+MAX(B19-MIN(B19/$B$10,'Engine Inputs'!$B$9)*$B$10,0)*'Engine Inputs'!$B$10/2)*(1-$B$8))/$B$10,'Engine Inputs'!$B$9)*$B$10,0)*'Engine Inputs'!$B$10/2)*(1-$B$8)-INDEX('Rebuilt Scenarios'!$C$11:$C$25,A20)*(1-$B$8)</f>
        <v>2446623881.4886889</v>
      </c>
      <c r="C20" s="51">
        <f>IF(C19&lt;'Engine Inputs'!$B$11,(C19+(MIN(C19/$B$10,'Engine Inputs'!$B$9)*($B$9-'Engine Inputs'!$B$5-'Engine Inputs'!$B$6-2*'Engine Inputs'!$B$7*SQRT(MIN(C19/$B$10,'Engine Inputs'!$B$9)/'Engine Inputs'!$B$8))+MAX(C19-MIN(C19/$B$10,'Engine Inputs'!$B$9)*$B$10,0)*'Engine Inputs'!$B$10/2)*(1-$B$8))+(MIN((C19+(MIN(C19/$B$10,'Engine Inputs'!$B$9)*($B$9-'Engine Inputs'!$B$5-'Engine Inputs'!$B$6-2*'Engine Inputs'!$B$7*SQRT(MIN(C19/$B$10,'Engine Inputs'!$B$9)/'Engine Inputs'!$B$8))+MAX(C19-MIN(C19/$B$10,'Engine Inputs'!$B$9)*$B$10,0)*'Engine Inputs'!$B$10/2)*(1-$B$8))/$B$10,'Engine Inputs'!$B$9)*($B$9-'Engine Inputs'!$B$5-'Engine Inputs'!$B$6-2*'Engine Inputs'!$B$7*SQRT(MIN((C19+(MIN(C19/$B$10,'Engine Inputs'!$B$9)*($B$9-'Engine Inputs'!$B$5-'Engine Inputs'!$B$6-2*'Engine Inputs'!$B$7*SQRT(MIN(C19/$B$10,'Engine Inputs'!$B$9)/'Engine Inputs'!$B$8))+MAX(C19-MIN(C19/$B$10,'Engine Inputs'!$B$9)*$B$10,0)*'Engine Inputs'!$B$10/2)*(1-$B$8))/$B$10,'Engine Inputs'!$B$9)/'Engine Inputs'!$B$8))+MAX((C19+(MIN(C19/$B$10,'Engine Inputs'!$B$9)*($B$9-'Engine Inputs'!$B$5-'Engine Inputs'!$B$6-2*'Engine Inputs'!$B$7*SQRT(MIN(C19/$B$10,'Engine Inputs'!$B$9)/'Engine Inputs'!$B$8))+MAX(C19-MIN(C19/$B$10,'Engine Inputs'!$B$9)*$B$10,0)*'Engine Inputs'!$B$10/2)*(1-$B$8))-MIN((C19+(MIN(C19/$B$10,'Engine Inputs'!$B$9)*($B$9-'Engine Inputs'!$B$5-'Engine Inputs'!$B$6-2*'Engine Inputs'!$B$7*SQRT(MIN(C19/$B$10,'Engine Inputs'!$B$9)/'Engine Inputs'!$B$8))+MAX(C19-MIN(C19/$B$10,'Engine Inputs'!$B$9)*$B$10,0)*'Engine Inputs'!$B$10/2)*(1-$B$8))/$B$10,'Engine Inputs'!$B$9)*$B$10,0)*'Engine Inputs'!$B$10/2)*(1-$B$8)-INDEX('Rebuilt Scenarios'!$C$11:$C$25,A20)*(1-$B$8),C19+(($B$6*C19-$B$7)*(12/18))*(1-$B$8))</f>
        <v>801927799.88443744</v>
      </c>
      <c r="D20" s="53">
        <f>MIN((D19+(MIN(D19/$B$10,'Engine Inputs'!$B$9)*($B$9-'Engine Inputs'!$B$5-'Engine Inputs'!$B$6-2*'Engine Inputs'!$B$7*SQRT(MIN(D19/$B$10,'Engine Inputs'!$B$9)/'Engine Inputs'!$B$8))+MAX(D19-MIN(D19/$B$10,'Engine Inputs'!$B$9)*$B$10,0)*'Engine Inputs'!$B$10/2)*(1-$B$8))+(MIN((D19+(MIN(D19/$B$10,'Engine Inputs'!$B$9)*($B$9-'Engine Inputs'!$B$5-'Engine Inputs'!$B$6-2*'Engine Inputs'!$B$7*SQRT(MIN(D19/$B$10,'Engine Inputs'!$B$9)/'Engine Inputs'!$B$8))+MAX(D19-MIN(D19/$B$10,'Engine Inputs'!$B$9)*$B$10,0)*'Engine Inputs'!$B$10/2)*(1-$B$8))/$B$10,'Engine Inputs'!$B$9)*($B$9-'Engine Inputs'!$B$5-'Engine Inputs'!$B$6-2*'Engine Inputs'!$B$7*SQRT(MIN((D19+(MIN(D19/$B$10,'Engine Inputs'!$B$9)*($B$9-'Engine Inputs'!$B$5-'Engine Inputs'!$B$6-2*'Engine Inputs'!$B$7*SQRT(MIN(D19/$B$10,'Engine Inputs'!$B$9)/'Engine Inputs'!$B$8))+MAX(D19-MIN(D19/$B$10,'Engine Inputs'!$B$9)*$B$10,0)*'Engine Inputs'!$B$10/2)*(1-$B$8))/$B$10,'Engine Inputs'!$B$9)/'Engine Inputs'!$B$8))+MAX((D19+(MIN(D19/$B$10,'Engine Inputs'!$B$9)*($B$9-'Engine Inputs'!$B$5-'Engine Inputs'!$B$6-2*'Engine Inputs'!$B$7*SQRT(MIN(D19/$B$10,'Engine Inputs'!$B$9)/'Engine Inputs'!$B$8))+MAX(D19-MIN(D19/$B$10,'Engine Inputs'!$B$9)*$B$10,0)*'Engine Inputs'!$B$10/2)*(1-$B$8))-MIN((D19+(MIN(D19/$B$10,'Engine Inputs'!$B$9)*($B$9-'Engine Inputs'!$B$5-'Engine Inputs'!$B$6-2*'Engine Inputs'!$B$7*SQRT(MIN(D19/$B$10,'Engine Inputs'!$B$9)/'Engine Inputs'!$B$8))+MAX(D19-MIN(D19/$B$10,'Engine Inputs'!$B$9)*$B$10,0)*'Engine Inputs'!$B$10/2)*(1-$B$8))/$B$10,'Engine Inputs'!$B$9)*$B$10,0)*'Engine Inputs'!$B$10/2)*(1-$B$8)-INDEX('Rebuilt Scenarios'!$C$11:$C$25,A20)*(1-$B$8),$B$5)</f>
        <v>1000000000</v>
      </c>
      <c r="E20" s="53">
        <f>IF(E19&gt;0,E19+(($B$6*E19-$B$7)*(12/18))*(1-$B$8),0)+MAX((D19+(MIN(D19/$B$10,'Engine Inputs'!$B$9)*($B$9-'Engine Inputs'!$B$5-'Engine Inputs'!$B$6-2*'Engine Inputs'!$B$7*SQRT(MIN(D19/$B$10,'Engine Inputs'!$B$9)/'Engine Inputs'!$B$8))+MAX(D19-MIN(D19/$B$10,'Engine Inputs'!$B$9)*$B$10,0)*'Engine Inputs'!$B$10/2)*(1-$B$8))+(MIN((D19+(MIN(D19/$B$10,'Engine Inputs'!$B$9)*($B$9-'Engine Inputs'!$B$5-'Engine Inputs'!$B$6-2*'Engine Inputs'!$B$7*SQRT(MIN(D19/$B$10,'Engine Inputs'!$B$9)/'Engine Inputs'!$B$8))+MAX(D19-MIN(D19/$B$10,'Engine Inputs'!$B$9)*$B$10,0)*'Engine Inputs'!$B$10/2)*(1-$B$8))/$B$10,'Engine Inputs'!$B$9)*($B$9-'Engine Inputs'!$B$5-'Engine Inputs'!$B$6-2*'Engine Inputs'!$B$7*SQRT(MIN((D19+(MIN(D19/$B$10,'Engine Inputs'!$B$9)*($B$9-'Engine Inputs'!$B$5-'Engine Inputs'!$B$6-2*'Engine Inputs'!$B$7*SQRT(MIN(D19/$B$10,'Engine Inputs'!$B$9)/'Engine Inputs'!$B$8))+MAX(D19-MIN(D19/$B$10,'Engine Inputs'!$B$9)*$B$10,0)*'Engine Inputs'!$B$10/2)*(1-$B$8))/$B$10,'Engine Inputs'!$B$9)/'Engine Inputs'!$B$8))+MAX((D19+(MIN(D19/$B$10,'Engine Inputs'!$B$9)*($B$9-'Engine Inputs'!$B$5-'Engine Inputs'!$B$6-2*'Engine Inputs'!$B$7*SQRT(MIN(D19/$B$10,'Engine Inputs'!$B$9)/'Engine Inputs'!$B$8))+MAX(D19-MIN(D19/$B$10,'Engine Inputs'!$B$9)*$B$10,0)*'Engine Inputs'!$B$10/2)*(1-$B$8))-MIN((D19+(MIN(D19/$B$10,'Engine Inputs'!$B$9)*($B$9-'Engine Inputs'!$B$5-'Engine Inputs'!$B$6-2*'Engine Inputs'!$B$7*SQRT(MIN(D19/$B$10,'Engine Inputs'!$B$9)/'Engine Inputs'!$B$8))+MAX(D19-MIN(D19/$B$10,'Engine Inputs'!$B$9)*$B$10,0)*'Engine Inputs'!$B$10/2)*(1-$B$8))/$B$10,'Engine Inputs'!$B$9)*$B$10,0)*'Engine Inputs'!$B$10/2)*(1-$B$8)-INDEX('Rebuilt Scenarios'!$C$11:$C$25,A20)*(1-$B$8)-$B$5,0)</f>
        <v>1472582453.7097321</v>
      </c>
      <c r="F20" s="53">
        <f t="shared" si="0"/>
        <v>2472582453.7097321</v>
      </c>
    </row>
    <row r="21" spans="1:6" ht="13.5" customHeight="1" x14ac:dyDescent="0.3">
      <c r="A21" s="10">
        <v>7</v>
      </c>
      <c r="B21" s="52">
        <f>(B20+(MIN(B20/$B$10,'Engine Inputs'!$B$9)*($B$9-'Engine Inputs'!$B$5-'Engine Inputs'!$B$6-2*'Engine Inputs'!$B$7*SQRT(MIN(B20/$B$10,'Engine Inputs'!$B$9)/'Engine Inputs'!$B$8))+MAX(B20-MIN(B20/$B$10,'Engine Inputs'!$B$9)*$B$10,0)*'Engine Inputs'!$B$10/2)*(1-$B$8))+(MIN((B20+(MIN(B20/$B$10,'Engine Inputs'!$B$9)*($B$9-'Engine Inputs'!$B$5-'Engine Inputs'!$B$6-2*'Engine Inputs'!$B$7*SQRT(MIN(B20/$B$10,'Engine Inputs'!$B$9)/'Engine Inputs'!$B$8))+MAX(B20-MIN(B20/$B$10,'Engine Inputs'!$B$9)*$B$10,0)*'Engine Inputs'!$B$10/2)*(1-$B$8))/$B$10,'Engine Inputs'!$B$9)*($B$9-'Engine Inputs'!$B$5-'Engine Inputs'!$B$6-2*'Engine Inputs'!$B$7*SQRT(MIN((B20+(MIN(B20/$B$10,'Engine Inputs'!$B$9)*($B$9-'Engine Inputs'!$B$5-'Engine Inputs'!$B$6-2*'Engine Inputs'!$B$7*SQRT(MIN(B20/$B$10,'Engine Inputs'!$B$9)/'Engine Inputs'!$B$8))+MAX(B20-MIN(B20/$B$10,'Engine Inputs'!$B$9)*$B$10,0)*'Engine Inputs'!$B$10/2)*(1-$B$8))/$B$10,'Engine Inputs'!$B$9)/'Engine Inputs'!$B$8))+MAX((B20+(MIN(B20/$B$10,'Engine Inputs'!$B$9)*($B$9-'Engine Inputs'!$B$5-'Engine Inputs'!$B$6-2*'Engine Inputs'!$B$7*SQRT(MIN(B20/$B$10,'Engine Inputs'!$B$9)/'Engine Inputs'!$B$8))+MAX(B20-MIN(B20/$B$10,'Engine Inputs'!$B$9)*$B$10,0)*'Engine Inputs'!$B$10/2)*(1-$B$8))-MIN((B20+(MIN(B20/$B$10,'Engine Inputs'!$B$9)*($B$9-'Engine Inputs'!$B$5-'Engine Inputs'!$B$6-2*'Engine Inputs'!$B$7*SQRT(MIN(B20/$B$10,'Engine Inputs'!$B$9)/'Engine Inputs'!$B$8))+MAX(B20-MIN(B20/$B$10,'Engine Inputs'!$B$9)*$B$10,0)*'Engine Inputs'!$B$10/2)*(1-$B$8))/$B$10,'Engine Inputs'!$B$9)*$B$10,0)*'Engine Inputs'!$B$10/2)*(1-$B$8)-INDEX('Rebuilt Scenarios'!$C$11:$C$25,A21)*(1-$B$8)</f>
        <v>3814102378.5744534</v>
      </c>
      <c r="C21" s="52">
        <f>IF(C20&lt;'Engine Inputs'!$B$11,(C20+(MIN(C20/$B$10,'Engine Inputs'!$B$9)*($B$9-'Engine Inputs'!$B$5-'Engine Inputs'!$B$6-2*'Engine Inputs'!$B$7*SQRT(MIN(C20/$B$10,'Engine Inputs'!$B$9)/'Engine Inputs'!$B$8))+MAX(C20-MIN(C20/$B$10,'Engine Inputs'!$B$9)*$B$10,0)*'Engine Inputs'!$B$10/2)*(1-$B$8))+(MIN((C20+(MIN(C20/$B$10,'Engine Inputs'!$B$9)*($B$9-'Engine Inputs'!$B$5-'Engine Inputs'!$B$6-2*'Engine Inputs'!$B$7*SQRT(MIN(C20/$B$10,'Engine Inputs'!$B$9)/'Engine Inputs'!$B$8))+MAX(C20-MIN(C20/$B$10,'Engine Inputs'!$B$9)*$B$10,0)*'Engine Inputs'!$B$10/2)*(1-$B$8))/$B$10,'Engine Inputs'!$B$9)*($B$9-'Engine Inputs'!$B$5-'Engine Inputs'!$B$6-2*'Engine Inputs'!$B$7*SQRT(MIN((C20+(MIN(C20/$B$10,'Engine Inputs'!$B$9)*($B$9-'Engine Inputs'!$B$5-'Engine Inputs'!$B$6-2*'Engine Inputs'!$B$7*SQRT(MIN(C20/$B$10,'Engine Inputs'!$B$9)/'Engine Inputs'!$B$8))+MAX(C20-MIN(C20/$B$10,'Engine Inputs'!$B$9)*$B$10,0)*'Engine Inputs'!$B$10/2)*(1-$B$8))/$B$10,'Engine Inputs'!$B$9)/'Engine Inputs'!$B$8))+MAX((C20+(MIN(C20/$B$10,'Engine Inputs'!$B$9)*($B$9-'Engine Inputs'!$B$5-'Engine Inputs'!$B$6-2*'Engine Inputs'!$B$7*SQRT(MIN(C20/$B$10,'Engine Inputs'!$B$9)/'Engine Inputs'!$B$8))+MAX(C20-MIN(C20/$B$10,'Engine Inputs'!$B$9)*$B$10,0)*'Engine Inputs'!$B$10/2)*(1-$B$8))-MIN((C20+(MIN(C20/$B$10,'Engine Inputs'!$B$9)*($B$9-'Engine Inputs'!$B$5-'Engine Inputs'!$B$6-2*'Engine Inputs'!$B$7*SQRT(MIN(C20/$B$10,'Engine Inputs'!$B$9)/'Engine Inputs'!$B$8))+MAX(C20-MIN(C20/$B$10,'Engine Inputs'!$B$9)*$B$10,0)*'Engine Inputs'!$B$10/2)*(1-$B$8))/$B$10,'Engine Inputs'!$B$9)*$B$10,0)*'Engine Inputs'!$B$10/2)*(1-$B$8)-INDEX('Rebuilt Scenarios'!$C$11:$C$25,A21)*(1-$B$8),C20+(($B$6*C20-$B$7)*(12/18))*(1-$B$8))</f>
        <v>1099482705.4891984</v>
      </c>
      <c r="D21" s="52">
        <f>MIN((D20+(MIN(D20/$B$10,'Engine Inputs'!$B$9)*($B$9-'Engine Inputs'!$B$5-'Engine Inputs'!$B$6-2*'Engine Inputs'!$B$7*SQRT(MIN(D20/$B$10,'Engine Inputs'!$B$9)/'Engine Inputs'!$B$8))+MAX(D20-MIN(D20/$B$10,'Engine Inputs'!$B$9)*$B$10,0)*'Engine Inputs'!$B$10/2)*(1-$B$8))+(MIN((D20+(MIN(D20/$B$10,'Engine Inputs'!$B$9)*($B$9-'Engine Inputs'!$B$5-'Engine Inputs'!$B$6-2*'Engine Inputs'!$B$7*SQRT(MIN(D20/$B$10,'Engine Inputs'!$B$9)/'Engine Inputs'!$B$8))+MAX(D20-MIN(D20/$B$10,'Engine Inputs'!$B$9)*$B$10,0)*'Engine Inputs'!$B$10/2)*(1-$B$8))/$B$10,'Engine Inputs'!$B$9)*($B$9-'Engine Inputs'!$B$5-'Engine Inputs'!$B$6-2*'Engine Inputs'!$B$7*SQRT(MIN((D20+(MIN(D20/$B$10,'Engine Inputs'!$B$9)*($B$9-'Engine Inputs'!$B$5-'Engine Inputs'!$B$6-2*'Engine Inputs'!$B$7*SQRT(MIN(D20/$B$10,'Engine Inputs'!$B$9)/'Engine Inputs'!$B$8))+MAX(D20-MIN(D20/$B$10,'Engine Inputs'!$B$9)*$B$10,0)*'Engine Inputs'!$B$10/2)*(1-$B$8))/$B$10,'Engine Inputs'!$B$9)/'Engine Inputs'!$B$8))+MAX((D20+(MIN(D20/$B$10,'Engine Inputs'!$B$9)*($B$9-'Engine Inputs'!$B$5-'Engine Inputs'!$B$6-2*'Engine Inputs'!$B$7*SQRT(MIN(D20/$B$10,'Engine Inputs'!$B$9)/'Engine Inputs'!$B$8))+MAX(D20-MIN(D20/$B$10,'Engine Inputs'!$B$9)*$B$10,0)*'Engine Inputs'!$B$10/2)*(1-$B$8))-MIN((D20+(MIN(D20/$B$10,'Engine Inputs'!$B$9)*($B$9-'Engine Inputs'!$B$5-'Engine Inputs'!$B$6-2*'Engine Inputs'!$B$7*SQRT(MIN(D20/$B$10,'Engine Inputs'!$B$9)/'Engine Inputs'!$B$8))+MAX(D20-MIN(D20/$B$10,'Engine Inputs'!$B$9)*$B$10,0)*'Engine Inputs'!$B$10/2)*(1-$B$8))/$B$10,'Engine Inputs'!$B$9)*$B$10,0)*'Engine Inputs'!$B$10/2)*(1-$B$8)-INDEX('Rebuilt Scenarios'!$C$11:$C$25,A21)*(1-$B$8),$B$5)</f>
        <v>1000000000</v>
      </c>
      <c r="E21" s="52">
        <f>IF(E20&gt;0,E20+(($B$6*E20-$B$7)*(12/18))*(1-$B$8),0)+MAX((D20+(MIN(D20/$B$10,'Engine Inputs'!$B$9)*($B$9-'Engine Inputs'!$B$5-'Engine Inputs'!$B$6-2*'Engine Inputs'!$B$7*SQRT(MIN(D20/$B$10,'Engine Inputs'!$B$9)/'Engine Inputs'!$B$8))+MAX(D20-MIN(D20/$B$10,'Engine Inputs'!$B$9)*$B$10,0)*'Engine Inputs'!$B$10/2)*(1-$B$8))+(MIN((D20+(MIN(D20/$B$10,'Engine Inputs'!$B$9)*($B$9-'Engine Inputs'!$B$5-'Engine Inputs'!$B$6-2*'Engine Inputs'!$B$7*SQRT(MIN(D20/$B$10,'Engine Inputs'!$B$9)/'Engine Inputs'!$B$8))+MAX(D20-MIN(D20/$B$10,'Engine Inputs'!$B$9)*$B$10,0)*'Engine Inputs'!$B$10/2)*(1-$B$8))/$B$10,'Engine Inputs'!$B$9)*($B$9-'Engine Inputs'!$B$5-'Engine Inputs'!$B$6-2*'Engine Inputs'!$B$7*SQRT(MIN((D20+(MIN(D20/$B$10,'Engine Inputs'!$B$9)*($B$9-'Engine Inputs'!$B$5-'Engine Inputs'!$B$6-2*'Engine Inputs'!$B$7*SQRT(MIN(D20/$B$10,'Engine Inputs'!$B$9)/'Engine Inputs'!$B$8))+MAX(D20-MIN(D20/$B$10,'Engine Inputs'!$B$9)*$B$10,0)*'Engine Inputs'!$B$10/2)*(1-$B$8))/$B$10,'Engine Inputs'!$B$9)/'Engine Inputs'!$B$8))+MAX((D20+(MIN(D20/$B$10,'Engine Inputs'!$B$9)*($B$9-'Engine Inputs'!$B$5-'Engine Inputs'!$B$6-2*'Engine Inputs'!$B$7*SQRT(MIN(D20/$B$10,'Engine Inputs'!$B$9)/'Engine Inputs'!$B$8))+MAX(D20-MIN(D20/$B$10,'Engine Inputs'!$B$9)*$B$10,0)*'Engine Inputs'!$B$10/2)*(1-$B$8))-MIN((D20+(MIN(D20/$B$10,'Engine Inputs'!$B$9)*($B$9-'Engine Inputs'!$B$5-'Engine Inputs'!$B$6-2*'Engine Inputs'!$B$7*SQRT(MIN(D20/$B$10,'Engine Inputs'!$B$9)/'Engine Inputs'!$B$8))+MAX(D20-MIN(D20/$B$10,'Engine Inputs'!$B$9)*$B$10,0)*'Engine Inputs'!$B$10/2)*(1-$B$8))/$B$10,'Engine Inputs'!$B$9)*$B$10,0)*'Engine Inputs'!$B$10/2)*(1-$B$8)-INDEX('Rebuilt Scenarios'!$C$11:$C$25,A21)*(1-$B$8)-$B$5,0)</f>
        <v>3299214832.8589602</v>
      </c>
      <c r="F21" s="52">
        <f t="shared" si="0"/>
        <v>4299214832.8589602</v>
      </c>
    </row>
    <row r="22" spans="1:6" ht="13.5" customHeight="1" x14ac:dyDescent="0.3">
      <c r="A22" s="13">
        <v>8</v>
      </c>
      <c r="B22" s="53">
        <f>(B21+(MIN(B21/$B$10,'Engine Inputs'!$B$9)*($B$9-'Engine Inputs'!$B$5-'Engine Inputs'!$B$6-2*'Engine Inputs'!$B$7*SQRT(MIN(B21/$B$10,'Engine Inputs'!$B$9)/'Engine Inputs'!$B$8))+MAX(B21-MIN(B21/$B$10,'Engine Inputs'!$B$9)*$B$10,0)*'Engine Inputs'!$B$10/2)*(1-$B$8))+(MIN((B21+(MIN(B21/$B$10,'Engine Inputs'!$B$9)*($B$9-'Engine Inputs'!$B$5-'Engine Inputs'!$B$6-2*'Engine Inputs'!$B$7*SQRT(MIN(B21/$B$10,'Engine Inputs'!$B$9)/'Engine Inputs'!$B$8))+MAX(B21-MIN(B21/$B$10,'Engine Inputs'!$B$9)*$B$10,0)*'Engine Inputs'!$B$10/2)*(1-$B$8))/$B$10,'Engine Inputs'!$B$9)*($B$9-'Engine Inputs'!$B$5-'Engine Inputs'!$B$6-2*'Engine Inputs'!$B$7*SQRT(MIN((B21+(MIN(B21/$B$10,'Engine Inputs'!$B$9)*($B$9-'Engine Inputs'!$B$5-'Engine Inputs'!$B$6-2*'Engine Inputs'!$B$7*SQRT(MIN(B21/$B$10,'Engine Inputs'!$B$9)/'Engine Inputs'!$B$8))+MAX(B21-MIN(B21/$B$10,'Engine Inputs'!$B$9)*$B$10,0)*'Engine Inputs'!$B$10/2)*(1-$B$8))/$B$10,'Engine Inputs'!$B$9)/'Engine Inputs'!$B$8))+MAX((B21+(MIN(B21/$B$10,'Engine Inputs'!$B$9)*($B$9-'Engine Inputs'!$B$5-'Engine Inputs'!$B$6-2*'Engine Inputs'!$B$7*SQRT(MIN(B21/$B$10,'Engine Inputs'!$B$9)/'Engine Inputs'!$B$8))+MAX(B21-MIN(B21/$B$10,'Engine Inputs'!$B$9)*$B$10,0)*'Engine Inputs'!$B$10/2)*(1-$B$8))-MIN((B21+(MIN(B21/$B$10,'Engine Inputs'!$B$9)*($B$9-'Engine Inputs'!$B$5-'Engine Inputs'!$B$6-2*'Engine Inputs'!$B$7*SQRT(MIN(B21/$B$10,'Engine Inputs'!$B$9)/'Engine Inputs'!$B$8))+MAX(B21-MIN(B21/$B$10,'Engine Inputs'!$B$9)*$B$10,0)*'Engine Inputs'!$B$10/2)*(1-$B$8))/$B$10,'Engine Inputs'!$B$9)*$B$10,0)*'Engine Inputs'!$B$10/2)*(1-$B$8)-INDEX('Rebuilt Scenarios'!$C$11:$C$25,A22)*(1-$B$8)</f>
        <v>5248624342.4609814</v>
      </c>
      <c r="C22" s="53">
        <f>IF(C21&lt;'Engine Inputs'!$B$11,(C21+(MIN(C21/$B$10,'Engine Inputs'!$B$9)*($B$9-'Engine Inputs'!$B$5-'Engine Inputs'!$B$6-2*'Engine Inputs'!$B$7*SQRT(MIN(C21/$B$10,'Engine Inputs'!$B$9)/'Engine Inputs'!$B$8))+MAX(C21-MIN(C21/$B$10,'Engine Inputs'!$B$9)*$B$10,0)*'Engine Inputs'!$B$10/2)*(1-$B$8))+(MIN((C21+(MIN(C21/$B$10,'Engine Inputs'!$B$9)*($B$9-'Engine Inputs'!$B$5-'Engine Inputs'!$B$6-2*'Engine Inputs'!$B$7*SQRT(MIN(C21/$B$10,'Engine Inputs'!$B$9)/'Engine Inputs'!$B$8))+MAX(C21-MIN(C21/$B$10,'Engine Inputs'!$B$9)*$B$10,0)*'Engine Inputs'!$B$10/2)*(1-$B$8))/$B$10,'Engine Inputs'!$B$9)*($B$9-'Engine Inputs'!$B$5-'Engine Inputs'!$B$6-2*'Engine Inputs'!$B$7*SQRT(MIN((C21+(MIN(C21/$B$10,'Engine Inputs'!$B$9)*($B$9-'Engine Inputs'!$B$5-'Engine Inputs'!$B$6-2*'Engine Inputs'!$B$7*SQRT(MIN(C21/$B$10,'Engine Inputs'!$B$9)/'Engine Inputs'!$B$8))+MAX(C21-MIN(C21/$B$10,'Engine Inputs'!$B$9)*$B$10,0)*'Engine Inputs'!$B$10/2)*(1-$B$8))/$B$10,'Engine Inputs'!$B$9)/'Engine Inputs'!$B$8))+MAX((C21+(MIN(C21/$B$10,'Engine Inputs'!$B$9)*($B$9-'Engine Inputs'!$B$5-'Engine Inputs'!$B$6-2*'Engine Inputs'!$B$7*SQRT(MIN(C21/$B$10,'Engine Inputs'!$B$9)/'Engine Inputs'!$B$8))+MAX(C21-MIN(C21/$B$10,'Engine Inputs'!$B$9)*$B$10,0)*'Engine Inputs'!$B$10/2)*(1-$B$8))-MIN((C21+(MIN(C21/$B$10,'Engine Inputs'!$B$9)*($B$9-'Engine Inputs'!$B$5-'Engine Inputs'!$B$6-2*'Engine Inputs'!$B$7*SQRT(MIN(C21/$B$10,'Engine Inputs'!$B$9)/'Engine Inputs'!$B$8))+MAX(C21-MIN(C21/$B$10,'Engine Inputs'!$B$9)*$B$10,0)*'Engine Inputs'!$B$10/2)*(1-$B$8))/$B$10,'Engine Inputs'!$B$9)*$B$10,0)*'Engine Inputs'!$B$10/2)*(1-$B$8)-INDEX('Rebuilt Scenarios'!$C$11:$C$25,A22)*(1-$B$8),C21+(($B$6*C21-$B$7)*(12/18))*(1-$B$8))</f>
        <v>1508370754.575037</v>
      </c>
      <c r="D22" s="53">
        <f>MIN((D21+(MIN(D21/$B$10,'Engine Inputs'!$B$9)*($B$9-'Engine Inputs'!$B$5-'Engine Inputs'!$B$6-2*'Engine Inputs'!$B$7*SQRT(MIN(D21/$B$10,'Engine Inputs'!$B$9)/'Engine Inputs'!$B$8))+MAX(D21-MIN(D21/$B$10,'Engine Inputs'!$B$9)*$B$10,0)*'Engine Inputs'!$B$10/2)*(1-$B$8))+(MIN((D21+(MIN(D21/$B$10,'Engine Inputs'!$B$9)*($B$9-'Engine Inputs'!$B$5-'Engine Inputs'!$B$6-2*'Engine Inputs'!$B$7*SQRT(MIN(D21/$B$10,'Engine Inputs'!$B$9)/'Engine Inputs'!$B$8))+MAX(D21-MIN(D21/$B$10,'Engine Inputs'!$B$9)*$B$10,0)*'Engine Inputs'!$B$10/2)*(1-$B$8))/$B$10,'Engine Inputs'!$B$9)*($B$9-'Engine Inputs'!$B$5-'Engine Inputs'!$B$6-2*'Engine Inputs'!$B$7*SQRT(MIN((D21+(MIN(D21/$B$10,'Engine Inputs'!$B$9)*($B$9-'Engine Inputs'!$B$5-'Engine Inputs'!$B$6-2*'Engine Inputs'!$B$7*SQRT(MIN(D21/$B$10,'Engine Inputs'!$B$9)/'Engine Inputs'!$B$8))+MAX(D21-MIN(D21/$B$10,'Engine Inputs'!$B$9)*$B$10,0)*'Engine Inputs'!$B$10/2)*(1-$B$8))/$B$10,'Engine Inputs'!$B$9)/'Engine Inputs'!$B$8))+MAX((D21+(MIN(D21/$B$10,'Engine Inputs'!$B$9)*($B$9-'Engine Inputs'!$B$5-'Engine Inputs'!$B$6-2*'Engine Inputs'!$B$7*SQRT(MIN(D21/$B$10,'Engine Inputs'!$B$9)/'Engine Inputs'!$B$8))+MAX(D21-MIN(D21/$B$10,'Engine Inputs'!$B$9)*$B$10,0)*'Engine Inputs'!$B$10/2)*(1-$B$8))-MIN((D21+(MIN(D21/$B$10,'Engine Inputs'!$B$9)*($B$9-'Engine Inputs'!$B$5-'Engine Inputs'!$B$6-2*'Engine Inputs'!$B$7*SQRT(MIN(D21/$B$10,'Engine Inputs'!$B$9)/'Engine Inputs'!$B$8))+MAX(D21-MIN(D21/$B$10,'Engine Inputs'!$B$9)*$B$10,0)*'Engine Inputs'!$B$10/2)*(1-$B$8))/$B$10,'Engine Inputs'!$B$9)*$B$10,0)*'Engine Inputs'!$B$10/2)*(1-$B$8)-INDEX('Rebuilt Scenarios'!$C$11:$C$25,A22)*(1-$B$8),$B$5)</f>
        <v>1000000000</v>
      </c>
      <c r="E22" s="53">
        <f>IF(E21&gt;0,E21+(($B$6*E21-$B$7)*(12/18))*(1-$B$8),0)+MAX((D21+(MIN(D21/$B$10,'Engine Inputs'!$B$9)*($B$9-'Engine Inputs'!$B$5-'Engine Inputs'!$B$6-2*'Engine Inputs'!$B$7*SQRT(MIN(D21/$B$10,'Engine Inputs'!$B$9)/'Engine Inputs'!$B$8))+MAX(D21-MIN(D21/$B$10,'Engine Inputs'!$B$9)*$B$10,0)*'Engine Inputs'!$B$10/2)*(1-$B$8))+(MIN((D21+(MIN(D21/$B$10,'Engine Inputs'!$B$9)*($B$9-'Engine Inputs'!$B$5-'Engine Inputs'!$B$6-2*'Engine Inputs'!$B$7*SQRT(MIN(D21/$B$10,'Engine Inputs'!$B$9)/'Engine Inputs'!$B$8))+MAX(D21-MIN(D21/$B$10,'Engine Inputs'!$B$9)*$B$10,0)*'Engine Inputs'!$B$10/2)*(1-$B$8))/$B$10,'Engine Inputs'!$B$9)*($B$9-'Engine Inputs'!$B$5-'Engine Inputs'!$B$6-2*'Engine Inputs'!$B$7*SQRT(MIN((D21+(MIN(D21/$B$10,'Engine Inputs'!$B$9)*($B$9-'Engine Inputs'!$B$5-'Engine Inputs'!$B$6-2*'Engine Inputs'!$B$7*SQRT(MIN(D21/$B$10,'Engine Inputs'!$B$9)/'Engine Inputs'!$B$8))+MAX(D21-MIN(D21/$B$10,'Engine Inputs'!$B$9)*$B$10,0)*'Engine Inputs'!$B$10/2)*(1-$B$8))/$B$10,'Engine Inputs'!$B$9)/'Engine Inputs'!$B$8))+MAX((D21+(MIN(D21/$B$10,'Engine Inputs'!$B$9)*($B$9-'Engine Inputs'!$B$5-'Engine Inputs'!$B$6-2*'Engine Inputs'!$B$7*SQRT(MIN(D21/$B$10,'Engine Inputs'!$B$9)/'Engine Inputs'!$B$8))+MAX(D21-MIN(D21/$B$10,'Engine Inputs'!$B$9)*$B$10,0)*'Engine Inputs'!$B$10/2)*(1-$B$8))-MIN((D21+(MIN(D21/$B$10,'Engine Inputs'!$B$9)*($B$9-'Engine Inputs'!$B$5-'Engine Inputs'!$B$6-2*'Engine Inputs'!$B$7*SQRT(MIN(D21/$B$10,'Engine Inputs'!$B$9)/'Engine Inputs'!$B$8))+MAX(D21-MIN(D21/$B$10,'Engine Inputs'!$B$9)*$B$10,0)*'Engine Inputs'!$B$10/2)*(1-$B$8))/$B$10,'Engine Inputs'!$B$9)*$B$10,0)*'Engine Inputs'!$B$10/2)*(1-$B$8)-INDEX('Rebuilt Scenarios'!$C$11:$C$25,A22)*(1-$B$8)-$B$5,0)</f>
        <v>5809019362.9906635</v>
      </c>
      <c r="F22" s="53">
        <f t="shared" si="0"/>
        <v>6809019362.9906635</v>
      </c>
    </row>
    <row r="23" spans="1:6" ht="13.5" customHeight="1" x14ac:dyDescent="0.3">
      <c r="A23" s="10">
        <v>9</v>
      </c>
      <c r="B23" s="52">
        <f>(B22+(MIN(B22/$B$10,'Engine Inputs'!$B$9)*($B$9-'Engine Inputs'!$B$5-'Engine Inputs'!$B$6-2*'Engine Inputs'!$B$7*SQRT(MIN(B22/$B$10,'Engine Inputs'!$B$9)/'Engine Inputs'!$B$8))+MAX(B22-MIN(B22/$B$10,'Engine Inputs'!$B$9)*$B$10,0)*'Engine Inputs'!$B$10/2)*(1-$B$8))+(MIN((B22+(MIN(B22/$B$10,'Engine Inputs'!$B$9)*($B$9-'Engine Inputs'!$B$5-'Engine Inputs'!$B$6-2*'Engine Inputs'!$B$7*SQRT(MIN(B22/$B$10,'Engine Inputs'!$B$9)/'Engine Inputs'!$B$8))+MAX(B22-MIN(B22/$B$10,'Engine Inputs'!$B$9)*$B$10,0)*'Engine Inputs'!$B$10/2)*(1-$B$8))/$B$10,'Engine Inputs'!$B$9)*($B$9-'Engine Inputs'!$B$5-'Engine Inputs'!$B$6-2*'Engine Inputs'!$B$7*SQRT(MIN((B22+(MIN(B22/$B$10,'Engine Inputs'!$B$9)*($B$9-'Engine Inputs'!$B$5-'Engine Inputs'!$B$6-2*'Engine Inputs'!$B$7*SQRT(MIN(B22/$B$10,'Engine Inputs'!$B$9)/'Engine Inputs'!$B$8))+MAX(B22-MIN(B22/$B$10,'Engine Inputs'!$B$9)*$B$10,0)*'Engine Inputs'!$B$10/2)*(1-$B$8))/$B$10,'Engine Inputs'!$B$9)/'Engine Inputs'!$B$8))+MAX((B22+(MIN(B22/$B$10,'Engine Inputs'!$B$9)*($B$9-'Engine Inputs'!$B$5-'Engine Inputs'!$B$6-2*'Engine Inputs'!$B$7*SQRT(MIN(B22/$B$10,'Engine Inputs'!$B$9)/'Engine Inputs'!$B$8))+MAX(B22-MIN(B22/$B$10,'Engine Inputs'!$B$9)*$B$10,0)*'Engine Inputs'!$B$10/2)*(1-$B$8))-MIN((B22+(MIN(B22/$B$10,'Engine Inputs'!$B$9)*($B$9-'Engine Inputs'!$B$5-'Engine Inputs'!$B$6-2*'Engine Inputs'!$B$7*SQRT(MIN(B22/$B$10,'Engine Inputs'!$B$9)/'Engine Inputs'!$B$8))+MAX(B22-MIN(B22/$B$10,'Engine Inputs'!$B$9)*$B$10,0)*'Engine Inputs'!$B$10/2)*(1-$B$8))/$B$10,'Engine Inputs'!$B$9)*$B$10,0)*'Engine Inputs'!$B$10/2)*(1-$B$8)-INDEX('Rebuilt Scenarios'!$C$11:$C$25,A23)*(1-$B$8)</f>
        <v>6753771096.0024242</v>
      </c>
      <c r="C23" s="52">
        <f>IF(C22&lt;'Engine Inputs'!$B$11,(C22+(MIN(C22/$B$10,'Engine Inputs'!$B$9)*($B$9-'Engine Inputs'!$B$5-'Engine Inputs'!$B$6-2*'Engine Inputs'!$B$7*SQRT(MIN(C22/$B$10,'Engine Inputs'!$B$9)/'Engine Inputs'!$B$8))+MAX(C22-MIN(C22/$B$10,'Engine Inputs'!$B$9)*$B$10,0)*'Engine Inputs'!$B$10/2)*(1-$B$8))+(MIN((C22+(MIN(C22/$B$10,'Engine Inputs'!$B$9)*($B$9-'Engine Inputs'!$B$5-'Engine Inputs'!$B$6-2*'Engine Inputs'!$B$7*SQRT(MIN(C22/$B$10,'Engine Inputs'!$B$9)/'Engine Inputs'!$B$8))+MAX(C22-MIN(C22/$B$10,'Engine Inputs'!$B$9)*$B$10,0)*'Engine Inputs'!$B$10/2)*(1-$B$8))/$B$10,'Engine Inputs'!$B$9)*($B$9-'Engine Inputs'!$B$5-'Engine Inputs'!$B$6-2*'Engine Inputs'!$B$7*SQRT(MIN((C22+(MIN(C22/$B$10,'Engine Inputs'!$B$9)*($B$9-'Engine Inputs'!$B$5-'Engine Inputs'!$B$6-2*'Engine Inputs'!$B$7*SQRT(MIN(C22/$B$10,'Engine Inputs'!$B$9)/'Engine Inputs'!$B$8))+MAX(C22-MIN(C22/$B$10,'Engine Inputs'!$B$9)*$B$10,0)*'Engine Inputs'!$B$10/2)*(1-$B$8))/$B$10,'Engine Inputs'!$B$9)/'Engine Inputs'!$B$8))+MAX((C22+(MIN(C22/$B$10,'Engine Inputs'!$B$9)*($B$9-'Engine Inputs'!$B$5-'Engine Inputs'!$B$6-2*'Engine Inputs'!$B$7*SQRT(MIN(C22/$B$10,'Engine Inputs'!$B$9)/'Engine Inputs'!$B$8))+MAX(C22-MIN(C22/$B$10,'Engine Inputs'!$B$9)*$B$10,0)*'Engine Inputs'!$B$10/2)*(1-$B$8))-MIN((C22+(MIN(C22/$B$10,'Engine Inputs'!$B$9)*($B$9-'Engine Inputs'!$B$5-'Engine Inputs'!$B$6-2*'Engine Inputs'!$B$7*SQRT(MIN(C22/$B$10,'Engine Inputs'!$B$9)/'Engine Inputs'!$B$8))+MAX(C22-MIN(C22/$B$10,'Engine Inputs'!$B$9)*$B$10,0)*'Engine Inputs'!$B$10/2)*(1-$B$8))/$B$10,'Engine Inputs'!$B$9)*$B$10,0)*'Engine Inputs'!$B$10/2)*(1-$B$8)-INDEX('Rebuilt Scenarios'!$C$11:$C$25,A23)*(1-$B$8),C22+(($B$6*C22-$B$7)*(12/18))*(1-$B$8))</f>
        <v>2070248356.106833</v>
      </c>
      <c r="D23" s="52">
        <f>MIN((D22+(MIN(D22/$B$10,'Engine Inputs'!$B$9)*($B$9-'Engine Inputs'!$B$5-'Engine Inputs'!$B$6-2*'Engine Inputs'!$B$7*SQRT(MIN(D22/$B$10,'Engine Inputs'!$B$9)/'Engine Inputs'!$B$8))+MAX(D22-MIN(D22/$B$10,'Engine Inputs'!$B$9)*$B$10,0)*'Engine Inputs'!$B$10/2)*(1-$B$8))+(MIN((D22+(MIN(D22/$B$10,'Engine Inputs'!$B$9)*($B$9-'Engine Inputs'!$B$5-'Engine Inputs'!$B$6-2*'Engine Inputs'!$B$7*SQRT(MIN(D22/$B$10,'Engine Inputs'!$B$9)/'Engine Inputs'!$B$8))+MAX(D22-MIN(D22/$B$10,'Engine Inputs'!$B$9)*$B$10,0)*'Engine Inputs'!$B$10/2)*(1-$B$8))/$B$10,'Engine Inputs'!$B$9)*($B$9-'Engine Inputs'!$B$5-'Engine Inputs'!$B$6-2*'Engine Inputs'!$B$7*SQRT(MIN((D22+(MIN(D22/$B$10,'Engine Inputs'!$B$9)*($B$9-'Engine Inputs'!$B$5-'Engine Inputs'!$B$6-2*'Engine Inputs'!$B$7*SQRT(MIN(D22/$B$10,'Engine Inputs'!$B$9)/'Engine Inputs'!$B$8))+MAX(D22-MIN(D22/$B$10,'Engine Inputs'!$B$9)*$B$10,0)*'Engine Inputs'!$B$10/2)*(1-$B$8))/$B$10,'Engine Inputs'!$B$9)/'Engine Inputs'!$B$8))+MAX((D22+(MIN(D22/$B$10,'Engine Inputs'!$B$9)*($B$9-'Engine Inputs'!$B$5-'Engine Inputs'!$B$6-2*'Engine Inputs'!$B$7*SQRT(MIN(D22/$B$10,'Engine Inputs'!$B$9)/'Engine Inputs'!$B$8))+MAX(D22-MIN(D22/$B$10,'Engine Inputs'!$B$9)*$B$10,0)*'Engine Inputs'!$B$10/2)*(1-$B$8))-MIN((D22+(MIN(D22/$B$10,'Engine Inputs'!$B$9)*($B$9-'Engine Inputs'!$B$5-'Engine Inputs'!$B$6-2*'Engine Inputs'!$B$7*SQRT(MIN(D22/$B$10,'Engine Inputs'!$B$9)/'Engine Inputs'!$B$8))+MAX(D22-MIN(D22/$B$10,'Engine Inputs'!$B$9)*$B$10,0)*'Engine Inputs'!$B$10/2)*(1-$B$8))/$B$10,'Engine Inputs'!$B$9)*$B$10,0)*'Engine Inputs'!$B$10/2)*(1-$B$8)-INDEX('Rebuilt Scenarios'!$C$11:$C$25,A23)*(1-$B$8),$B$5)</f>
        <v>1000000000</v>
      </c>
      <c r="E23" s="52">
        <f>IF(E22&gt;0,E22+(($B$6*E22-$B$7)*(12/18))*(1-$B$8),0)+MAX((D22+(MIN(D22/$B$10,'Engine Inputs'!$B$9)*($B$9-'Engine Inputs'!$B$5-'Engine Inputs'!$B$6-2*'Engine Inputs'!$B$7*SQRT(MIN(D22/$B$10,'Engine Inputs'!$B$9)/'Engine Inputs'!$B$8))+MAX(D22-MIN(D22/$B$10,'Engine Inputs'!$B$9)*$B$10,0)*'Engine Inputs'!$B$10/2)*(1-$B$8))+(MIN((D22+(MIN(D22/$B$10,'Engine Inputs'!$B$9)*($B$9-'Engine Inputs'!$B$5-'Engine Inputs'!$B$6-2*'Engine Inputs'!$B$7*SQRT(MIN(D22/$B$10,'Engine Inputs'!$B$9)/'Engine Inputs'!$B$8))+MAX(D22-MIN(D22/$B$10,'Engine Inputs'!$B$9)*$B$10,0)*'Engine Inputs'!$B$10/2)*(1-$B$8))/$B$10,'Engine Inputs'!$B$9)*($B$9-'Engine Inputs'!$B$5-'Engine Inputs'!$B$6-2*'Engine Inputs'!$B$7*SQRT(MIN((D22+(MIN(D22/$B$10,'Engine Inputs'!$B$9)*($B$9-'Engine Inputs'!$B$5-'Engine Inputs'!$B$6-2*'Engine Inputs'!$B$7*SQRT(MIN(D22/$B$10,'Engine Inputs'!$B$9)/'Engine Inputs'!$B$8))+MAX(D22-MIN(D22/$B$10,'Engine Inputs'!$B$9)*$B$10,0)*'Engine Inputs'!$B$10/2)*(1-$B$8))/$B$10,'Engine Inputs'!$B$9)/'Engine Inputs'!$B$8))+MAX((D22+(MIN(D22/$B$10,'Engine Inputs'!$B$9)*($B$9-'Engine Inputs'!$B$5-'Engine Inputs'!$B$6-2*'Engine Inputs'!$B$7*SQRT(MIN(D22/$B$10,'Engine Inputs'!$B$9)/'Engine Inputs'!$B$8))+MAX(D22-MIN(D22/$B$10,'Engine Inputs'!$B$9)*$B$10,0)*'Engine Inputs'!$B$10/2)*(1-$B$8))-MIN((D22+(MIN(D22/$B$10,'Engine Inputs'!$B$9)*($B$9-'Engine Inputs'!$B$5-'Engine Inputs'!$B$6-2*'Engine Inputs'!$B$7*SQRT(MIN(D22/$B$10,'Engine Inputs'!$B$9)/'Engine Inputs'!$B$8))+MAX(D22-MIN(D22/$B$10,'Engine Inputs'!$B$9)*$B$10,0)*'Engine Inputs'!$B$10/2)*(1-$B$8))/$B$10,'Engine Inputs'!$B$9)*$B$10,0)*'Engine Inputs'!$B$10/2)*(1-$B$8)-INDEX('Rebuilt Scenarios'!$C$11:$C$25,A23)*(1-$B$8)-$B$5,0)</f>
        <v>9257892356.1164436</v>
      </c>
      <c r="F23" s="52">
        <f t="shared" si="0"/>
        <v>10257892356.116444</v>
      </c>
    </row>
    <row r="24" spans="1:6" ht="13.5" customHeight="1" x14ac:dyDescent="0.3">
      <c r="A24" s="13">
        <v>10</v>
      </c>
      <c r="B24" s="53">
        <f>(B23+(MIN(B23/$B$10,'Engine Inputs'!$B$9)*($B$9-'Engine Inputs'!$B$5-'Engine Inputs'!$B$6-2*'Engine Inputs'!$B$7*SQRT(MIN(B23/$B$10,'Engine Inputs'!$B$9)/'Engine Inputs'!$B$8))+MAX(B23-MIN(B23/$B$10,'Engine Inputs'!$B$9)*$B$10,0)*'Engine Inputs'!$B$10/2)*(1-$B$8))+(MIN((B23+(MIN(B23/$B$10,'Engine Inputs'!$B$9)*($B$9-'Engine Inputs'!$B$5-'Engine Inputs'!$B$6-2*'Engine Inputs'!$B$7*SQRT(MIN(B23/$B$10,'Engine Inputs'!$B$9)/'Engine Inputs'!$B$8))+MAX(B23-MIN(B23/$B$10,'Engine Inputs'!$B$9)*$B$10,0)*'Engine Inputs'!$B$10/2)*(1-$B$8))/$B$10,'Engine Inputs'!$B$9)*($B$9-'Engine Inputs'!$B$5-'Engine Inputs'!$B$6-2*'Engine Inputs'!$B$7*SQRT(MIN((B23+(MIN(B23/$B$10,'Engine Inputs'!$B$9)*($B$9-'Engine Inputs'!$B$5-'Engine Inputs'!$B$6-2*'Engine Inputs'!$B$7*SQRT(MIN(B23/$B$10,'Engine Inputs'!$B$9)/'Engine Inputs'!$B$8))+MAX(B23-MIN(B23/$B$10,'Engine Inputs'!$B$9)*$B$10,0)*'Engine Inputs'!$B$10/2)*(1-$B$8))/$B$10,'Engine Inputs'!$B$9)/'Engine Inputs'!$B$8))+MAX((B23+(MIN(B23/$B$10,'Engine Inputs'!$B$9)*($B$9-'Engine Inputs'!$B$5-'Engine Inputs'!$B$6-2*'Engine Inputs'!$B$7*SQRT(MIN(B23/$B$10,'Engine Inputs'!$B$9)/'Engine Inputs'!$B$8))+MAX(B23-MIN(B23/$B$10,'Engine Inputs'!$B$9)*$B$10,0)*'Engine Inputs'!$B$10/2)*(1-$B$8))-MIN((B23+(MIN(B23/$B$10,'Engine Inputs'!$B$9)*($B$9-'Engine Inputs'!$B$5-'Engine Inputs'!$B$6-2*'Engine Inputs'!$B$7*SQRT(MIN(B23/$B$10,'Engine Inputs'!$B$9)/'Engine Inputs'!$B$8))+MAX(B23-MIN(B23/$B$10,'Engine Inputs'!$B$9)*$B$10,0)*'Engine Inputs'!$B$10/2)*(1-$B$8))/$B$10,'Engine Inputs'!$B$9)*$B$10,0)*'Engine Inputs'!$B$10/2)*(1-$B$8)-INDEX('Rebuilt Scenarios'!$C$11:$C$25,A24)*(1-$B$8)</f>
        <v>8333019658.7491035</v>
      </c>
      <c r="C24" s="53">
        <f>IF(C23&lt;'Engine Inputs'!$B$11,(C23+(MIN(C23/$B$10,'Engine Inputs'!$B$9)*($B$9-'Engine Inputs'!$B$5-'Engine Inputs'!$B$6-2*'Engine Inputs'!$B$7*SQRT(MIN(C23/$B$10,'Engine Inputs'!$B$9)/'Engine Inputs'!$B$8))+MAX(C23-MIN(C23/$B$10,'Engine Inputs'!$B$9)*$B$10,0)*'Engine Inputs'!$B$10/2)*(1-$B$8))+(MIN((C23+(MIN(C23/$B$10,'Engine Inputs'!$B$9)*($B$9-'Engine Inputs'!$B$5-'Engine Inputs'!$B$6-2*'Engine Inputs'!$B$7*SQRT(MIN(C23/$B$10,'Engine Inputs'!$B$9)/'Engine Inputs'!$B$8))+MAX(C23-MIN(C23/$B$10,'Engine Inputs'!$B$9)*$B$10,0)*'Engine Inputs'!$B$10/2)*(1-$B$8))/$B$10,'Engine Inputs'!$B$9)*($B$9-'Engine Inputs'!$B$5-'Engine Inputs'!$B$6-2*'Engine Inputs'!$B$7*SQRT(MIN((C23+(MIN(C23/$B$10,'Engine Inputs'!$B$9)*($B$9-'Engine Inputs'!$B$5-'Engine Inputs'!$B$6-2*'Engine Inputs'!$B$7*SQRT(MIN(C23/$B$10,'Engine Inputs'!$B$9)/'Engine Inputs'!$B$8))+MAX(C23-MIN(C23/$B$10,'Engine Inputs'!$B$9)*$B$10,0)*'Engine Inputs'!$B$10/2)*(1-$B$8))/$B$10,'Engine Inputs'!$B$9)/'Engine Inputs'!$B$8))+MAX((C23+(MIN(C23/$B$10,'Engine Inputs'!$B$9)*($B$9-'Engine Inputs'!$B$5-'Engine Inputs'!$B$6-2*'Engine Inputs'!$B$7*SQRT(MIN(C23/$B$10,'Engine Inputs'!$B$9)/'Engine Inputs'!$B$8))+MAX(C23-MIN(C23/$B$10,'Engine Inputs'!$B$9)*$B$10,0)*'Engine Inputs'!$B$10/2)*(1-$B$8))-MIN((C23+(MIN(C23/$B$10,'Engine Inputs'!$B$9)*($B$9-'Engine Inputs'!$B$5-'Engine Inputs'!$B$6-2*'Engine Inputs'!$B$7*SQRT(MIN(C23/$B$10,'Engine Inputs'!$B$9)/'Engine Inputs'!$B$8))+MAX(C23-MIN(C23/$B$10,'Engine Inputs'!$B$9)*$B$10,0)*'Engine Inputs'!$B$10/2)*(1-$B$8))/$B$10,'Engine Inputs'!$B$9)*$B$10,0)*'Engine Inputs'!$B$10/2)*(1-$B$8)-INDEX('Rebuilt Scenarios'!$C$11:$C$25,A24)*(1-$B$8),C23+(($B$6*C23-$B$7)*(12/18))*(1-$B$8))</f>
        <v>2842358081.0277658</v>
      </c>
      <c r="D24" s="53">
        <f>MIN((D23+(MIN(D23/$B$10,'Engine Inputs'!$B$9)*($B$9-'Engine Inputs'!$B$5-'Engine Inputs'!$B$6-2*'Engine Inputs'!$B$7*SQRT(MIN(D23/$B$10,'Engine Inputs'!$B$9)/'Engine Inputs'!$B$8))+MAX(D23-MIN(D23/$B$10,'Engine Inputs'!$B$9)*$B$10,0)*'Engine Inputs'!$B$10/2)*(1-$B$8))+(MIN((D23+(MIN(D23/$B$10,'Engine Inputs'!$B$9)*($B$9-'Engine Inputs'!$B$5-'Engine Inputs'!$B$6-2*'Engine Inputs'!$B$7*SQRT(MIN(D23/$B$10,'Engine Inputs'!$B$9)/'Engine Inputs'!$B$8))+MAX(D23-MIN(D23/$B$10,'Engine Inputs'!$B$9)*$B$10,0)*'Engine Inputs'!$B$10/2)*(1-$B$8))/$B$10,'Engine Inputs'!$B$9)*($B$9-'Engine Inputs'!$B$5-'Engine Inputs'!$B$6-2*'Engine Inputs'!$B$7*SQRT(MIN((D23+(MIN(D23/$B$10,'Engine Inputs'!$B$9)*($B$9-'Engine Inputs'!$B$5-'Engine Inputs'!$B$6-2*'Engine Inputs'!$B$7*SQRT(MIN(D23/$B$10,'Engine Inputs'!$B$9)/'Engine Inputs'!$B$8))+MAX(D23-MIN(D23/$B$10,'Engine Inputs'!$B$9)*$B$10,0)*'Engine Inputs'!$B$10/2)*(1-$B$8))/$B$10,'Engine Inputs'!$B$9)/'Engine Inputs'!$B$8))+MAX((D23+(MIN(D23/$B$10,'Engine Inputs'!$B$9)*($B$9-'Engine Inputs'!$B$5-'Engine Inputs'!$B$6-2*'Engine Inputs'!$B$7*SQRT(MIN(D23/$B$10,'Engine Inputs'!$B$9)/'Engine Inputs'!$B$8))+MAX(D23-MIN(D23/$B$10,'Engine Inputs'!$B$9)*$B$10,0)*'Engine Inputs'!$B$10/2)*(1-$B$8))-MIN((D23+(MIN(D23/$B$10,'Engine Inputs'!$B$9)*($B$9-'Engine Inputs'!$B$5-'Engine Inputs'!$B$6-2*'Engine Inputs'!$B$7*SQRT(MIN(D23/$B$10,'Engine Inputs'!$B$9)/'Engine Inputs'!$B$8))+MAX(D23-MIN(D23/$B$10,'Engine Inputs'!$B$9)*$B$10,0)*'Engine Inputs'!$B$10/2)*(1-$B$8))/$B$10,'Engine Inputs'!$B$9)*$B$10,0)*'Engine Inputs'!$B$10/2)*(1-$B$8)-INDEX('Rebuilt Scenarios'!$C$11:$C$25,A24)*(1-$B$8),$B$5)</f>
        <v>1000000000</v>
      </c>
      <c r="E24" s="53">
        <f>IF(E23&gt;0,E23+(($B$6*E23-$B$7)*(12/18))*(1-$B$8),0)+MAX((D23+(MIN(D23/$B$10,'Engine Inputs'!$B$9)*($B$9-'Engine Inputs'!$B$5-'Engine Inputs'!$B$6-2*'Engine Inputs'!$B$7*SQRT(MIN(D23/$B$10,'Engine Inputs'!$B$9)/'Engine Inputs'!$B$8))+MAX(D23-MIN(D23/$B$10,'Engine Inputs'!$B$9)*$B$10,0)*'Engine Inputs'!$B$10/2)*(1-$B$8))+(MIN((D23+(MIN(D23/$B$10,'Engine Inputs'!$B$9)*($B$9-'Engine Inputs'!$B$5-'Engine Inputs'!$B$6-2*'Engine Inputs'!$B$7*SQRT(MIN(D23/$B$10,'Engine Inputs'!$B$9)/'Engine Inputs'!$B$8))+MAX(D23-MIN(D23/$B$10,'Engine Inputs'!$B$9)*$B$10,0)*'Engine Inputs'!$B$10/2)*(1-$B$8))/$B$10,'Engine Inputs'!$B$9)*($B$9-'Engine Inputs'!$B$5-'Engine Inputs'!$B$6-2*'Engine Inputs'!$B$7*SQRT(MIN((D23+(MIN(D23/$B$10,'Engine Inputs'!$B$9)*($B$9-'Engine Inputs'!$B$5-'Engine Inputs'!$B$6-2*'Engine Inputs'!$B$7*SQRT(MIN(D23/$B$10,'Engine Inputs'!$B$9)/'Engine Inputs'!$B$8))+MAX(D23-MIN(D23/$B$10,'Engine Inputs'!$B$9)*$B$10,0)*'Engine Inputs'!$B$10/2)*(1-$B$8))/$B$10,'Engine Inputs'!$B$9)/'Engine Inputs'!$B$8))+MAX((D23+(MIN(D23/$B$10,'Engine Inputs'!$B$9)*($B$9-'Engine Inputs'!$B$5-'Engine Inputs'!$B$6-2*'Engine Inputs'!$B$7*SQRT(MIN(D23/$B$10,'Engine Inputs'!$B$9)/'Engine Inputs'!$B$8))+MAX(D23-MIN(D23/$B$10,'Engine Inputs'!$B$9)*$B$10,0)*'Engine Inputs'!$B$10/2)*(1-$B$8))-MIN((D23+(MIN(D23/$B$10,'Engine Inputs'!$B$9)*($B$9-'Engine Inputs'!$B$5-'Engine Inputs'!$B$6-2*'Engine Inputs'!$B$7*SQRT(MIN(D23/$B$10,'Engine Inputs'!$B$9)/'Engine Inputs'!$B$8))+MAX(D23-MIN(D23/$B$10,'Engine Inputs'!$B$9)*$B$10,0)*'Engine Inputs'!$B$10/2)*(1-$B$8))/$B$10,'Engine Inputs'!$B$9)*$B$10,0)*'Engine Inputs'!$B$10/2)*(1-$B$8)-INDEX('Rebuilt Scenarios'!$C$11:$C$25,A24)*(1-$B$8)-$B$5,0)</f>
        <v>13997195668.350166</v>
      </c>
      <c r="F24" s="53">
        <f t="shared" si="0"/>
        <v>14997195668.350166</v>
      </c>
    </row>
    <row r="25" spans="1:6" ht="13.5" customHeight="1" x14ac:dyDescent="0.3">
      <c r="A25" s="10">
        <v>11</v>
      </c>
      <c r="B25" s="52">
        <f>(B24+(MIN(B24/$B$10,'Engine Inputs'!$B$9)*($B$9-'Engine Inputs'!$B$5-'Engine Inputs'!$B$6-2*'Engine Inputs'!$B$7*SQRT(MIN(B24/$B$10,'Engine Inputs'!$B$9)/'Engine Inputs'!$B$8))+MAX(B24-MIN(B24/$B$10,'Engine Inputs'!$B$9)*$B$10,0)*'Engine Inputs'!$B$10/2)*(1-$B$8))+(MIN((B24+(MIN(B24/$B$10,'Engine Inputs'!$B$9)*($B$9-'Engine Inputs'!$B$5-'Engine Inputs'!$B$6-2*'Engine Inputs'!$B$7*SQRT(MIN(B24/$B$10,'Engine Inputs'!$B$9)/'Engine Inputs'!$B$8))+MAX(B24-MIN(B24/$B$10,'Engine Inputs'!$B$9)*$B$10,0)*'Engine Inputs'!$B$10/2)*(1-$B$8))/$B$10,'Engine Inputs'!$B$9)*($B$9-'Engine Inputs'!$B$5-'Engine Inputs'!$B$6-2*'Engine Inputs'!$B$7*SQRT(MIN((B24+(MIN(B24/$B$10,'Engine Inputs'!$B$9)*($B$9-'Engine Inputs'!$B$5-'Engine Inputs'!$B$6-2*'Engine Inputs'!$B$7*SQRT(MIN(B24/$B$10,'Engine Inputs'!$B$9)/'Engine Inputs'!$B$8))+MAX(B24-MIN(B24/$B$10,'Engine Inputs'!$B$9)*$B$10,0)*'Engine Inputs'!$B$10/2)*(1-$B$8))/$B$10,'Engine Inputs'!$B$9)/'Engine Inputs'!$B$8))+MAX((B24+(MIN(B24/$B$10,'Engine Inputs'!$B$9)*($B$9-'Engine Inputs'!$B$5-'Engine Inputs'!$B$6-2*'Engine Inputs'!$B$7*SQRT(MIN(B24/$B$10,'Engine Inputs'!$B$9)/'Engine Inputs'!$B$8))+MAX(B24-MIN(B24/$B$10,'Engine Inputs'!$B$9)*$B$10,0)*'Engine Inputs'!$B$10/2)*(1-$B$8))-MIN((B24+(MIN(B24/$B$10,'Engine Inputs'!$B$9)*($B$9-'Engine Inputs'!$B$5-'Engine Inputs'!$B$6-2*'Engine Inputs'!$B$7*SQRT(MIN(B24/$B$10,'Engine Inputs'!$B$9)/'Engine Inputs'!$B$8))+MAX(B24-MIN(B24/$B$10,'Engine Inputs'!$B$9)*$B$10,0)*'Engine Inputs'!$B$10/2)*(1-$B$8))/$B$10,'Engine Inputs'!$B$9)*$B$10,0)*'Engine Inputs'!$B$10/2)*(1-$B$8)-INDEX('Rebuilt Scenarios'!$C$11:$C$25,A25)*(1-$B$8)</f>
        <v>9990018231.8578625</v>
      </c>
      <c r="C25" s="52">
        <f>IF(C24&lt;'Engine Inputs'!$B$11,(C24+(MIN(C24/$B$10,'Engine Inputs'!$B$9)*($B$9-'Engine Inputs'!$B$5-'Engine Inputs'!$B$6-2*'Engine Inputs'!$B$7*SQRT(MIN(C24/$B$10,'Engine Inputs'!$B$9)/'Engine Inputs'!$B$8))+MAX(C24-MIN(C24/$B$10,'Engine Inputs'!$B$9)*$B$10,0)*'Engine Inputs'!$B$10/2)*(1-$B$8))+(MIN((C24+(MIN(C24/$B$10,'Engine Inputs'!$B$9)*($B$9-'Engine Inputs'!$B$5-'Engine Inputs'!$B$6-2*'Engine Inputs'!$B$7*SQRT(MIN(C24/$B$10,'Engine Inputs'!$B$9)/'Engine Inputs'!$B$8))+MAX(C24-MIN(C24/$B$10,'Engine Inputs'!$B$9)*$B$10,0)*'Engine Inputs'!$B$10/2)*(1-$B$8))/$B$10,'Engine Inputs'!$B$9)*($B$9-'Engine Inputs'!$B$5-'Engine Inputs'!$B$6-2*'Engine Inputs'!$B$7*SQRT(MIN((C24+(MIN(C24/$B$10,'Engine Inputs'!$B$9)*($B$9-'Engine Inputs'!$B$5-'Engine Inputs'!$B$6-2*'Engine Inputs'!$B$7*SQRT(MIN(C24/$B$10,'Engine Inputs'!$B$9)/'Engine Inputs'!$B$8))+MAX(C24-MIN(C24/$B$10,'Engine Inputs'!$B$9)*$B$10,0)*'Engine Inputs'!$B$10/2)*(1-$B$8))/$B$10,'Engine Inputs'!$B$9)/'Engine Inputs'!$B$8))+MAX((C24+(MIN(C24/$B$10,'Engine Inputs'!$B$9)*($B$9-'Engine Inputs'!$B$5-'Engine Inputs'!$B$6-2*'Engine Inputs'!$B$7*SQRT(MIN(C24/$B$10,'Engine Inputs'!$B$9)/'Engine Inputs'!$B$8))+MAX(C24-MIN(C24/$B$10,'Engine Inputs'!$B$9)*$B$10,0)*'Engine Inputs'!$B$10/2)*(1-$B$8))-MIN((C24+(MIN(C24/$B$10,'Engine Inputs'!$B$9)*($B$9-'Engine Inputs'!$B$5-'Engine Inputs'!$B$6-2*'Engine Inputs'!$B$7*SQRT(MIN(C24/$B$10,'Engine Inputs'!$B$9)/'Engine Inputs'!$B$8))+MAX(C24-MIN(C24/$B$10,'Engine Inputs'!$B$9)*$B$10,0)*'Engine Inputs'!$B$10/2)*(1-$B$8))/$B$10,'Engine Inputs'!$B$9)*$B$10,0)*'Engine Inputs'!$B$10/2)*(1-$B$8)-INDEX('Rebuilt Scenarios'!$C$11:$C$25,A25)*(1-$B$8),C24+(($B$6*C24-$B$7)*(12/18))*(1-$B$8))</f>
        <v>3903360380.6251144</v>
      </c>
      <c r="D25" s="52">
        <f>MIN((D24+(MIN(D24/$B$10,'Engine Inputs'!$B$9)*($B$9-'Engine Inputs'!$B$5-'Engine Inputs'!$B$6-2*'Engine Inputs'!$B$7*SQRT(MIN(D24/$B$10,'Engine Inputs'!$B$9)/'Engine Inputs'!$B$8))+MAX(D24-MIN(D24/$B$10,'Engine Inputs'!$B$9)*$B$10,0)*'Engine Inputs'!$B$10/2)*(1-$B$8))+(MIN((D24+(MIN(D24/$B$10,'Engine Inputs'!$B$9)*($B$9-'Engine Inputs'!$B$5-'Engine Inputs'!$B$6-2*'Engine Inputs'!$B$7*SQRT(MIN(D24/$B$10,'Engine Inputs'!$B$9)/'Engine Inputs'!$B$8))+MAX(D24-MIN(D24/$B$10,'Engine Inputs'!$B$9)*$B$10,0)*'Engine Inputs'!$B$10/2)*(1-$B$8))/$B$10,'Engine Inputs'!$B$9)*($B$9-'Engine Inputs'!$B$5-'Engine Inputs'!$B$6-2*'Engine Inputs'!$B$7*SQRT(MIN((D24+(MIN(D24/$B$10,'Engine Inputs'!$B$9)*($B$9-'Engine Inputs'!$B$5-'Engine Inputs'!$B$6-2*'Engine Inputs'!$B$7*SQRT(MIN(D24/$B$10,'Engine Inputs'!$B$9)/'Engine Inputs'!$B$8))+MAX(D24-MIN(D24/$B$10,'Engine Inputs'!$B$9)*$B$10,0)*'Engine Inputs'!$B$10/2)*(1-$B$8))/$B$10,'Engine Inputs'!$B$9)/'Engine Inputs'!$B$8))+MAX((D24+(MIN(D24/$B$10,'Engine Inputs'!$B$9)*($B$9-'Engine Inputs'!$B$5-'Engine Inputs'!$B$6-2*'Engine Inputs'!$B$7*SQRT(MIN(D24/$B$10,'Engine Inputs'!$B$9)/'Engine Inputs'!$B$8))+MAX(D24-MIN(D24/$B$10,'Engine Inputs'!$B$9)*$B$10,0)*'Engine Inputs'!$B$10/2)*(1-$B$8))-MIN((D24+(MIN(D24/$B$10,'Engine Inputs'!$B$9)*($B$9-'Engine Inputs'!$B$5-'Engine Inputs'!$B$6-2*'Engine Inputs'!$B$7*SQRT(MIN(D24/$B$10,'Engine Inputs'!$B$9)/'Engine Inputs'!$B$8))+MAX(D24-MIN(D24/$B$10,'Engine Inputs'!$B$9)*$B$10,0)*'Engine Inputs'!$B$10/2)*(1-$B$8))/$B$10,'Engine Inputs'!$B$9)*$B$10,0)*'Engine Inputs'!$B$10/2)*(1-$B$8)-INDEX('Rebuilt Scenarios'!$C$11:$C$25,A25)*(1-$B$8),$B$5)</f>
        <v>1000000000</v>
      </c>
      <c r="E25" s="52">
        <f>IF(E24&gt;0,E24+(($B$6*E24-$B$7)*(12/18))*(1-$B$8),0)+MAX((D24+(MIN(D24/$B$10,'Engine Inputs'!$B$9)*($B$9-'Engine Inputs'!$B$5-'Engine Inputs'!$B$6-2*'Engine Inputs'!$B$7*SQRT(MIN(D24/$B$10,'Engine Inputs'!$B$9)/'Engine Inputs'!$B$8))+MAX(D24-MIN(D24/$B$10,'Engine Inputs'!$B$9)*$B$10,0)*'Engine Inputs'!$B$10/2)*(1-$B$8))+(MIN((D24+(MIN(D24/$B$10,'Engine Inputs'!$B$9)*($B$9-'Engine Inputs'!$B$5-'Engine Inputs'!$B$6-2*'Engine Inputs'!$B$7*SQRT(MIN(D24/$B$10,'Engine Inputs'!$B$9)/'Engine Inputs'!$B$8))+MAX(D24-MIN(D24/$B$10,'Engine Inputs'!$B$9)*$B$10,0)*'Engine Inputs'!$B$10/2)*(1-$B$8))/$B$10,'Engine Inputs'!$B$9)*($B$9-'Engine Inputs'!$B$5-'Engine Inputs'!$B$6-2*'Engine Inputs'!$B$7*SQRT(MIN((D24+(MIN(D24/$B$10,'Engine Inputs'!$B$9)*($B$9-'Engine Inputs'!$B$5-'Engine Inputs'!$B$6-2*'Engine Inputs'!$B$7*SQRT(MIN(D24/$B$10,'Engine Inputs'!$B$9)/'Engine Inputs'!$B$8))+MAX(D24-MIN(D24/$B$10,'Engine Inputs'!$B$9)*$B$10,0)*'Engine Inputs'!$B$10/2)*(1-$B$8))/$B$10,'Engine Inputs'!$B$9)/'Engine Inputs'!$B$8))+MAX((D24+(MIN(D24/$B$10,'Engine Inputs'!$B$9)*($B$9-'Engine Inputs'!$B$5-'Engine Inputs'!$B$6-2*'Engine Inputs'!$B$7*SQRT(MIN(D24/$B$10,'Engine Inputs'!$B$9)/'Engine Inputs'!$B$8))+MAX(D24-MIN(D24/$B$10,'Engine Inputs'!$B$9)*$B$10,0)*'Engine Inputs'!$B$10/2)*(1-$B$8))-MIN((D24+(MIN(D24/$B$10,'Engine Inputs'!$B$9)*($B$9-'Engine Inputs'!$B$5-'Engine Inputs'!$B$6-2*'Engine Inputs'!$B$7*SQRT(MIN(D24/$B$10,'Engine Inputs'!$B$9)/'Engine Inputs'!$B$8))+MAX(D24-MIN(D24/$B$10,'Engine Inputs'!$B$9)*$B$10,0)*'Engine Inputs'!$B$10/2)*(1-$B$8))/$B$10,'Engine Inputs'!$B$9)*$B$10,0)*'Engine Inputs'!$B$10/2)*(1-$B$8)-INDEX('Rebuilt Scenarios'!$C$11:$C$25,A25)*(1-$B$8)-$B$5,0)</f>
        <v>20509756707.889259</v>
      </c>
      <c r="F25" s="52">
        <f t="shared" si="0"/>
        <v>21509756707.889259</v>
      </c>
    </row>
    <row r="26" spans="1:6" ht="13.5" customHeight="1" x14ac:dyDescent="0.3">
      <c r="A26" s="13">
        <v>12</v>
      </c>
      <c r="B26" s="53">
        <f>(B25+(MIN(B25/$B$10,'Engine Inputs'!$B$9)*($B$9-'Engine Inputs'!$B$5-'Engine Inputs'!$B$6-2*'Engine Inputs'!$B$7*SQRT(MIN(B25/$B$10,'Engine Inputs'!$B$9)/'Engine Inputs'!$B$8))+MAX(B25-MIN(B25/$B$10,'Engine Inputs'!$B$9)*$B$10,0)*'Engine Inputs'!$B$10/2)*(1-$B$8))+(MIN((B25+(MIN(B25/$B$10,'Engine Inputs'!$B$9)*($B$9-'Engine Inputs'!$B$5-'Engine Inputs'!$B$6-2*'Engine Inputs'!$B$7*SQRT(MIN(B25/$B$10,'Engine Inputs'!$B$9)/'Engine Inputs'!$B$8))+MAX(B25-MIN(B25/$B$10,'Engine Inputs'!$B$9)*$B$10,0)*'Engine Inputs'!$B$10/2)*(1-$B$8))/$B$10,'Engine Inputs'!$B$9)*($B$9-'Engine Inputs'!$B$5-'Engine Inputs'!$B$6-2*'Engine Inputs'!$B$7*SQRT(MIN((B25+(MIN(B25/$B$10,'Engine Inputs'!$B$9)*($B$9-'Engine Inputs'!$B$5-'Engine Inputs'!$B$6-2*'Engine Inputs'!$B$7*SQRT(MIN(B25/$B$10,'Engine Inputs'!$B$9)/'Engine Inputs'!$B$8))+MAX(B25-MIN(B25/$B$10,'Engine Inputs'!$B$9)*$B$10,0)*'Engine Inputs'!$B$10/2)*(1-$B$8))/$B$10,'Engine Inputs'!$B$9)/'Engine Inputs'!$B$8))+MAX((B25+(MIN(B25/$B$10,'Engine Inputs'!$B$9)*($B$9-'Engine Inputs'!$B$5-'Engine Inputs'!$B$6-2*'Engine Inputs'!$B$7*SQRT(MIN(B25/$B$10,'Engine Inputs'!$B$9)/'Engine Inputs'!$B$8))+MAX(B25-MIN(B25/$B$10,'Engine Inputs'!$B$9)*$B$10,0)*'Engine Inputs'!$B$10/2)*(1-$B$8))-MIN((B25+(MIN(B25/$B$10,'Engine Inputs'!$B$9)*($B$9-'Engine Inputs'!$B$5-'Engine Inputs'!$B$6-2*'Engine Inputs'!$B$7*SQRT(MIN(B25/$B$10,'Engine Inputs'!$B$9)/'Engine Inputs'!$B$8))+MAX(B25-MIN(B25/$B$10,'Engine Inputs'!$B$9)*$B$10,0)*'Engine Inputs'!$B$10/2)*(1-$B$8))/$B$10,'Engine Inputs'!$B$9)*$B$10,0)*'Engine Inputs'!$B$10/2)*(1-$B$8)-INDEX('Rebuilt Scenarios'!$C$11:$C$25,A26)*(1-$B$8)</f>
        <v>11728594625.753168</v>
      </c>
      <c r="C26" s="53">
        <f>IF(C25&lt;'Engine Inputs'!$B$11,(C25+(MIN(C25/$B$10,'Engine Inputs'!$B$9)*($B$9-'Engine Inputs'!$B$5-'Engine Inputs'!$B$6-2*'Engine Inputs'!$B$7*SQRT(MIN(C25/$B$10,'Engine Inputs'!$B$9)/'Engine Inputs'!$B$8))+MAX(C25-MIN(C25/$B$10,'Engine Inputs'!$B$9)*$B$10,0)*'Engine Inputs'!$B$10/2)*(1-$B$8))+(MIN((C25+(MIN(C25/$B$10,'Engine Inputs'!$B$9)*($B$9-'Engine Inputs'!$B$5-'Engine Inputs'!$B$6-2*'Engine Inputs'!$B$7*SQRT(MIN(C25/$B$10,'Engine Inputs'!$B$9)/'Engine Inputs'!$B$8))+MAX(C25-MIN(C25/$B$10,'Engine Inputs'!$B$9)*$B$10,0)*'Engine Inputs'!$B$10/2)*(1-$B$8))/$B$10,'Engine Inputs'!$B$9)*($B$9-'Engine Inputs'!$B$5-'Engine Inputs'!$B$6-2*'Engine Inputs'!$B$7*SQRT(MIN((C25+(MIN(C25/$B$10,'Engine Inputs'!$B$9)*($B$9-'Engine Inputs'!$B$5-'Engine Inputs'!$B$6-2*'Engine Inputs'!$B$7*SQRT(MIN(C25/$B$10,'Engine Inputs'!$B$9)/'Engine Inputs'!$B$8))+MAX(C25-MIN(C25/$B$10,'Engine Inputs'!$B$9)*$B$10,0)*'Engine Inputs'!$B$10/2)*(1-$B$8))/$B$10,'Engine Inputs'!$B$9)/'Engine Inputs'!$B$8))+MAX((C25+(MIN(C25/$B$10,'Engine Inputs'!$B$9)*($B$9-'Engine Inputs'!$B$5-'Engine Inputs'!$B$6-2*'Engine Inputs'!$B$7*SQRT(MIN(C25/$B$10,'Engine Inputs'!$B$9)/'Engine Inputs'!$B$8))+MAX(C25-MIN(C25/$B$10,'Engine Inputs'!$B$9)*$B$10,0)*'Engine Inputs'!$B$10/2)*(1-$B$8))-MIN((C25+(MIN(C25/$B$10,'Engine Inputs'!$B$9)*($B$9-'Engine Inputs'!$B$5-'Engine Inputs'!$B$6-2*'Engine Inputs'!$B$7*SQRT(MIN(C25/$B$10,'Engine Inputs'!$B$9)/'Engine Inputs'!$B$8))+MAX(C25-MIN(C25/$B$10,'Engine Inputs'!$B$9)*$B$10,0)*'Engine Inputs'!$B$10/2)*(1-$B$8))/$B$10,'Engine Inputs'!$B$9)*$B$10,0)*'Engine Inputs'!$B$10/2)*(1-$B$8)-INDEX('Rebuilt Scenarios'!$C$11:$C$25,A26)*(1-$B$8),C25+(($B$6*C25-$B$7)*(12/18))*(1-$B$8))</f>
        <v>5361347300.6398067</v>
      </c>
      <c r="D26" s="53">
        <f>MIN((D25+(MIN(D25/$B$10,'Engine Inputs'!$B$9)*($B$9-'Engine Inputs'!$B$5-'Engine Inputs'!$B$6-2*'Engine Inputs'!$B$7*SQRT(MIN(D25/$B$10,'Engine Inputs'!$B$9)/'Engine Inputs'!$B$8))+MAX(D25-MIN(D25/$B$10,'Engine Inputs'!$B$9)*$B$10,0)*'Engine Inputs'!$B$10/2)*(1-$B$8))+(MIN((D25+(MIN(D25/$B$10,'Engine Inputs'!$B$9)*($B$9-'Engine Inputs'!$B$5-'Engine Inputs'!$B$6-2*'Engine Inputs'!$B$7*SQRT(MIN(D25/$B$10,'Engine Inputs'!$B$9)/'Engine Inputs'!$B$8))+MAX(D25-MIN(D25/$B$10,'Engine Inputs'!$B$9)*$B$10,0)*'Engine Inputs'!$B$10/2)*(1-$B$8))/$B$10,'Engine Inputs'!$B$9)*($B$9-'Engine Inputs'!$B$5-'Engine Inputs'!$B$6-2*'Engine Inputs'!$B$7*SQRT(MIN((D25+(MIN(D25/$B$10,'Engine Inputs'!$B$9)*($B$9-'Engine Inputs'!$B$5-'Engine Inputs'!$B$6-2*'Engine Inputs'!$B$7*SQRT(MIN(D25/$B$10,'Engine Inputs'!$B$9)/'Engine Inputs'!$B$8))+MAX(D25-MIN(D25/$B$10,'Engine Inputs'!$B$9)*$B$10,0)*'Engine Inputs'!$B$10/2)*(1-$B$8))/$B$10,'Engine Inputs'!$B$9)/'Engine Inputs'!$B$8))+MAX((D25+(MIN(D25/$B$10,'Engine Inputs'!$B$9)*($B$9-'Engine Inputs'!$B$5-'Engine Inputs'!$B$6-2*'Engine Inputs'!$B$7*SQRT(MIN(D25/$B$10,'Engine Inputs'!$B$9)/'Engine Inputs'!$B$8))+MAX(D25-MIN(D25/$B$10,'Engine Inputs'!$B$9)*$B$10,0)*'Engine Inputs'!$B$10/2)*(1-$B$8))-MIN((D25+(MIN(D25/$B$10,'Engine Inputs'!$B$9)*($B$9-'Engine Inputs'!$B$5-'Engine Inputs'!$B$6-2*'Engine Inputs'!$B$7*SQRT(MIN(D25/$B$10,'Engine Inputs'!$B$9)/'Engine Inputs'!$B$8))+MAX(D25-MIN(D25/$B$10,'Engine Inputs'!$B$9)*$B$10,0)*'Engine Inputs'!$B$10/2)*(1-$B$8))/$B$10,'Engine Inputs'!$B$9)*$B$10,0)*'Engine Inputs'!$B$10/2)*(1-$B$8)-INDEX('Rebuilt Scenarios'!$C$11:$C$25,A26)*(1-$B$8),$B$5)</f>
        <v>1000000000</v>
      </c>
      <c r="E26" s="53">
        <f>IF(E25&gt;0,E25+(($B$6*E25-$B$7)*(12/18))*(1-$B$8),0)+MAX((D25+(MIN(D25/$B$10,'Engine Inputs'!$B$9)*($B$9-'Engine Inputs'!$B$5-'Engine Inputs'!$B$6-2*'Engine Inputs'!$B$7*SQRT(MIN(D25/$B$10,'Engine Inputs'!$B$9)/'Engine Inputs'!$B$8))+MAX(D25-MIN(D25/$B$10,'Engine Inputs'!$B$9)*$B$10,0)*'Engine Inputs'!$B$10/2)*(1-$B$8))+(MIN((D25+(MIN(D25/$B$10,'Engine Inputs'!$B$9)*($B$9-'Engine Inputs'!$B$5-'Engine Inputs'!$B$6-2*'Engine Inputs'!$B$7*SQRT(MIN(D25/$B$10,'Engine Inputs'!$B$9)/'Engine Inputs'!$B$8))+MAX(D25-MIN(D25/$B$10,'Engine Inputs'!$B$9)*$B$10,0)*'Engine Inputs'!$B$10/2)*(1-$B$8))/$B$10,'Engine Inputs'!$B$9)*($B$9-'Engine Inputs'!$B$5-'Engine Inputs'!$B$6-2*'Engine Inputs'!$B$7*SQRT(MIN((D25+(MIN(D25/$B$10,'Engine Inputs'!$B$9)*($B$9-'Engine Inputs'!$B$5-'Engine Inputs'!$B$6-2*'Engine Inputs'!$B$7*SQRT(MIN(D25/$B$10,'Engine Inputs'!$B$9)/'Engine Inputs'!$B$8))+MAX(D25-MIN(D25/$B$10,'Engine Inputs'!$B$9)*$B$10,0)*'Engine Inputs'!$B$10/2)*(1-$B$8))/$B$10,'Engine Inputs'!$B$9)/'Engine Inputs'!$B$8))+MAX((D25+(MIN(D25/$B$10,'Engine Inputs'!$B$9)*($B$9-'Engine Inputs'!$B$5-'Engine Inputs'!$B$6-2*'Engine Inputs'!$B$7*SQRT(MIN(D25/$B$10,'Engine Inputs'!$B$9)/'Engine Inputs'!$B$8))+MAX(D25-MIN(D25/$B$10,'Engine Inputs'!$B$9)*$B$10,0)*'Engine Inputs'!$B$10/2)*(1-$B$8))-MIN((D25+(MIN(D25/$B$10,'Engine Inputs'!$B$9)*($B$9-'Engine Inputs'!$B$5-'Engine Inputs'!$B$6-2*'Engine Inputs'!$B$7*SQRT(MIN(D25/$B$10,'Engine Inputs'!$B$9)/'Engine Inputs'!$B$8))+MAX(D25-MIN(D25/$B$10,'Engine Inputs'!$B$9)*$B$10,0)*'Engine Inputs'!$B$10/2)*(1-$B$8))/$B$10,'Engine Inputs'!$B$9)*$B$10,0)*'Engine Inputs'!$B$10/2)*(1-$B$8)-INDEX('Rebuilt Scenarios'!$C$11:$C$25,A26)*(1-$B$8)-$B$5,0)</f>
        <v>29459057585.9823</v>
      </c>
      <c r="F26" s="53">
        <f t="shared" si="0"/>
        <v>30459057585.9823</v>
      </c>
    </row>
    <row r="27" spans="1:6" ht="13.5" customHeight="1" x14ac:dyDescent="0.3">
      <c r="A27" s="10">
        <v>13</v>
      </c>
      <c r="B27" s="52">
        <f>(B26+(MIN(B26/$B$10,'Engine Inputs'!$B$9)*($B$9-'Engine Inputs'!$B$5-'Engine Inputs'!$B$6-2*'Engine Inputs'!$B$7*SQRT(MIN(B26/$B$10,'Engine Inputs'!$B$9)/'Engine Inputs'!$B$8))+MAX(B26-MIN(B26/$B$10,'Engine Inputs'!$B$9)*$B$10,0)*'Engine Inputs'!$B$10/2)*(1-$B$8))+(MIN((B26+(MIN(B26/$B$10,'Engine Inputs'!$B$9)*($B$9-'Engine Inputs'!$B$5-'Engine Inputs'!$B$6-2*'Engine Inputs'!$B$7*SQRT(MIN(B26/$B$10,'Engine Inputs'!$B$9)/'Engine Inputs'!$B$8))+MAX(B26-MIN(B26/$B$10,'Engine Inputs'!$B$9)*$B$10,0)*'Engine Inputs'!$B$10/2)*(1-$B$8))/$B$10,'Engine Inputs'!$B$9)*($B$9-'Engine Inputs'!$B$5-'Engine Inputs'!$B$6-2*'Engine Inputs'!$B$7*SQRT(MIN((B26+(MIN(B26/$B$10,'Engine Inputs'!$B$9)*($B$9-'Engine Inputs'!$B$5-'Engine Inputs'!$B$6-2*'Engine Inputs'!$B$7*SQRT(MIN(B26/$B$10,'Engine Inputs'!$B$9)/'Engine Inputs'!$B$8))+MAX(B26-MIN(B26/$B$10,'Engine Inputs'!$B$9)*$B$10,0)*'Engine Inputs'!$B$10/2)*(1-$B$8))/$B$10,'Engine Inputs'!$B$9)/'Engine Inputs'!$B$8))+MAX((B26+(MIN(B26/$B$10,'Engine Inputs'!$B$9)*($B$9-'Engine Inputs'!$B$5-'Engine Inputs'!$B$6-2*'Engine Inputs'!$B$7*SQRT(MIN(B26/$B$10,'Engine Inputs'!$B$9)/'Engine Inputs'!$B$8))+MAX(B26-MIN(B26/$B$10,'Engine Inputs'!$B$9)*$B$10,0)*'Engine Inputs'!$B$10/2)*(1-$B$8))-MIN((B26+(MIN(B26/$B$10,'Engine Inputs'!$B$9)*($B$9-'Engine Inputs'!$B$5-'Engine Inputs'!$B$6-2*'Engine Inputs'!$B$7*SQRT(MIN(B26/$B$10,'Engine Inputs'!$B$9)/'Engine Inputs'!$B$8))+MAX(B26-MIN(B26/$B$10,'Engine Inputs'!$B$9)*$B$10,0)*'Engine Inputs'!$B$10/2)*(1-$B$8))/$B$10,'Engine Inputs'!$B$9)*$B$10,0)*'Engine Inputs'!$B$10/2)*(1-$B$8)-INDEX('Rebuilt Scenarios'!$C$11:$C$25,A27)*(1-$B$8)</f>
        <v>13552765102.701193</v>
      </c>
      <c r="C27" s="52">
        <f>IF(C26&lt;'Engine Inputs'!$B$11,(C26+(MIN(C26/$B$10,'Engine Inputs'!$B$9)*($B$9-'Engine Inputs'!$B$5-'Engine Inputs'!$B$6-2*'Engine Inputs'!$B$7*SQRT(MIN(C26/$B$10,'Engine Inputs'!$B$9)/'Engine Inputs'!$B$8))+MAX(C26-MIN(C26/$B$10,'Engine Inputs'!$B$9)*$B$10,0)*'Engine Inputs'!$B$10/2)*(1-$B$8))+(MIN((C26+(MIN(C26/$B$10,'Engine Inputs'!$B$9)*($B$9-'Engine Inputs'!$B$5-'Engine Inputs'!$B$6-2*'Engine Inputs'!$B$7*SQRT(MIN(C26/$B$10,'Engine Inputs'!$B$9)/'Engine Inputs'!$B$8))+MAX(C26-MIN(C26/$B$10,'Engine Inputs'!$B$9)*$B$10,0)*'Engine Inputs'!$B$10/2)*(1-$B$8))/$B$10,'Engine Inputs'!$B$9)*($B$9-'Engine Inputs'!$B$5-'Engine Inputs'!$B$6-2*'Engine Inputs'!$B$7*SQRT(MIN((C26+(MIN(C26/$B$10,'Engine Inputs'!$B$9)*($B$9-'Engine Inputs'!$B$5-'Engine Inputs'!$B$6-2*'Engine Inputs'!$B$7*SQRT(MIN(C26/$B$10,'Engine Inputs'!$B$9)/'Engine Inputs'!$B$8))+MAX(C26-MIN(C26/$B$10,'Engine Inputs'!$B$9)*$B$10,0)*'Engine Inputs'!$B$10/2)*(1-$B$8))/$B$10,'Engine Inputs'!$B$9)/'Engine Inputs'!$B$8))+MAX((C26+(MIN(C26/$B$10,'Engine Inputs'!$B$9)*($B$9-'Engine Inputs'!$B$5-'Engine Inputs'!$B$6-2*'Engine Inputs'!$B$7*SQRT(MIN(C26/$B$10,'Engine Inputs'!$B$9)/'Engine Inputs'!$B$8))+MAX(C26-MIN(C26/$B$10,'Engine Inputs'!$B$9)*$B$10,0)*'Engine Inputs'!$B$10/2)*(1-$B$8))-MIN((C26+(MIN(C26/$B$10,'Engine Inputs'!$B$9)*($B$9-'Engine Inputs'!$B$5-'Engine Inputs'!$B$6-2*'Engine Inputs'!$B$7*SQRT(MIN(C26/$B$10,'Engine Inputs'!$B$9)/'Engine Inputs'!$B$8))+MAX(C26-MIN(C26/$B$10,'Engine Inputs'!$B$9)*$B$10,0)*'Engine Inputs'!$B$10/2)*(1-$B$8))/$B$10,'Engine Inputs'!$B$9)*$B$10,0)*'Engine Inputs'!$B$10/2)*(1-$B$8)-INDEX('Rebuilt Scenarios'!$C$11:$C$25,A27)*(1-$B$8),C26+(($B$6*C26-$B$7)*(12/18))*(1-$B$8))</f>
        <v>7364854606.6471968</v>
      </c>
      <c r="D27" s="52">
        <f>MIN((D26+(MIN(D26/$B$10,'Engine Inputs'!$B$9)*($B$9-'Engine Inputs'!$B$5-'Engine Inputs'!$B$6-2*'Engine Inputs'!$B$7*SQRT(MIN(D26/$B$10,'Engine Inputs'!$B$9)/'Engine Inputs'!$B$8))+MAX(D26-MIN(D26/$B$10,'Engine Inputs'!$B$9)*$B$10,0)*'Engine Inputs'!$B$10/2)*(1-$B$8))+(MIN((D26+(MIN(D26/$B$10,'Engine Inputs'!$B$9)*($B$9-'Engine Inputs'!$B$5-'Engine Inputs'!$B$6-2*'Engine Inputs'!$B$7*SQRT(MIN(D26/$B$10,'Engine Inputs'!$B$9)/'Engine Inputs'!$B$8))+MAX(D26-MIN(D26/$B$10,'Engine Inputs'!$B$9)*$B$10,0)*'Engine Inputs'!$B$10/2)*(1-$B$8))/$B$10,'Engine Inputs'!$B$9)*($B$9-'Engine Inputs'!$B$5-'Engine Inputs'!$B$6-2*'Engine Inputs'!$B$7*SQRT(MIN((D26+(MIN(D26/$B$10,'Engine Inputs'!$B$9)*($B$9-'Engine Inputs'!$B$5-'Engine Inputs'!$B$6-2*'Engine Inputs'!$B$7*SQRT(MIN(D26/$B$10,'Engine Inputs'!$B$9)/'Engine Inputs'!$B$8))+MAX(D26-MIN(D26/$B$10,'Engine Inputs'!$B$9)*$B$10,0)*'Engine Inputs'!$B$10/2)*(1-$B$8))/$B$10,'Engine Inputs'!$B$9)/'Engine Inputs'!$B$8))+MAX((D26+(MIN(D26/$B$10,'Engine Inputs'!$B$9)*($B$9-'Engine Inputs'!$B$5-'Engine Inputs'!$B$6-2*'Engine Inputs'!$B$7*SQRT(MIN(D26/$B$10,'Engine Inputs'!$B$9)/'Engine Inputs'!$B$8))+MAX(D26-MIN(D26/$B$10,'Engine Inputs'!$B$9)*$B$10,0)*'Engine Inputs'!$B$10/2)*(1-$B$8))-MIN((D26+(MIN(D26/$B$10,'Engine Inputs'!$B$9)*($B$9-'Engine Inputs'!$B$5-'Engine Inputs'!$B$6-2*'Engine Inputs'!$B$7*SQRT(MIN(D26/$B$10,'Engine Inputs'!$B$9)/'Engine Inputs'!$B$8))+MAX(D26-MIN(D26/$B$10,'Engine Inputs'!$B$9)*$B$10,0)*'Engine Inputs'!$B$10/2)*(1-$B$8))/$B$10,'Engine Inputs'!$B$9)*$B$10,0)*'Engine Inputs'!$B$10/2)*(1-$B$8)-INDEX('Rebuilt Scenarios'!$C$11:$C$25,A27)*(1-$B$8),$B$5)</f>
        <v>1000000000</v>
      </c>
      <c r="E27" s="52">
        <f>IF(E26&gt;0,E26+(($B$6*E26-$B$7)*(12/18))*(1-$B$8),0)+MAX((D26+(MIN(D26/$B$10,'Engine Inputs'!$B$9)*($B$9-'Engine Inputs'!$B$5-'Engine Inputs'!$B$6-2*'Engine Inputs'!$B$7*SQRT(MIN(D26/$B$10,'Engine Inputs'!$B$9)/'Engine Inputs'!$B$8))+MAX(D26-MIN(D26/$B$10,'Engine Inputs'!$B$9)*$B$10,0)*'Engine Inputs'!$B$10/2)*(1-$B$8))+(MIN((D26+(MIN(D26/$B$10,'Engine Inputs'!$B$9)*($B$9-'Engine Inputs'!$B$5-'Engine Inputs'!$B$6-2*'Engine Inputs'!$B$7*SQRT(MIN(D26/$B$10,'Engine Inputs'!$B$9)/'Engine Inputs'!$B$8))+MAX(D26-MIN(D26/$B$10,'Engine Inputs'!$B$9)*$B$10,0)*'Engine Inputs'!$B$10/2)*(1-$B$8))/$B$10,'Engine Inputs'!$B$9)*($B$9-'Engine Inputs'!$B$5-'Engine Inputs'!$B$6-2*'Engine Inputs'!$B$7*SQRT(MIN((D26+(MIN(D26/$B$10,'Engine Inputs'!$B$9)*($B$9-'Engine Inputs'!$B$5-'Engine Inputs'!$B$6-2*'Engine Inputs'!$B$7*SQRT(MIN(D26/$B$10,'Engine Inputs'!$B$9)/'Engine Inputs'!$B$8))+MAX(D26-MIN(D26/$B$10,'Engine Inputs'!$B$9)*$B$10,0)*'Engine Inputs'!$B$10/2)*(1-$B$8))/$B$10,'Engine Inputs'!$B$9)/'Engine Inputs'!$B$8))+MAX((D26+(MIN(D26/$B$10,'Engine Inputs'!$B$9)*($B$9-'Engine Inputs'!$B$5-'Engine Inputs'!$B$6-2*'Engine Inputs'!$B$7*SQRT(MIN(D26/$B$10,'Engine Inputs'!$B$9)/'Engine Inputs'!$B$8))+MAX(D26-MIN(D26/$B$10,'Engine Inputs'!$B$9)*$B$10,0)*'Engine Inputs'!$B$10/2)*(1-$B$8))-MIN((D26+(MIN(D26/$B$10,'Engine Inputs'!$B$9)*($B$9-'Engine Inputs'!$B$5-'Engine Inputs'!$B$6-2*'Engine Inputs'!$B$7*SQRT(MIN(D26/$B$10,'Engine Inputs'!$B$9)/'Engine Inputs'!$B$8))+MAX(D26-MIN(D26/$B$10,'Engine Inputs'!$B$9)*$B$10,0)*'Engine Inputs'!$B$10/2)*(1-$B$8))/$B$10,'Engine Inputs'!$B$9)*$B$10,0)*'Engine Inputs'!$B$10/2)*(1-$B$8)-INDEX('Rebuilt Scenarios'!$C$11:$C$25,A27)*(1-$B$8)-$B$5,0)</f>
        <v>41756828880.622635</v>
      </c>
      <c r="F27" s="52">
        <f t="shared" si="0"/>
        <v>42756828880.622635</v>
      </c>
    </row>
    <row r="28" spans="1:6" ht="13.5" customHeight="1" x14ac:dyDescent="0.3">
      <c r="A28" s="13">
        <v>14</v>
      </c>
      <c r="B28" s="53">
        <f>(B27+(MIN(B27/$B$10,'Engine Inputs'!$B$9)*($B$9-'Engine Inputs'!$B$5-'Engine Inputs'!$B$6-2*'Engine Inputs'!$B$7*SQRT(MIN(B27/$B$10,'Engine Inputs'!$B$9)/'Engine Inputs'!$B$8))+MAX(B27-MIN(B27/$B$10,'Engine Inputs'!$B$9)*$B$10,0)*'Engine Inputs'!$B$10/2)*(1-$B$8))+(MIN((B27+(MIN(B27/$B$10,'Engine Inputs'!$B$9)*($B$9-'Engine Inputs'!$B$5-'Engine Inputs'!$B$6-2*'Engine Inputs'!$B$7*SQRT(MIN(B27/$B$10,'Engine Inputs'!$B$9)/'Engine Inputs'!$B$8))+MAX(B27-MIN(B27/$B$10,'Engine Inputs'!$B$9)*$B$10,0)*'Engine Inputs'!$B$10/2)*(1-$B$8))/$B$10,'Engine Inputs'!$B$9)*($B$9-'Engine Inputs'!$B$5-'Engine Inputs'!$B$6-2*'Engine Inputs'!$B$7*SQRT(MIN((B27+(MIN(B27/$B$10,'Engine Inputs'!$B$9)*($B$9-'Engine Inputs'!$B$5-'Engine Inputs'!$B$6-2*'Engine Inputs'!$B$7*SQRT(MIN(B27/$B$10,'Engine Inputs'!$B$9)/'Engine Inputs'!$B$8))+MAX(B27-MIN(B27/$B$10,'Engine Inputs'!$B$9)*$B$10,0)*'Engine Inputs'!$B$10/2)*(1-$B$8))/$B$10,'Engine Inputs'!$B$9)/'Engine Inputs'!$B$8))+MAX((B27+(MIN(B27/$B$10,'Engine Inputs'!$B$9)*($B$9-'Engine Inputs'!$B$5-'Engine Inputs'!$B$6-2*'Engine Inputs'!$B$7*SQRT(MIN(B27/$B$10,'Engine Inputs'!$B$9)/'Engine Inputs'!$B$8))+MAX(B27-MIN(B27/$B$10,'Engine Inputs'!$B$9)*$B$10,0)*'Engine Inputs'!$B$10/2)*(1-$B$8))-MIN((B27+(MIN(B27/$B$10,'Engine Inputs'!$B$9)*($B$9-'Engine Inputs'!$B$5-'Engine Inputs'!$B$6-2*'Engine Inputs'!$B$7*SQRT(MIN(B27/$B$10,'Engine Inputs'!$B$9)/'Engine Inputs'!$B$8))+MAX(B27-MIN(B27/$B$10,'Engine Inputs'!$B$9)*$B$10,0)*'Engine Inputs'!$B$10/2)*(1-$B$8))/$B$10,'Engine Inputs'!$B$9)*$B$10,0)*'Engine Inputs'!$B$10/2)*(1-$B$8)-INDEX('Rebuilt Scenarios'!$C$11:$C$25,A28)*(1-$B$8)</f>
        <v>15466743654.724009</v>
      </c>
      <c r="C28" s="53">
        <f>IF(C27&lt;'Engine Inputs'!$B$11,(C27+(MIN(C27/$B$10,'Engine Inputs'!$B$9)*($B$9-'Engine Inputs'!$B$5-'Engine Inputs'!$B$6-2*'Engine Inputs'!$B$7*SQRT(MIN(C27/$B$10,'Engine Inputs'!$B$9)/'Engine Inputs'!$B$8))+MAX(C27-MIN(C27/$B$10,'Engine Inputs'!$B$9)*$B$10,0)*'Engine Inputs'!$B$10/2)*(1-$B$8))+(MIN((C27+(MIN(C27/$B$10,'Engine Inputs'!$B$9)*($B$9-'Engine Inputs'!$B$5-'Engine Inputs'!$B$6-2*'Engine Inputs'!$B$7*SQRT(MIN(C27/$B$10,'Engine Inputs'!$B$9)/'Engine Inputs'!$B$8))+MAX(C27-MIN(C27/$B$10,'Engine Inputs'!$B$9)*$B$10,0)*'Engine Inputs'!$B$10/2)*(1-$B$8))/$B$10,'Engine Inputs'!$B$9)*($B$9-'Engine Inputs'!$B$5-'Engine Inputs'!$B$6-2*'Engine Inputs'!$B$7*SQRT(MIN((C27+(MIN(C27/$B$10,'Engine Inputs'!$B$9)*($B$9-'Engine Inputs'!$B$5-'Engine Inputs'!$B$6-2*'Engine Inputs'!$B$7*SQRT(MIN(C27/$B$10,'Engine Inputs'!$B$9)/'Engine Inputs'!$B$8))+MAX(C27-MIN(C27/$B$10,'Engine Inputs'!$B$9)*$B$10,0)*'Engine Inputs'!$B$10/2)*(1-$B$8))/$B$10,'Engine Inputs'!$B$9)/'Engine Inputs'!$B$8))+MAX((C27+(MIN(C27/$B$10,'Engine Inputs'!$B$9)*($B$9-'Engine Inputs'!$B$5-'Engine Inputs'!$B$6-2*'Engine Inputs'!$B$7*SQRT(MIN(C27/$B$10,'Engine Inputs'!$B$9)/'Engine Inputs'!$B$8))+MAX(C27-MIN(C27/$B$10,'Engine Inputs'!$B$9)*$B$10,0)*'Engine Inputs'!$B$10/2)*(1-$B$8))-MIN((C27+(MIN(C27/$B$10,'Engine Inputs'!$B$9)*($B$9-'Engine Inputs'!$B$5-'Engine Inputs'!$B$6-2*'Engine Inputs'!$B$7*SQRT(MIN(C27/$B$10,'Engine Inputs'!$B$9)/'Engine Inputs'!$B$8))+MAX(C27-MIN(C27/$B$10,'Engine Inputs'!$B$9)*$B$10,0)*'Engine Inputs'!$B$10/2)*(1-$B$8))/$B$10,'Engine Inputs'!$B$9)*$B$10,0)*'Engine Inputs'!$B$10/2)*(1-$B$8)-INDEX('Rebuilt Scenarios'!$C$11:$C$25,A28)*(1-$B$8),C27+(($B$6*C27-$B$7)*(12/18))*(1-$B$8))</f>
        <v>10117994206.270311</v>
      </c>
      <c r="D28" s="53">
        <f>MIN((D27+(MIN(D27/$B$10,'Engine Inputs'!$B$9)*($B$9-'Engine Inputs'!$B$5-'Engine Inputs'!$B$6-2*'Engine Inputs'!$B$7*SQRT(MIN(D27/$B$10,'Engine Inputs'!$B$9)/'Engine Inputs'!$B$8))+MAX(D27-MIN(D27/$B$10,'Engine Inputs'!$B$9)*$B$10,0)*'Engine Inputs'!$B$10/2)*(1-$B$8))+(MIN((D27+(MIN(D27/$B$10,'Engine Inputs'!$B$9)*($B$9-'Engine Inputs'!$B$5-'Engine Inputs'!$B$6-2*'Engine Inputs'!$B$7*SQRT(MIN(D27/$B$10,'Engine Inputs'!$B$9)/'Engine Inputs'!$B$8))+MAX(D27-MIN(D27/$B$10,'Engine Inputs'!$B$9)*$B$10,0)*'Engine Inputs'!$B$10/2)*(1-$B$8))/$B$10,'Engine Inputs'!$B$9)*($B$9-'Engine Inputs'!$B$5-'Engine Inputs'!$B$6-2*'Engine Inputs'!$B$7*SQRT(MIN((D27+(MIN(D27/$B$10,'Engine Inputs'!$B$9)*($B$9-'Engine Inputs'!$B$5-'Engine Inputs'!$B$6-2*'Engine Inputs'!$B$7*SQRT(MIN(D27/$B$10,'Engine Inputs'!$B$9)/'Engine Inputs'!$B$8))+MAX(D27-MIN(D27/$B$10,'Engine Inputs'!$B$9)*$B$10,0)*'Engine Inputs'!$B$10/2)*(1-$B$8))/$B$10,'Engine Inputs'!$B$9)/'Engine Inputs'!$B$8))+MAX((D27+(MIN(D27/$B$10,'Engine Inputs'!$B$9)*($B$9-'Engine Inputs'!$B$5-'Engine Inputs'!$B$6-2*'Engine Inputs'!$B$7*SQRT(MIN(D27/$B$10,'Engine Inputs'!$B$9)/'Engine Inputs'!$B$8))+MAX(D27-MIN(D27/$B$10,'Engine Inputs'!$B$9)*$B$10,0)*'Engine Inputs'!$B$10/2)*(1-$B$8))-MIN((D27+(MIN(D27/$B$10,'Engine Inputs'!$B$9)*($B$9-'Engine Inputs'!$B$5-'Engine Inputs'!$B$6-2*'Engine Inputs'!$B$7*SQRT(MIN(D27/$B$10,'Engine Inputs'!$B$9)/'Engine Inputs'!$B$8))+MAX(D27-MIN(D27/$B$10,'Engine Inputs'!$B$9)*$B$10,0)*'Engine Inputs'!$B$10/2)*(1-$B$8))/$B$10,'Engine Inputs'!$B$9)*$B$10,0)*'Engine Inputs'!$B$10/2)*(1-$B$8)-INDEX('Rebuilt Scenarios'!$C$11:$C$25,A28)*(1-$B$8),$B$5)</f>
        <v>1000000000</v>
      </c>
      <c r="E28" s="53">
        <f>IF(E27&gt;0,E27+(($B$6*E27-$B$7)*(12/18))*(1-$B$8),0)+MAX((D27+(MIN(D27/$B$10,'Engine Inputs'!$B$9)*($B$9-'Engine Inputs'!$B$5-'Engine Inputs'!$B$6-2*'Engine Inputs'!$B$7*SQRT(MIN(D27/$B$10,'Engine Inputs'!$B$9)/'Engine Inputs'!$B$8))+MAX(D27-MIN(D27/$B$10,'Engine Inputs'!$B$9)*$B$10,0)*'Engine Inputs'!$B$10/2)*(1-$B$8))+(MIN((D27+(MIN(D27/$B$10,'Engine Inputs'!$B$9)*($B$9-'Engine Inputs'!$B$5-'Engine Inputs'!$B$6-2*'Engine Inputs'!$B$7*SQRT(MIN(D27/$B$10,'Engine Inputs'!$B$9)/'Engine Inputs'!$B$8))+MAX(D27-MIN(D27/$B$10,'Engine Inputs'!$B$9)*$B$10,0)*'Engine Inputs'!$B$10/2)*(1-$B$8))/$B$10,'Engine Inputs'!$B$9)*($B$9-'Engine Inputs'!$B$5-'Engine Inputs'!$B$6-2*'Engine Inputs'!$B$7*SQRT(MIN((D27+(MIN(D27/$B$10,'Engine Inputs'!$B$9)*($B$9-'Engine Inputs'!$B$5-'Engine Inputs'!$B$6-2*'Engine Inputs'!$B$7*SQRT(MIN(D27/$B$10,'Engine Inputs'!$B$9)/'Engine Inputs'!$B$8))+MAX(D27-MIN(D27/$B$10,'Engine Inputs'!$B$9)*$B$10,0)*'Engine Inputs'!$B$10/2)*(1-$B$8))/$B$10,'Engine Inputs'!$B$9)/'Engine Inputs'!$B$8))+MAX((D27+(MIN(D27/$B$10,'Engine Inputs'!$B$9)*($B$9-'Engine Inputs'!$B$5-'Engine Inputs'!$B$6-2*'Engine Inputs'!$B$7*SQRT(MIN(D27/$B$10,'Engine Inputs'!$B$9)/'Engine Inputs'!$B$8))+MAX(D27-MIN(D27/$B$10,'Engine Inputs'!$B$9)*$B$10,0)*'Engine Inputs'!$B$10/2)*(1-$B$8))-MIN((D27+(MIN(D27/$B$10,'Engine Inputs'!$B$9)*($B$9-'Engine Inputs'!$B$5-'Engine Inputs'!$B$6-2*'Engine Inputs'!$B$7*SQRT(MIN(D27/$B$10,'Engine Inputs'!$B$9)/'Engine Inputs'!$B$8))+MAX(D27-MIN(D27/$B$10,'Engine Inputs'!$B$9)*$B$10,0)*'Engine Inputs'!$B$10/2)*(1-$B$8))/$B$10,'Engine Inputs'!$B$9)*$B$10,0)*'Engine Inputs'!$B$10/2)*(1-$B$8)-INDEX('Rebuilt Scenarios'!$C$11:$C$25,A28)*(1-$B$8)-$B$5,0)</f>
        <v>58655934282.865593</v>
      </c>
      <c r="F28" s="53">
        <f t="shared" si="0"/>
        <v>59655934282.865593</v>
      </c>
    </row>
    <row r="29" spans="1:6" ht="13.5" customHeight="1" x14ac:dyDescent="0.3">
      <c r="A29" s="10">
        <v>15</v>
      </c>
      <c r="B29" s="52">
        <f>(B28+(MIN(B28/$B$10,'Engine Inputs'!$B$9)*($B$9-'Engine Inputs'!$B$5-'Engine Inputs'!$B$6-2*'Engine Inputs'!$B$7*SQRT(MIN(B28/$B$10,'Engine Inputs'!$B$9)/'Engine Inputs'!$B$8))+MAX(B28-MIN(B28/$B$10,'Engine Inputs'!$B$9)*$B$10,0)*'Engine Inputs'!$B$10/2)*(1-$B$8))+(MIN((B28+(MIN(B28/$B$10,'Engine Inputs'!$B$9)*($B$9-'Engine Inputs'!$B$5-'Engine Inputs'!$B$6-2*'Engine Inputs'!$B$7*SQRT(MIN(B28/$B$10,'Engine Inputs'!$B$9)/'Engine Inputs'!$B$8))+MAX(B28-MIN(B28/$B$10,'Engine Inputs'!$B$9)*$B$10,0)*'Engine Inputs'!$B$10/2)*(1-$B$8))/$B$10,'Engine Inputs'!$B$9)*($B$9-'Engine Inputs'!$B$5-'Engine Inputs'!$B$6-2*'Engine Inputs'!$B$7*SQRT(MIN((B28+(MIN(B28/$B$10,'Engine Inputs'!$B$9)*($B$9-'Engine Inputs'!$B$5-'Engine Inputs'!$B$6-2*'Engine Inputs'!$B$7*SQRT(MIN(B28/$B$10,'Engine Inputs'!$B$9)/'Engine Inputs'!$B$8))+MAX(B28-MIN(B28/$B$10,'Engine Inputs'!$B$9)*$B$10,0)*'Engine Inputs'!$B$10/2)*(1-$B$8))/$B$10,'Engine Inputs'!$B$9)/'Engine Inputs'!$B$8))+MAX((B28+(MIN(B28/$B$10,'Engine Inputs'!$B$9)*($B$9-'Engine Inputs'!$B$5-'Engine Inputs'!$B$6-2*'Engine Inputs'!$B$7*SQRT(MIN(B28/$B$10,'Engine Inputs'!$B$9)/'Engine Inputs'!$B$8))+MAX(B28-MIN(B28/$B$10,'Engine Inputs'!$B$9)*$B$10,0)*'Engine Inputs'!$B$10/2)*(1-$B$8))-MIN((B28+(MIN(B28/$B$10,'Engine Inputs'!$B$9)*($B$9-'Engine Inputs'!$B$5-'Engine Inputs'!$B$6-2*'Engine Inputs'!$B$7*SQRT(MIN(B28/$B$10,'Engine Inputs'!$B$9)/'Engine Inputs'!$B$8))+MAX(B28-MIN(B28/$B$10,'Engine Inputs'!$B$9)*$B$10,0)*'Engine Inputs'!$B$10/2)*(1-$B$8))/$B$10,'Engine Inputs'!$B$9)*$B$10,0)*'Engine Inputs'!$B$10/2)*(1-$B$8)-INDEX('Rebuilt Scenarios'!$C$11:$C$25,A29)*(1-$B$8)</f>
        <v>17474951738.286655</v>
      </c>
      <c r="C29" s="52">
        <f>IF(C28&lt;'Engine Inputs'!$B$11,(C28+(MIN(C28/$B$10,'Engine Inputs'!$B$9)*($B$9-'Engine Inputs'!$B$5-'Engine Inputs'!$B$6-2*'Engine Inputs'!$B$7*SQRT(MIN(C28/$B$10,'Engine Inputs'!$B$9)/'Engine Inputs'!$B$8))+MAX(C28-MIN(C28/$B$10,'Engine Inputs'!$B$9)*$B$10,0)*'Engine Inputs'!$B$10/2)*(1-$B$8))+(MIN((C28+(MIN(C28/$B$10,'Engine Inputs'!$B$9)*($B$9-'Engine Inputs'!$B$5-'Engine Inputs'!$B$6-2*'Engine Inputs'!$B$7*SQRT(MIN(C28/$B$10,'Engine Inputs'!$B$9)/'Engine Inputs'!$B$8))+MAX(C28-MIN(C28/$B$10,'Engine Inputs'!$B$9)*$B$10,0)*'Engine Inputs'!$B$10/2)*(1-$B$8))/$B$10,'Engine Inputs'!$B$9)*($B$9-'Engine Inputs'!$B$5-'Engine Inputs'!$B$6-2*'Engine Inputs'!$B$7*SQRT(MIN((C28+(MIN(C28/$B$10,'Engine Inputs'!$B$9)*($B$9-'Engine Inputs'!$B$5-'Engine Inputs'!$B$6-2*'Engine Inputs'!$B$7*SQRT(MIN(C28/$B$10,'Engine Inputs'!$B$9)/'Engine Inputs'!$B$8))+MAX(C28-MIN(C28/$B$10,'Engine Inputs'!$B$9)*$B$10,0)*'Engine Inputs'!$B$10/2)*(1-$B$8))/$B$10,'Engine Inputs'!$B$9)/'Engine Inputs'!$B$8))+MAX((C28+(MIN(C28/$B$10,'Engine Inputs'!$B$9)*($B$9-'Engine Inputs'!$B$5-'Engine Inputs'!$B$6-2*'Engine Inputs'!$B$7*SQRT(MIN(C28/$B$10,'Engine Inputs'!$B$9)/'Engine Inputs'!$B$8))+MAX(C28-MIN(C28/$B$10,'Engine Inputs'!$B$9)*$B$10,0)*'Engine Inputs'!$B$10/2)*(1-$B$8))-MIN((C28+(MIN(C28/$B$10,'Engine Inputs'!$B$9)*($B$9-'Engine Inputs'!$B$5-'Engine Inputs'!$B$6-2*'Engine Inputs'!$B$7*SQRT(MIN(C28/$B$10,'Engine Inputs'!$B$9)/'Engine Inputs'!$B$8))+MAX(C28-MIN(C28/$B$10,'Engine Inputs'!$B$9)*$B$10,0)*'Engine Inputs'!$B$10/2)*(1-$B$8))/$B$10,'Engine Inputs'!$B$9)*$B$10,0)*'Engine Inputs'!$B$10/2)*(1-$B$8)-INDEX('Rebuilt Scenarios'!$C$11:$C$25,A29)*(1-$B$8),C28+(($B$6*C28-$B$7)*(12/18))*(1-$B$8))</f>
        <v>13901248518.488411</v>
      </c>
      <c r="D29" s="52">
        <f>MIN((D28+(MIN(D28/$B$10,'Engine Inputs'!$B$9)*($B$9-'Engine Inputs'!$B$5-'Engine Inputs'!$B$6-2*'Engine Inputs'!$B$7*SQRT(MIN(D28/$B$10,'Engine Inputs'!$B$9)/'Engine Inputs'!$B$8))+MAX(D28-MIN(D28/$B$10,'Engine Inputs'!$B$9)*$B$10,0)*'Engine Inputs'!$B$10/2)*(1-$B$8))+(MIN((D28+(MIN(D28/$B$10,'Engine Inputs'!$B$9)*($B$9-'Engine Inputs'!$B$5-'Engine Inputs'!$B$6-2*'Engine Inputs'!$B$7*SQRT(MIN(D28/$B$10,'Engine Inputs'!$B$9)/'Engine Inputs'!$B$8))+MAX(D28-MIN(D28/$B$10,'Engine Inputs'!$B$9)*$B$10,0)*'Engine Inputs'!$B$10/2)*(1-$B$8))/$B$10,'Engine Inputs'!$B$9)*($B$9-'Engine Inputs'!$B$5-'Engine Inputs'!$B$6-2*'Engine Inputs'!$B$7*SQRT(MIN((D28+(MIN(D28/$B$10,'Engine Inputs'!$B$9)*($B$9-'Engine Inputs'!$B$5-'Engine Inputs'!$B$6-2*'Engine Inputs'!$B$7*SQRT(MIN(D28/$B$10,'Engine Inputs'!$B$9)/'Engine Inputs'!$B$8))+MAX(D28-MIN(D28/$B$10,'Engine Inputs'!$B$9)*$B$10,0)*'Engine Inputs'!$B$10/2)*(1-$B$8))/$B$10,'Engine Inputs'!$B$9)/'Engine Inputs'!$B$8))+MAX((D28+(MIN(D28/$B$10,'Engine Inputs'!$B$9)*($B$9-'Engine Inputs'!$B$5-'Engine Inputs'!$B$6-2*'Engine Inputs'!$B$7*SQRT(MIN(D28/$B$10,'Engine Inputs'!$B$9)/'Engine Inputs'!$B$8))+MAX(D28-MIN(D28/$B$10,'Engine Inputs'!$B$9)*$B$10,0)*'Engine Inputs'!$B$10/2)*(1-$B$8))-MIN((D28+(MIN(D28/$B$10,'Engine Inputs'!$B$9)*($B$9-'Engine Inputs'!$B$5-'Engine Inputs'!$B$6-2*'Engine Inputs'!$B$7*SQRT(MIN(D28/$B$10,'Engine Inputs'!$B$9)/'Engine Inputs'!$B$8))+MAX(D28-MIN(D28/$B$10,'Engine Inputs'!$B$9)*$B$10,0)*'Engine Inputs'!$B$10/2)*(1-$B$8))/$B$10,'Engine Inputs'!$B$9)*$B$10,0)*'Engine Inputs'!$B$10/2)*(1-$B$8)-INDEX('Rebuilt Scenarios'!$C$11:$C$25,A29)*(1-$B$8),$B$5)</f>
        <v>1000000000</v>
      </c>
      <c r="E29" s="52">
        <f>IF(E28&gt;0,E28+(($B$6*E28-$B$7)*(12/18))*(1-$B$8),0)+MAX((D28+(MIN(D28/$B$10,'Engine Inputs'!$B$9)*($B$9-'Engine Inputs'!$B$5-'Engine Inputs'!$B$6-2*'Engine Inputs'!$B$7*SQRT(MIN(D28/$B$10,'Engine Inputs'!$B$9)/'Engine Inputs'!$B$8))+MAX(D28-MIN(D28/$B$10,'Engine Inputs'!$B$9)*$B$10,0)*'Engine Inputs'!$B$10/2)*(1-$B$8))+(MIN((D28+(MIN(D28/$B$10,'Engine Inputs'!$B$9)*($B$9-'Engine Inputs'!$B$5-'Engine Inputs'!$B$6-2*'Engine Inputs'!$B$7*SQRT(MIN(D28/$B$10,'Engine Inputs'!$B$9)/'Engine Inputs'!$B$8))+MAX(D28-MIN(D28/$B$10,'Engine Inputs'!$B$9)*$B$10,0)*'Engine Inputs'!$B$10/2)*(1-$B$8))/$B$10,'Engine Inputs'!$B$9)*($B$9-'Engine Inputs'!$B$5-'Engine Inputs'!$B$6-2*'Engine Inputs'!$B$7*SQRT(MIN((D28+(MIN(D28/$B$10,'Engine Inputs'!$B$9)*($B$9-'Engine Inputs'!$B$5-'Engine Inputs'!$B$6-2*'Engine Inputs'!$B$7*SQRT(MIN(D28/$B$10,'Engine Inputs'!$B$9)/'Engine Inputs'!$B$8))+MAX(D28-MIN(D28/$B$10,'Engine Inputs'!$B$9)*$B$10,0)*'Engine Inputs'!$B$10/2)*(1-$B$8))/$B$10,'Engine Inputs'!$B$9)/'Engine Inputs'!$B$8))+MAX((D28+(MIN(D28/$B$10,'Engine Inputs'!$B$9)*($B$9-'Engine Inputs'!$B$5-'Engine Inputs'!$B$6-2*'Engine Inputs'!$B$7*SQRT(MIN(D28/$B$10,'Engine Inputs'!$B$9)/'Engine Inputs'!$B$8))+MAX(D28-MIN(D28/$B$10,'Engine Inputs'!$B$9)*$B$10,0)*'Engine Inputs'!$B$10/2)*(1-$B$8))-MIN((D28+(MIN(D28/$B$10,'Engine Inputs'!$B$9)*($B$9-'Engine Inputs'!$B$5-'Engine Inputs'!$B$6-2*'Engine Inputs'!$B$7*SQRT(MIN(D28/$B$10,'Engine Inputs'!$B$9)/'Engine Inputs'!$B$8))+MAX(D28-MIN(D28/$B$10,'Engine Inputs'!$B$9)*$B$10,0)*'Engine Inputs'!$B$10/2)*(1-$B$8))/$B$10,'Engine Inputs'!$B$9)*$B$10,0)*'Engine Inputs'!$B$10/2)*(1-$B$8)-INDEX('Rebuilt Scenarios'!$C$11:$C$25,A29)*(1-$B$8)-$B$5,0)</f>
        <v>81878008962.411774</v>
      </c>
      <c r="F29" s="52">
        <f t="shared" si="0"/>
        <v>82878008962.411774</v>
      </c>
    </row>
    <row r="31" spans="1:6" ht="15" customHeight="1" x14ac:dyDescent="0.3">
      <c r="A31" s="68" t="s">
        <v>125</v>
      </c>
      <c r="B31" s="69">
        <f>B29/10000000</f>
        <v>1747.4951738286654</v>
      </c>
      <c r="C31" s="69">
        <f>C29/10000000</f>
        <v>1390.124851848841</v>
      </c>
      <c r="F31" s="69">
        <f>F29/10000000</f>
        <v>8287.8008962411768</v>
      </c>
    </row>
    <row r="32" spans="1:6" ht="15" customHeight="1" x14ac:dyDescent="0.3">
      <c r="A32" s="68" t="s">
        <v>126</v>
      </c>
      <c r="B32" s="70">
        <f>F29/B29</f>
        <v>4.7426745551937994</v>
      </c>
    </row>
  </sheetData>
  <mergeCells count="3">
    <mergeCell ref="A1:F1"/>
    <mergeCell ref="A2:F2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A227"/>
  </sheetPr>
  <dimension ref="A1:O87"/>
  <sheetViews>
    <sheetView showGridLines="0" topLeftCell="A38" zoomScaleNormal="100" workbookViewId="0">
      <selection activeCell="G57" sqref="G57"/>
    </sheetView>
  </sheetViews>
  <sheetFormatPr defaultColWidth="8.6640625" defaultRowHeight="14.4" x14ac:dyDescent="0.3"/>
  <cols>
    <col min="1" max="1" width="34" customWidth="1"/>
    <col min="2" max="4" width="15" customWidth="1"/>
    <col min="5" max="10" width="13" customWidth="1"/>
    <col min="11" max="11" width="16" customWidth="1"/>
    <col min="12" max="12" width="11" customWidth="1"/>
    <col min="13" max="14" width="12" customWidth="1"/>
    <col min="15" max="15" width="15" customWidth="1"/>
  </cols>
  <sheetData>
    <row r="1" spans="1:15" ht="33.75" customHeight="1" x14ac:dyDescent="0.3">
      <c r="A1" s="138" t="s">
        <v>127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2" spans="1:15" ht="19.5" customHeight="1" x14ac:dyDescent="0.3">
      <c r="A2" s="139" t="s">
        <v>128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 ht="6" customHeight="1" x14ac:dyDescent="0.3"/>
    <row r="4" spans="1:15" ht="21.75" customHeight="1" x14ac:dyDescent="0.3">
      <c r="A4" s="140" t="s">
        <v>129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</row>
    <row r="5" spans="1:15" ht="15.75" customHeight="1" x14ac:dyDescent="0.3">
      <c r="A5" s="3" t="s">
        <v>130</v>
      </c>
      <c r="B5" s="71">
        <v>2</v>
      </c>
      <c r="C5" s="72" t="s">
        <v>131</v>
      </c>
    </row>
    <row r="6" spans="1:15" ht="15.75" customHeight="1" x14ac:dyDescent="0.3">
      <c r="A6" s="3" t="s">
        <v>132</v>
      </c>
      <c r="B6" s="61">
        <v>1.5</v>
      </c>
      <c r="C6" s="72" t="s">
        <v>133</v>
      </c>
    </row>
    <row r="7" spans="1:15" ht="15.75" customHeight="1" x14ac:dyDescent="0.3">
      <c r="A7" s="3" t="s">
        <v>134</v>
      </c>
      <c r="B7" s="73">
        <v>18</v>
      </c>
      <c r="C7" s="72" t="s">
        <v>135</v>
      </c>
    </row>
    <row r="8" spans="1:15" ht="15.75" customHeight="1" x14ac:dyDescent="0.3">
      <c r="A8" s="3" t="s">
        <v>136</v>
      </c>
      <c r="B8" s="71">
        <v>20</v>
      </c>
      <c r="C8" s="72" t="s">
        <v>137</v>
      </c>
    </row>
    <row r="9" spans="1:15" ht="15.75" customHeight="1" x14ac:dyDescent="0.3">
      <c r="A9" s="3" t="s">
        <v>138</v>
      </c>
      <c r="B9" s="74">
        <v>94.98</v>
      </c>
      <c r="C9" s="72"/>
    </row>
    <row r="10" spans="1:15" ht="15.75" customHeight="1" x14ac:dyDescent="0.3">
      <c r="A10" s="3" t="s">
        <v>139</v>
      </c>
      <c r="B10" s="4">
        <v>0.25168000000000001</v>
      </c>
      <c r="C10" s="72" t="s">
        <v>140</v>
      </c>
    </row>
    <row r="11" spans="1:15" ht="15.75" customHeight="1" x14ac:dyDescent="0.3">
      <c r="A11" s="3" t="s">
        <v>141</v>
      </c>
      <c r="B11" s="71">
        <v>0.5</v>
      </c>
      <c r="C11" s="72" t="s">
        <v>142</v>
      </c>
    </row>
    <row r="12" spans="1:15" ht="15.75" customHeight="1" x14ac:dyDescent="0.3">
      <c r="A12" s="3" t="s">
        <v>143</v>
      </c>
      <c r="B12" s="75">
        <v>82683</v>
      </c>
      <c r="C12" s="72" t="s">
        <v>144</v>
      </c>
    </row>
    <row r="13" spans="1:15" ht="15.75" customHeight="1" x14ac:dyDescent="0.3">
      <c r="A13" s="3" t="s">
        <v>145</v>
      </c>
      <c r="B13" s="75">
        <v>352235</v>
      </c>
      <c r="C13" s="72" t="s">
        <v>146</v>
      </c>
    </row>
    <row r="14" spans="1:15" ht="15.75" customHeight="1" x14ac:dyDescent="0.3">
      <c r="A14" s="3" t="s">
        <v>147</v>
      </c>
      <c r="B14" s="75">
        <v>662516</v>
      </c>
      <c r="C14" s="72" t="s">
        <v>148</v>
      </c>
    </row>
    <row r="15" spans="1:15" ht="15.75" customHeight="1" x14ac:dyDescent="0.3">
      <c r="A15" s="3" t="s">
        <v>149</v>
      </c>
      <c r="B15" s="73">
        <v>0</v>
      </c>
      <c r="C15" s="72" t="s">
        <v>150</v>
      </c>
    </row>
    <row r="16" spans="1:15" ht="15.75" customHeight="1" x14ac:dyDescent="0.3">
      <c r="A16" s="3" t="s">
        <v>151</v>
      </c>
      <c r="B16" s="73">
        <v>45</v>
      </c>
      <c r="C16" s="72" t="s">
        <v>152</v>
      </c>
    </row>
    <row r="17" spans="1:15" ht="15.75" customHeight="1" x14ac:dyDescent="0.3">
      <c r="A17" s="3" t="s">
        <v>153</v>
      </c>
      <c r="B17" s="73">
        <v>45</v>
      </c>
      <c r="C17" s="72" t="s">
        <v>154</v>
      </c>
    </row>
    <row r="18" spans="1:15" ht="15.75" customHeight="1" x14ac:dyDescent="0.3">
      <c r="A18" s="3" t="s">
        <v>155</v>
      </c>
      <c r="B18" s="75">
        <v>60000000</v>
      </c>
      <c r="C18" s="72" t="s">
        <v>156</v>
      </c>
    </row>
    <row r="19" spans="1:15" ht="15.75" customHeight="1" x14ac:dyDescent="0.3">
      <c r="A19" s="3" t="s">
        <v>157</v>
      </c>
      <c r="B19" s="8">
        <v>0.125</v>
      </c>
      <c r="C19" s="72"/>
    </row>
    <row r="20" spans="1:15" ht="15.75" customHeight="1" x14ac:dyDescent="0.3">
      <c r="A20" s="3" t="s">
        <v>158</v>
      </c>
      <c r="B20" s="61">
        <v>0.3</v>
      </c>
      <c r="C20" s="72" t="s">
        <v>159</v>
      </c>
    </row>
    <row r="21" spans="1:15" ht="15.75" customHeight="1" x14ac:dyDescent="0.3">
      <c r="A21" s="3" t="s">
        <v>160</v>
      </c>
      <c r="B21" s="61">
        <v>0.04</v>
      </c>
      <c r="C21" s="72"/>
    </row>
    <row r="22" spans="1:15" ht="6" customHeight="1" x14ac:dyDescent="0.3"/>
    <row r="23" spans="1:15" ht="21.75" customHeight="1" x14ac:dyDescent="0.3">
      <c r="A23" s="140" t="s">
        <v>161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</row>
    <row r="24" spans="1:15" ht="15.75" customHeight="1" x14ac:dyDescent="0.3">
      <c r="A24" s="76" t="s">
        <v>162</v>
      </c>
      <c r="B24" s="77">
        <f>IF(B15=1,B13,B12)</f>
        <v>82683</v>
      </c>
    </row>
    <row r="25" spans="1:15" ht="15.75" customHeight="1" x14ac:dyDescent="0.3">
      <c r="A25" s="76" t="s">
        <v>163</v>
      </c>
      <c r="B25" s="77">
        <f>B24*B16</f>
        <v>3720735</v>
      </c>
    </row>
    <row r="26" spans="1:15" ht="15.75" customHeight="1" x14ac:dyDescent="0.3">
      <c r="A26" s="76" t="s">
        <v>164</v>
      </c>
      <c r="B26" s="78">
        <f>B25*B9/10000000</f>
        <v>35.339541029999999</v>
      </c>
    </row>
    <row r="27" spans="1:15" ht="15.75" customHeight="1" x14ac:dyDescent="0.3">
      <c r="A27" s="76" t="s">
        <v>165</v>
      </c>
      <c r="B27" s="78">
        <f>B18*B9/10000000</f>
        <v>569.88</v>
      </c>
    </row>
    <row r="28" spans="1:15" ht="15.75" customHeight="1" x14ac:dyDescent="0.3">
      <c r="A28" s="76" t="s">
        <v>166</v>
      </c>
      <c r="B28" s="63">
        <f>'Engine Inputs'!B10</f>
        <v>6.5000000000000002E-2</v>
      </c>
    </row>
    <row r="29" spans="1:15" ht="15.75" customHeight="1" x14ac:dyDescent="0.3">
      <c r="A29" s="76" t="s">
        <v>167</v>
      </c>
      <c r="B29" s="78">
        <f>B26/(1+B6)</f>
        <v>14.135816412</v>
      </c>
      <c r="C29" s="78">
        <f>B27/(1+B6)</f>
        <v>227.952</v>
      </c>
    </row>
    <row r="30" spans="1:15" x14ac:dyDescent="0.3">
      <c r="A30" s="59" t="s">
        <v>168</v>
      </c>
    </row>
    <row r="31" spans="1:15" ht="21.75" customHeight="1" x14ac:dyDescent="0.3">
      <c r="A31" s="140" t="s">
        <v>169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</row>
    <row r="32" spans="1:15" ht="15" customHeight="1" x14ac:dyDescent="0.3">
      <c r="A32" s="79">
        <v>0</v>
      </c>
      <c r="B32" s="80">
        <v>0</v>
      </c>
      <c r="C32" s="81">
        <f>$B$20*(1+B32)*(1+$B$21)</f>
        <v>0.312</v>
      </c>
    </row>
    <row r="33" spans="1:15" ht="15" customHeight="1" x14ac:dyDescent="0.3">
      <c r="A33" s="82">
        <v>0.5</v>
      </c>
      <c r="B33" s="83">
        <v>0.1</v>
      </c>
      <c r="C33" s="84">
        <f>$B$20*(1+B33)*(1+$B$21)</f>
        <v>0.34320000000000001</v>
      </c>
    </row>
    <row r="34" spans="1:15" ht="15" customHeight="1" x14ac:dyDescent="0.3">
      <c r="A34" s="85">
        <v>1</v>
      </c>
      <c r="B34" s="86">
        <v>0.15</v>
      </c>
      <c r="C34" s="87">
        <f>$B$20*(1+B34)*(1+$B$21)</f>
        <v>0.35880000000000001</v>
      </c>
    </row>
    <row r="35" spans="1:15" ht="15" customHeight="1" x14ac:dyDescent="0.3">
      <c r="A35" s="82">
        <v>2</v>
      </c>
      <c r="B35" s="83">
        <v>0.25</v>
      </c>
      <c r="C35" s="84">
        <f>$B$20*(1+B35)*(1+$B$21)</f>
        <v>0.39</v>
      </c>
    </row>
    <row r="36" spans="1:15" ht="15" customHeight="1" x14ac:dyDescent="0.3">
      <c r="A36" s="88" t="s">
        <v>170</v>
      </c>
      <c r="B36" s="89">
        <v>0.15</v>
      </c>
    </row>
    <row r="37" spans="1:15" ht="6" customHeight="1" x14ac:dyDescent="0.3"/>
    <row r="38" spans="1:15" ht="21.75" customHeight="1" x14ac:dyDescent="0.3">
      <c r="A38" s="140" t="s">
        <v>171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</row>
    <row r="39" spans="1:15" ht="30" customHeight="1" x14ac:dyDescent="0.3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s">
        <v>177</v>
      </c>
      <c r="G39" s="2" t="s">
        <v>178</v>
      </c>
      <c r="H39" s="2" t="s">
        <v>179</v>
      </c>
      <c r="I39" s="2" t="s">
        <v>180</v>
      </c>
      <c r="J39" s="2" t="s">
        <v>181</v>
      </c>
      <c r="K39" s="2" t="s">
        <v>182</v>
      </c>
      <c r="L39" s="2" t="s">
        <v>183</v>
      </c>
      <c r="M39" s="2" t="s">
        <v>184</v>
      </c>
      <c r="N39" s="2" t="s">
        <v>185</v>
      </c>
      <c r="O39" s="2" t="s">
        <v>186</v>
      </c>
    </row>
    <row r="40" spans="1:15" ht="15" customHeight="1" x14ac:dyDescent="0.3">
      <c r="A40" s="90">
        <v>1</v>
      </c>
      <c r="B40" s="91">
        <f>$B$5</f>
        <v>2</v>
      </c>
      <c r="C40" s="92" t="str">
        <f t="shared" ref="C40:C59" si="0">IF(B40&gt;=$B$8,"GIFT FIF (IFSC) Corp","Individual LRS")</f>
        <v>Individual LRS</v>
      </c>
      <c r="D40" s="92" t="str">
        <f t="shared" ref="D40:D59" si="1">IF(B40&gt;$B$29,"SGX/ICE FFA blocks","BDRY (45-day iceberg)")</f>
        <v>BDRY (45-day iceberg)</v>
      </c>
      <c r="E40" s="93">
        <f t="shared" ref="E40:E59" si="2">IF(B40&gt;$B$29,$C$29,$B$29)</f>
        <v>14.135816412</v>
      </c>
      <c r="F40" s="93">
        <f t="shared" ref="F40:F59" si="3">MIN(B40,E40)</f>
        <v>2</v>
      </c>
      <c r="G40" s="93">
        <f t="shared" ref="G40:G59" si="4">B40-F40</f>
        <v>0</v>
      </c>
      <c r="H40" s="93">
        <f t="shared" ref="H40:H59" si="5">F40*$B$6+G40*$B$28*$B$7/12</f>
        <v>3</v>
      </c>
      <c r="I40" s="93">
        <f t="shared" ref="I40:I59" si="6">IF(B40&gt;=$B$8,$B$11,0)</f>
        <v>0</v>
      </c>
      <c r="J40" s="93">
        <f t="shared" ref="J40:J59" si="7">MAX(H40-I40,0)</f>
        <v>3</v>
      </c>
      <c r="K40" s="92" t="str">
        <f t="shared" ref="K40:K59" si="8">IF(B40&gt;=$B$8,"115BAA corp",IF($B$7&gt;=24,"LTCG 112 (12.5%)","STCG @ slab"))</f>
        <v>STCG @ slab</v>
      </c>
      <c r="L40" s="94">
        <f t="shared" ref="L40:L59" si="9">IF(B40&gt;=$B$8,$B$10,IF($B$7&gt;=24,$B$19*(1+MIN(VLOOKUP(J40,$A$32:$B$35,2),$B$36))*(1+$B$21),$B$20*(1+VLOOKUP(J40,$A$32:$B$35,2))*(1+$B$21)))</f>
        <v>0.39</v>
      </c>
      <c r="M40" s="93">
        <f t="shared" ref="M40:M59" si="10">J40*L40</f>
        <v>1.17</v>
      </c>
      <c r="N40" s="91">
        <f t="shared" ref="N40:N59" si="11">B40+H40-I40-M40</f>
        <v>3.83</v>
      </c>
      <c r="O40" s="95">
        <f t="shared" ref="O40:O59" si="12">N40*10000000/$B$9</f>
        <v>403242.78795535903</v>
      </c>
    </row>
    <row r="41" spans="1:15" ht="15" customHeight="1" x14ac:dyDescent="0.3">
      <c r="A41" s="96">
        <v>2</v>
      </c>
      <c r="B41" s="97">
        <f t="shared" ref="B41:B59" si="13">N40</f>
        <v>3.83</v>
      </c>
      <c r="C41" s="98" t="str">
        <f t="shared" si="0"/>
        <v>Individual LRS</v>
      </c>
      <c r="D41" s="98" t="str">
        <f t="shared" si="1"/>
        <v>BDRY (45-day iceberg)</v>
      </c>
      <c r="E41" s="99">
        <f t="shared" si="2"/>
        <v>14.135816412</v>
      </c>
      <c r="F41" s="99">
        <f t="shared" si="3"/>
        <v>3.83</v>
      </c>
      <c r="G41" s="99">
        <f t="shared" si="4"/>
        <v>0</v>
      </c>
      <c r="H41" s="99">
        <f t="shared" si="5"/>
        <v>5.7450000000000001</v>
      </c>
      <c r="I41" s="99">
        <f t="shared" si="6"/>
        <v>0</v>
      </c>
      <c r="J41" s="99">
        <f t="shared" si="7"/>
        <v>5.7450000000000001</v>
      </c>
      <c r="K41" s="98" t="str">
        <f t="shared" si="8"/>
        <v>STCG @ slab</v>
      </c>
      <c r="L41" s="100">
        <f t="shared" si="9"/>
        <v>0.39</v>
      </c>
      <c r="M41" s="99">
        <f t="shared" si="10"/>
        <v>2.2405500000000003</v>
      </c>
      <c r="N41" s="97">
        <f t="shared" si="11"/>
        <v>7.3344499999999986</v>
      </c>
      <c r="O41" s="101">
        <f t="shared" si="12"/>
        <v>772209.93893451232</v>
      </c>
    </row>
    <row r="42" spans="1:15" ht="15" customHeight="1" x14ac:dyDescent="0.3">
      <c r="A42" s="90">
        <v>3</v>
      </c>
      <c r="B42" s="91">
        <f t="shared" si="13"/>
        <v>7.3344499999999986</v>
      </c>
      <c r="C42" s="92" t="str">
        <f t="shared" si="0"/>
        <v>Individual LRS</v>
      </c>
      <c r="D42" s="92" t="str">
        <f t="shared" si="1"/>
        <v>BDRY (45-day iceberg)</v>
      </c>
      <c r="E42" s="93">
        <f t="shared" si="2"/>
        <v>14.135816412</v>
      </c>
      <c r="F42" s="93">
        <f t="shared" si="3"/>
        <v>7.3344499999999986</v>
      </c>
      <c r="G42" s="93">
        <f t="shared" si="4"/>
        <v>0</v>
      </c>
      <c r="H42" s="93">
        <f t="shared" si="5"/>
        <v>11.001674999999999</v>
      </c>
      <c r="I42" s="93">
        <f t="shared" si="6"/>
        <v>0</v>
      </c>
      <c r="J42" s="93">
        <f t="shared" si="7"/>
        <v>11.001674999999999</v>
      </c>
      <c r="K42" s="92" t="str">
        <f t="shared" si="8"/>
        <v>STCG @ slab</v>
      </c>
      <c r="L42" s="94">
        <f t="shared" si="9"/>
        <v>0.39</v>
      </c>
      <c r="M42" s="93">
        <f t="shared" si="10"/>
        <v>4.2906532500000001</v>
      </c>
      <c r="N42" s="91">
        <f t="shared" si="11"/>
        <v>14.045471749999995</v>
      </c>
      <c r="O42" s="95">
        <f t="shared" si="12"/>
        <v>1478782.0330595907</v>
      </c>
    </row>
    <row r="43" spans="1:15" ht="15" customHeight="1" x14ac:dyDescent="0.3">
      <c r="A43" s="96">
        <v>4</v>
      </c>
      <c r="B43" s="97">
        <f t="shared" si="13"/>
        <v>14.045471749999995</v>
      </c>
      <c r="C43" s="98" t="str">
        <f t="shared" si="0"/>
        <v>Individual LRS</v>
      </c>
      <c r="D43" s="98" t="str">
        <f t="shared" si="1"/>
        <v>BDRY (45-day iceberg)</v>
      </c>
      <c r="E43" s="99">
        <f t="shared" si="2"/>
        <v>14.135816412</v>
      </c>
      <c r="F43" s="99">
        <f t="shared" si="3"/>
        <v>14.045471749999995</v>
      </c>
      <c r="G43" s="99">
        <f t="shared" si="4"/>
        <v>0</v>
      </c>
      <c r="H43" s="99">
        <f t="shared" si="5"/>
        <v>21.068207624999992</v>
      </c>
      <c r="I43" s="99">
        <f t="shared" si="6"/>
        <v>0</v>
      </c>
      <c r="J43" s="99">
        <f t="shared" si="7"/>
        <v>21.068207624999992</v>
      </c>
      <c r="K43" s="98" t="str">
        <f t="shared" si="8"/>
        <v>STCG @ slab</v>
      </c>
      <c r="L43" s="100">
        <f t="shared" si="9"/>
        <v>0.39</v>
      </c>
      <c r="M43" s="99">
        <f t="shared" si="10"/>
        <v>8.2166009737499976</v>
      </c>
      <c r="N43" s="97">
        <f t="shared" si="11"/>
        <v>26.897078401249992</v>
      </c>
      <c r="O43" s="101">
        <f t="shared" si="12"/>
        <v>2831867.593309117</v>
      </c>
    </row>
    <row r="44" spans="1:15" ht="15" customHeight="1" x14ac:dyDescent="0.3">
      <c r="A44" s="90">
        <v>5</v>
      </c>
      <c r="B44" s="91">
        <f t="shared" si="13"/>
        <v>26.897078401249992</v>
      </c>
      <c r="C44" s="92" t="str">
        <f t="shared" si="0"/>
        <v>GIFT FIF (IFSC) Corp</v>
      </c>
      <c r="D44" s="92" t="str">
        <f t="shared" si="1"/>
        <v>SGX/ICE FFA blocks</v>
      </c>
      <c r="E44" s="93">
        <f t="shared" si="2"/>
        <v>227.952</v>
      </c>
      <c r="F44" s="93">
        <f t="shared" si="3"/>
        <v>26.897078401249992</v>
      </c>
      <c r="G44" s="93">
        <f t="shared" si="4"/>
        <v>0</v>
      </c>
      <c r="H44" s="93">
        <f t="shared" si="5"/>
        <v>40.345617601874991</v>
      </c>
      <c r="I44" s="93">
        <f t="shared" si="6"/>
        <v>0.5</v>
      </c>
      <c r="J44" s="93">
        <f t="shared" si="7"/>
        <v>39.845617601874991</v>
      </c>
      <c r="K44" s="92" t="str">
        <f t="shared" si="8"/>
        <v>115BAA corp</v>
      </c>
      <c r="L44" s="94">
        <f t="shared" si="9"/>
        <v>0.25168000000000001</v>
      </c>
      <c r="M44" s="93">
        <f t="shared" si="10"/>
        <v>10.028345038039898</v>
      </c>
      <c r="N44" s="91">
        <f t="shared" si="11"/>
        <v>56.714350965085089</v>
      </c>
      <c r="O44" s="95">
        <f t="shared" si="12"/>
        <v>5971188.7729085162</v>
      </c>
    </row>
    <row r="45" spans="1:15" ht="15" customHeight="1" x14ac:dyDescent="0.3">
      <c r="A45" s="96">
        <v>6</v>
      </c>
      <c r="B45" s="97">
        <f t="shared" si="13"/>
        <v>56.714350965085089</v>
      </c>
      <c r="C45" s="98" t="str">
        <f t="shared" si="0"/>
        <v>GIFT FIF (IFSC) Corp</v>
      </c>
      <c r="D45" s="98" t="str">
        <f t="shared" si="1"/>
        <v>SGX/ICE FFA blocks</v>
      </c>
      <c r="E45" s="99">
        <f t="shared" si="2"/>
        <v>227.952</v>
      </c>
      <c r="F45" s="99">
        <f t="shared" si="3"/>
        <v>56.714350965085089</v>
      </c>
      <c r="G45" s="99">
        <f t="shared" si="4"/>
        <v>0</v>
      </c>
      <c r="H45" s="99">
        <f t="shared" si="5"/>
        <v>85.071526447627633</v>
      </c>
      <c r="I45" s="99">
        <f t="shared" si="6"/>
        <v>0.5</v>
      </c>
      <c r="J45" s="99">
        <f t="shared" si="7"/>
        <v>84.571526447627633</v>
      </c>
      <c r="K45" s="98" t="str">
        <f t="shared" si="8"/>
        <v>115BAA corp</v>
      </c>
      <c r="L45" s="100">
        <f t="shared" si="9"/>
        <v>0.25168000000000001</v>
      </c>
      <c r="M45" s="99">
        <f t="shared" si="10"/>
        <v>21.284961776338925</v>
      </c>
      <c r="N45" s="97">
        <f t="shared" si="11"/>
        <v>120.0009156363738</v>
      </c>
      <c r="O45" s="101">
        <f t="shared" si="12"/>
        <v>12634335.190184649</v>
      </c>
    </row>
    <row r="46" spans="1:15" ht="15" customHeight="1" x14ac:dyDescent="0.3">
      <c r="A46" s="90">
        <v>7</v>
      </c>
      <c r="B46" s="91">
        <f t="shared" si="13"/>
        <v>120.0009156363738</v>
      </c>
      <c r="C46" s="92" t="str">
        <f t="shared" si="0"/>
        <v>GIFT FIF (IFSC) Corp</v>
      </c>
      <c r="D46" s="92" t="str">
        <f t="shared" si="1"/>
        <v>SGX/ICE FFA blocks</v>
      </c>
      <c r="E46" s="93">
        <f t="shared" si="2"/>
        <v>227.952</v>
      </c>
      <c r="F46" s="93">
        <f t="shared" si="3"/>
        <v>120.0009156363738</v>
      </c>
      <c r="G46" s="93">
        <f t="shared" si="4"/>
        <v>0</v>
      </c>
      <c r="H46" s="93">
        <f t="shared" si="5"/>
        <v>180.00137345456071</v>
      </c>
      <c r="I46" s="93">
        <f t="shared" si="6"/>
        <v>0.5</v>
      </c>
      <c r="J46" s="93">
        <f t="shared" si="7"/>
        <v>179.50137345456071</v>
      </c>
      <c r="K46" s="92" t="str">
        <f t="shared" si="8"/>
        <v>115BAA corp</v>
      </c>
      <c r="L46" s="94">
        <f t="shared" si="9"/>
        <v>0.25168000000000001</v>
      </c>
      <c r="M46" s="93">
        <f t="shared" si="10"/>
        <v>45.176905671043841</v>
      </c>
      <c r="N46" s="91">
        <f t="shared" si="11"/>
        <v>254.32538341989064</v>
      </c>
      <c r="O46" s="95">
        <f t="shared" si="12"/>
        <v>26776730.197924893</v>
      </c>
    </row>
    <row r="47" spans="1:15" ht="15" customHeight="1" x14ac:dyDescent="0.3">
      <c r="A47" s="96">
        <v>8</v>
      </c>
      <c r="B47" s="97">
        <f t="shared" si="13"/>
        <v>254.32538341989064</v>
      </c>
      <c r="C47" s="98" t="str">
        <f t="shared" si="0"/>
        <v>GIFT FIF (IFSC) Corp</v>
      </c>
      <c r="D47" s="98" t="str">
        <f t="shared" si="1"/>
        <v>SGX/ICE FFA blocks</v>
      </c>
      <c r="E47" s="99">
        <f t="shared" si="2"/>
        <v>227.952</v>
      </c>
      <c r="F47" s="99">
        <f t="shared" si="3"/>
        <v>227.952</v>
      </c>
      <c r="G47" s="99">
        <f t="shared" si="4"/>
        <v>26.373383419890644</v>
      </c>
      <c r="H47" s="99">
        <f t="shared" si="5"/>
        <v>344.49940488343935</v>
      </c>
      <c r="I47" s="99">
        <f t="shared" si="6"/>
        <v>0.5</v>
      </c>
      <c r="J47" s="99">
        <f t="shared" si="7"/>
        <v>343.99940488343935</v>
      </c>
      <c r="K47" s="98" t="str">
        <f t="shared" si="8"/>
        <v>115BAA corp</v>
      </c>
      <c r="L47" s="100">
        <f t="shared" si="9"/>
        <v>0.25168000000000001</v>
      </c>
      <c r="M47" s="99">
        <f t="shared" si="10"/>
        <v>86.577770221064029</v>
      </c>
      <c r="N47" s="97">
        <f t="shared" si="11"/>
        <v>511.74701808226598</v>
      </c>
      <c r="O47" s="101">
        <f t="shared" si="12"/>
        <v>53879450.20870351</v>
      </c>
    </row>
    <row r="48" spans="1:15" ht="15" customHeight="1" x14ac:dyDescent="0.3">
      <c r="A48" s="90">
        <v>9</v>
      </c>
      <c r="B48" s="91">
        <f t="shared" si="13"/>
        <v>511.74701808226598</v>
      </c>
      <c r="C48" s="92" t="str">
        <f t="shared" si="0"/>
        <v>GIFT FIF (IFSC) Corp</v>
      </c>
      <c r="D48" s="92" t="str">
        <f t="shared" si="1"/>
        <v>SGX/ICE FFA blocks</v>
      </c>
      <c r="E48" s="93">
        <f t="shared" si="2"/>
        <v>227.952</v>
      </c>
      <c r="F48" s="93">
        <f t="shared" si="3"/>
        <v>227.952</v>
      </c>
      <c r="G48" s="93">
        <f t="shared" si="4"/>
        <v>283.79501808226598</v>
      </c>
      <c r="H48" s="93">
        <f t="shared" si="5"/>
        <v>369.5980142630209</v>
      </c>
      <c r="I48" s="93">
        <f t="shared" si="6"/>
        <v>0.5</v>
      </c>
      <c r="J48" s="93">
        <f t="shared" si="7"/>
        <v>369.0980142630209</v>
      </c>
      <c r="K48" s="92" t="str">
        <f t="shared" si="8"/>
        <v>115BAA corp</v>
      </c>
      <c r="L48" s="94">
        <f t="shared" si="9"/>
        <v>0.25168000000000001</v>
      </c>
      <c r="M48" s="93">
        <f t="shared" si="10"/>
        <v>92.894588229717101</v>
      </c>
      <c r="N48" s="91">
        <f t="shared" si="11"/>
        <v>787.95044411556978</v>
      </c>
      <c r="O48" s="95">
        <f t="shared" si="12"/>
        <v>82959617.194732547</v>
      </c>
    </row>
    <row r="49" spans="1:15" ht="15" customHeight="1" x14ac:dyDescent="0.3">
      <c r="A49" s="96">
        <v>10</v>
      </c>
      <c r="B49" s="97">
        <f t="shared" si="13"/>
        <v>787.95044411556978</v>
      </c>
      <c r="C49" s="98" t="str">
        <f t="shared" si="0"/>
        <v>GIFT FIF (IFSC) Corp</v>
      </c>
      <c r="D49" s="98" t="str">
        <f t="shared" si="1"/>
        <v>SGX/ICE FFA blocks</v>
      </c>
      <c r="E49" s="99">
        <f t="shared" si="2"/>
        <v>227.952</v>
      </c>
      <c r="F49" s="99">
        <f t="shared" si="3"/>
        <v>227.952</v>
      </c>
      <c r="G49" s="99">
        <f t="shared" si="4"/>
        <v>559.99844411556978</v>
      </c>
      <c r="H49" s="99">
        <f t="shared" si="5"/>
        <v>396.52784830126802</v>
      </c>
      <c r="I49" s="99">
        <f t="shared" si="6"/>
        <v>0.5</v>
      </c>
      <c r="J49" s="99">
        <f t="shared" si="7"/>
        <v>396.02784830126802</v>
      </c>
      <c r="K49" s="98" t="str">
        <f t="shared" si="8"/>
        <v>115BAA corp</v>
      </c>
      <c r="L49" s="100">
        <f t="shared" si="9"/>
        <v>0.25168000000000001</v>
      </c>
      <c r="M49" s="99">
        <f t="shared" si="10"/>
        <v>99.672288860463141</v>
      </c>
      <c r="N49" s="97">
        <f t="shared" si="11"/>
        <v>1084.3060035563747</v>
      </c>
      <c r="O49" s="101">
        <f t="shared" si="12"/>
        <v>114161508.06026265</v>
      </c>
    </row>
    <row r="50" spans="1:15" ht="15" customHeight="1" x14ac:dyDescent="0.3">
      <c r="A50" s="90">
        <v>11</v>
      </c>
      <c r="B50" s="91">
        <f t="shared" si="13"/>
        <v>1084.3060035563747</v>
      </c>
      <c r="C50" s="92" t="str">
        <f t="shared" si="0"/>
        <v>GIFT FIF (IFSC) Corp</v>
      </c>
      <c r="D50" s="92" t="str">
        <f t="shared" si="1"/>
        <v>SGX/ICE FFA blocks</v>
      </c>
      <c r="E50" s="93">
        <f t="shared" si="2"/>
        <v>227.952</v>
      </c>
      <c r="F50" s="93">
        <f t="shared" si="3"/>
        <v>227.952</v>
      </c>
      <c r="G50" s="93">
        <f t="shared" si="4"/>
        <v>856.35400355637466</v>
      </c>
      <c r="H50" s="93">
        <f t="shared" si="5"/>
        <v>425.42251534674654</v>
      </c>
      <c r="I50" s="93">
        <f t="shared" si="6"/>
        <v>0.5</v>
      </c>
      <c r="J50" s="93">
        <f t="shared" si="7"/>
        <v>424.92251534674654</v>
      </c>
      <c r="K50" s="92" t="str">
        <f t="shared" si="8"/>
        <v>115BAA corp</v>
      </c>
      <c r="L50" s="94">
        <f t="shared" si="9"/>
        <v>0.25168000000000001</v>
      </c>
      <c r="M50" s="93">
        <f t="shared" si="10"/>
        <v>106.94449866246917</v>
      </c>
      <c r="N50" s="91">
        <f t="shared" si="11"/>
        <v>1402.2840202406521</v>
      </c>
      <c r="O50" s="95">
        <f t="shared" si="12"/>
        <v>147639926.32561088</v>
      </c>
    </row>
    <row r="51" spans="1:15" ht="15" customHeight="1" x14ac:dyDescent="0.3">
      <c r="A51" s="96">
        <v>12</v>
      </c>
      <c r="B51" s="97">
        <f t="shared" si="13"/>
        <v>1402.2840202406521</v>
      </c>
      <c r="C51" s="98" t="str">
        <f t="shared" si="0"/>
        <v>GIFT FIF (IFSC) Corp</v>
      </c>
      <c r="D51" s="98" t="str">
        <f t="shared" si="1"/>
        <v>SGX/ICE FFA blocks</v>
      </c>
      <c r="E51" s="99">
        <f t="shared" si="2"/>
        <v>227.952</v>
      </c>
      <c r="F51" s="99">
        <f t="shared" si="3"/>
        <v>227.952</v>
      </c>
      <c r="G51" s="99">
        <f t="shared" si="4"/>
        <v>1174.3320202406521</v>
      </c>
      <c r="H51" s="99">
        <f t="shared" si="5"/>
        <v>456.4253719734636</v>
      </c>
      <c r="I51" s="99">
        <f t="shared" si="6"/>
        <v>0.5</v>
      </c>
      <c r="J51" s="99">
        <f t="shared" si="7"/>
        <v>455.9253719734636</v>
      </c>
      <c r="K51" s="98" t="str">
        <f t="shared" si="8"/>
        <v>115BAA corp</v>
      </c>
      <c r="L51" s="100">
        <f t="shared" si="9"/>
        <v>0.25168000000000001</v>
      </c>
      <c r="M51" s="99">
        <f t="shared" si="10"/>
        <v>114.74729761828132</v>
      </c>
      <c r="N51" s="97">
        <f t="shared" si="11"/>
        <v>1743.4620945958345</v>
      </c>
      <c r="O51" s="101">
        <f t="shared" si="12"/>
        <v>183560970.16170081</v>
      </c>
    </row>
    <row r="52" spans="1:15" ht="15" customHeight="1" x14ac:dyDescent="0.3">
      <c r="A52" s="90">
        <v>13</v>
      </c>
      <c r="B52" s="91">
        <f t="shared" si="13"/>
        <v>1743.4620945958345</v>
      </c>
      <c r="C52" s="92" t="str">
        <f t="shared" si="0"/>
        <v>GIFT FIF (IFSC) Corp</v>
      </c>
      <c r="D52" s="92" t="str">
        <f t="shared" si="1"/>
        <v>SGX/ICE FFA blocks</v>
      </c>
      <c r="E52" s="93">
        <f t="shared" si="2"/>
        <v>227.952</v>
      </c>
      <c r="F52" s="93">
        <f t="shared" si="3"/>
        <v>227.952</v>
      </c>
      <c r="G52" s="93">
        <f t="shared" si="4"/>
        <v>1515.5100945958345</v>
      </c>
      <c r="H52" s="93">
        <f t="shared" si="5"/>
        <v>489.69023422309385</v>
      </c>
      <c r="I52" s="93">
        <f t="shared" si="6"/>
        <v>0.5</v>
      </c>
      <c r="J52" s="93">
        <f t="shared" si="7"/>
        <v>489.19023422309385</v>
      </c>
      <c r="K52" s="92" t="str">
        <f t="shared" si="8"/>
        <v>115BAA corp</v>
      </c>
      <c r="L52" s="94">
        <f t="shared" si="9"/>
        <v>0.25168000000000001</v>
      </c>
      <c r="M52" s="93">
        <f t="shared" si="10"/>
        <v>123.11939814926826</v>
      </c>
      <c r="N52" s="91">
        <f t="shared" si="11"/>
        <v>2109.5329306696599</v>
      </c>
      <c r="O52" s="95">
        <f t="shared" si="12"/>
        <v>222102856.46132445</v>
      </c>
    </row>
    <row r="53" spans="1:15" ht="15" customHeight="1" x14ac:dyDescent="0.3">
      <c r="A53" s="96">
        <v>14</v>
      </c>
      <c r="B53" s="97">
        <f t="shared" si="13"/>
        <v>2109.5329306696599</v>
      </c>
      <c r="C53" s="98" t="str">
        <f t="shared" si="0"/>
        <v>GIFT FIF (IFSC) Corp</v>
      </c>
      <c r="D53" s="98" t="str">
        <f t="shared" si="1"/>
        <v>SGX/ICE FFA blocks</v>
      </c>
      <c r="E53" s="99">
        <f t="shared" si="2"/>
        <v>227.952</v>
      </c>
      <c r="F53" s="99">
        <f t="shared" si="3"/>
        <v>227.952</v>
      </c>
      <c r="G53" s="99">
        <f t="shared" si="4"/>
        <v>1881.5809306696599</v>
      </c>
      <c r="H53" s="99">
        <f t="shared" si="5"/>
        <v>525.38214074029179</v>
      </c>
      <c r="I53" s="99">
        <f t="shared" si="6"/>
        <v>0.5</v>
      </c>
      <c r="J53" s="99">
        <f t="shared" si="7"/>
        <v>524.88214074029179</v>
      </c>
      <c r="K53" s="98" t="str">
        <f t="shared" si="8"/>
        <v>115BAA corp</v>
      </c>
      <c r="L53" s="100">
        <f t="shared" si="9"/>
        <v>0.25168000000000001</v>
      </c>
      <c r="M53" s="99">
        <f t="shared" si="10"/>
        <v>132.10233718151665</v>
      </c>
      <c r="N53" s="97">
        <f t="shared" si="11"/>
        <v>2502.3127342284347</v>
      </c>
      <c r="O53" s="101">
        <f t="shared" si="12"/>
        <v>263456805.03563219</v>
      </c>
    </row>
    <row r="54" spans="1:15" ht="15" customHeight="1" x14ac:dyDescent="0.3">
      <c r="A54" s="90">
        <v>15</v>
      </c>
      <c r="B54" s="91">
        <f t="shared" si="13"/>
        <v>2502.3127342284347</v>
      </c>
      <c r="C54" s="92" t="str">
        <f t="shared" si="0"/>
        <v>GIFT FIF (IFSC) Corp</v>
      </c>
      <c r="D54" s="92" t="str">
        <f t="shared" si="1"/>
        <v>SGX/ICE FFA blocks</v>
      </c>
      <c r="E54" s="93">
        <f t="shared" si="2"/>
        <v>227.952</v>
      </c>
      <c r="F54" s="93">
        <f t="shared" si="3"/>
        <v>227.952</v>
      </c>
      <c r="G54" s="93">
        <f t="shared" si="4"/>
        <v>2274.3607342284349</v>
      </c>
      <c r="H54" s="93">
        <f t="shared" si="5"/>
        <v>563.67817158727235</v>
      </c>
      <c r="I54" s="93">
        <f t="shared" si="6"/>
        <v>0.5</v>
      </c>
      <c r="J54" s="93">
        <f t="shared" si="7"/>
        <v>563.17817158727235</v>
      </c>
      <c r="K54" s="92" t="str">
        <f t="shared" si="8"/>
        <v>115BAA corp</v>
      </c>
      <c r="L54" s="94">
        <f t="shared" si="9"/>
        <v>0.25168000000000001</v>
      </c>
      <c r="M54" s="93">
        <f t="shared" si="10"/>
        <v>141.74068222508473</v>
      </c>
      <c r="N54" s="91">
        <f t="shared" si="11"/>
        <v>2923.7502235906227</v>
      </c>
      <c r="O54" s="95">
        <f t="shared" si="12"/>
        <v>307827987.32265979</v>
      </c>
    </row>
    <row r="55" spans="1:15" ht="15" customHeight="1" x14ac:dyDescent="0.3">
      <c r="A55" s="96">
        <v>16</v>
      </c>
      <c r="B55" s="97">
        <f t="shared" si="13"/>
        <v>2923.7502235906227</v>
      </c>
      <c r="C55" s="98" t="str">
        <f t="shared" si="0"/>
        <v>GIFT FIF (IFSC) Corp</v>
      </c>
      <c r="D55" s="98" t="str">
        <f t="shared" si="1"/>
        <v>SGX/ICE FFA blocks</v>
      </c>
      <c r="E55" s="99">
        <f t="shared" si="2"/>
        <v>227.952</v>
      </c>
      <c r="F55" s="99">
        <f t="shared" si="3"/>
        <v>227.952</v>
      </c>
      <c r="G55" s="99">
        <f t="shared" si="4"/>
        <v>2695.7982235906229</v>
      </c>
      <c r="H55" s="99">
        <f t="shared" si="5"/>
        <v>604.76832680008579</v>
      </c>
      <c r="I55" s="99">
        <f t="shared" si="6"/>
        <v>0.5</v>
      </c>
      <c r="J55" s="99">
        <f t="shared" si="7"/>
        <v>604.26832680008579</v>
      </c>
      <c r="K55" s="98" t="str">
        <f t="shared" si="8"/>
        <v>115BAA corp</v>
      </c>
      <c r="L55" s="100">
        <f t="shared" si="9"/>
        <v>0.25168000000000001</v>
      </c>
      <c r="M55" s="99">
        <f t="shared" si="10"/>
        <v>152.0822524890456</v>
      </c>
      <c r="N55" s="97">
        <f t="shared" si="11"/>
        <v>3375.9362979016632</v>
      </c>
      <c r="O55" s="101">
        <f t="shared" si="12"/>
        <v>355436544.31476766</v>
      </c>
    </row>
    <row r="56" spans="1:15" ht="15" customHeight="1" x14ac:dyDescent="0.3">
      <c r="A56" s="90">
        <v>17</v>
      </c>
      <c r="B56" s="91">
        <f t="shared" si="13"/>
        <v>3375.9362979016632</v>
      </c>
      <c r="C56" s="92" t="str">
        <f t="shared" si="0"/>
        <v>GIFT FIF (IFSC) Corp</v>
      </c>
      <c r="D56" s="92" t="str">
        <f t="shared" si="1"/>
        <v>SGX/ICE FFA blocks</v>
      </c>
      <c r="E56" s="93">
        <f t="shared" si="2"/>
        <v>227.952</v>
      </c>
      <c r="F56" s="93">
        <f t="shared" si="3"/>
        <v>227.952</v>
      </c>
      <c r="G56" s="93">
        <f t="shared" si="4"/>
        <v>3147.984297901663</v>
      </c>
      <c r="H56" s="93">
        <f t="shared" si="5"/>
        <v>648.85646904541215</v>
      </c>
      <c r="I56" s="93">
        <f t="shared" si="6"/>
        <v>0.5</v>
      </c>
      <c r="J56" s="93">
        <f t="shared" si="7"/>
        <v>648.35646904541215</v>
      </c>
      <c r="K56" s="92" t="str">
        <f t="shared" si="8"/>
        <v>115BAA corp</v>
      </c>
      <c r="L56" s="94">
        <f t="shared" si="9"/>
        <v>0.25168000000000001</v>
      </c>
      <c r="M56" s="93">
        <f t="shared" si="10"/>
        <v>163.17835612934934</v>
      </c>
      <c r="N56" s="91">
        <f t="shared" si="11"/>
        <v>3861.1144108177264</v>
      </c>
      <c r="O56" s="95">
        <f t="shared" si="12"/>
        <v>406518678.75528806</v>
      </c>
    </row>
    <row r="57" spans="1:15" ht="15" customHeight="1" x14ac:dyDescent="0.3">
      <c r="A57" s="96">
        <v>18</v>
      </c>
      <c r="B57" s="97">
        <f t="shared" si="13"/>
        <v>3861.1144108177264</v>
      </c>
      <c r="C57" s="98" t="str">
        <f t="shared" si="0"/>
        <v>GIFT FIF (IFSC) Corp</v>
      </c>
      <c r="D57" s="98" t="str">
        <f t="shared" si="1"/>
        <v>SGX/ICE FFA blocks</v>
      </c>
      <c r="E57" s="99">
        <f t="shared" si="2"/>
        <v>227.952</v>
      </c>
      <c r="F57" s="99">
        <f t="shared" si="3"/>
        <v>227.952</v>
      </c>
      <c r="G57" s="99">
        <f t="shared" si="4"/>
        <v>3633.1624108177266</v>
      </c>
      <c r="H57" s="99">
        <f t="shared" si="5"/>
        <v>696.1613350547284</v>
      </c>
      <c r="I57" s="99">
        <f t="shared" si="6"/>
        <v>0.5</v>
      </c>
      <c r="J57" s="99">
        <f t="shared" si="7"/>
        <v>695.6613350547284</v>
      </c>
      <c r="K57" s="98" t="str">
        <f t="shared" si="8"/>
        <v>115BAA corp</v>
      </c>
      <c r="L57" s="100">
        <f t="shared" si="9"/>
        <v>0.25168000000000001</v>
      </c>
      <c r="M57" s="99">
        <f t="shared" si="10"/>
        <v>175.08404480657404</v>
      </c>
      <c r="N57" s="97">
        <f t="shared" si="11"/>
        <v>4381.6917010658808</v>
      </c>
      <c r="O57" s="101">
        <f t="shared" si="12"/>
        <v>461327827.02315021</v>
      </c>
    </row>
    <row r="58" spans="1:15" ht="15" customHeight="1" x14ac:dyDescent="0.3">
      <c r="A58" s="90">
        <v>19</v>
      </c>
      <c r="B58" s="91">
        <f t="shared" si="13"/>
        <v>4381.6917010658808</v>
      </c>
      <c r="C58" s="92" t="str">
        <f t="shared" si="0"/>
        <v>GIFT FIF (IFSC) Corp</v>
      </c>
      <c r="D58" s="92" t="str">
        <f t="shared" si="1"/>
        <v>SGX/ICE FFA blocks</v>
      </c>
      <c r="E58" s="93">
        <f t="shared" si="2"/>
        <v>227.952</v>
      </c>
      <c r="F58" s="93">
        <f t="shared" si="3"/>
        <v>227.952</v>
      </c>
      <c r="G58" s="93">
        <f t="shared" si="4"/>
        <v>4153.7397010658806</v>
      </c>
      <c r="H58" s="93">
        <f t="shared" si="5"/>
        <v>746.91762085392338</v>
      </c>
      <c r="I58" s="93">
        <f t="shared" si="6"/>
        <v>0.5</v>
      </c>
      <c r="J58" s="93">
        <f t="shared" si="7"/>
        <v>746.41762085392338</v>
      </c>
      <c r="K58" s="92" t="str">
        <f t="shared" si="8"/>
        <v>115BAA corp</v>
      </c>
      <c r="L58" s="94">
        <f t="shared" si="9"/>
        <v>0.25168000000000001</v>
      </c>
      <c r="M58" s="93">
        <f t="shared" si="10"/>
        <v>187.85838681651543</v>
      </c>
      <c r="N58" s="91">
        <f t="shared" si="11"/>
        <v>4940.2509351032895</v>
      </c>
      <c r="O58" s="95">
        <f t="shared" si="12"/>
        <v>520135916.51961356</v>
      </c>
    </row>
    <row r="59" spans="1:15" ht="15" customHeight="1" x14ac:dyDescent="0.3">
      <c r="A59" s="96">
        <v>20</v>
      </c>
      <c r="B59" s="97">
        <f t="shared" si="13"/>
        <v>4940.2509351032895</v>
      </c>
      <c r="C59" s="98" t="str">
        <f t="shared" si="0"/>
        <v>GIFT FIF (IFSC) Corp</v>
      </c>
      <c r="D59" s="98" t="str">
        <f t="shared" si="1"/>
        <v>SGX/ICE FFA blocks</v>
      </c>
      <c r="E59" s="99">
        <f t="shared" si="2"/>
        <v>227.952</v>
      </c>
      <c r="F59" s="99">
        <f t="shared" si="3"/>
        <v>227.952</v>
      </c>
      <c r="G59" s="99">
        <f t="shared" si="4"/>
        <v>4712.2989351032893</v>
      </c>
      <c r="H59" s="99">
        <f t="shared" si="5"/>
        <v>801.37714617257075</v>
      </c>
      <c r="I59" s="99">
        <f t="shared" si="6"/>
        <v>0.5</v>
      </c>
      <c r="J59" s="99">
        <f t="shared" si="7"/>
        <v>800.87714617257075</v>
      </c>
      <c r="K59" s="98" t="str">
        <f t="shared" si="8"/>
        <v>115BAA corp</v>
      </c>
      <c r="L59" s="100">
        <f t="shared" si="9"/>
        <v>0.25168000000000001</v>
      </c>
      <c r="M59" s="99">
        <f t="shared" si="10"/>
        <v>201.56476014871262</v>
      </c>
      <c r="N59" s="97">
        <f t="shared" si="11"/>
        <v>5539.5633211271479</v>
      </c>
      <c r="O59" s="101">
        <f t="shared" si="12"/>
        <v>583234714.79544616</v>
      </c>
    </row>
    <row r="60" spans="1:15" ht="7.5" customHeight="1" x14ac:dyDescent="0.3"/>
    <row r="61" spans="1:15" ht="21.75" customHeight="1" x14ac:dyDescent="0.3">
      <c r="A61" s="140" t="s">
        <v>187</v>
      </c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</row>
    <row r="62" spans="1:15" ht="19.5" customHeight="1" x14ac:dyDescent="0.3">
      <c r="A62" s="102" t="s">
        <v>188</v>
      </c>
      <c r="B62" s="103">
        <f>N59</f>
        <v>5539.5633211271479</v>
      </c>
    </row>
    <row r="63" spans="1:15" ht="19.5" customHeight="1" x14ac:dyDescent="0.3">
      <c r="A63" s="102" t="s">
        <v>189</v>
      </c>
      <c r="B63" s="104">
        <f>N59*10000000/$B$9</f>
        <v>583234714.79544616</v>
      </c>
    </row>
    <row r="64" spans="1:15" ht="15.75" customHeight="1" x14ac:dyDescent="0.3">
      <c r="A64" s="105" t="s">
        <v>190</v>
      </c>
      <c r="B64" s="106">
        <f>SUM(M40:M59)</f>
        <v>1869.9746782472339</v>
      </c>
    </row>
    <row r="65" spans="1:15" ht="15.75" customHeight="1" x14ac:dyDescent="0.3">
      <c r="A65" s="105" t="s">
        <v>191</v>
      </c>
      <c r="B65" s="106">
        <f>SUM(I40:I59)</f>
        <v>8</v>
      </c>
    </row>
    <row r="66" spans="1:15" ht="15.75" customHeight="1" x14ac:dyDescent="0.3">
      <c r="A66" s="105" t="s">
        <v>192</v>
      </c>
      <c r="B66" s="107">
        <f>20*$B$7/12</f>
        <v>30</v>
      </c>
    </row>
    <row r="67" spans="1:15" ht="19.5" customHeight="1" x14ac:dyDescent="0.3">
      <c r="A67" s="102" t="s">
        <v>193</v>
      </c>
      <c r="B67" s="108">
        <f>(N59/$B$5)^(1/(20*$B$7/12))-1</f>
        <v>0.30241138672412737</v>
      </c>
    </row>
    <row r="68" spans="1:15" ht="15.75" customHeight="1" x14ac:dyDescent="0.3">
      <c r="A68" s="105" t="s">
        <v>194</v>
      </c>
      <c r="B68" s="109">
        <f>IFERROR(MATCH("GIFT FIF (IFSC) Corp",C40:C59,0),"not reached")</f>
        <v>5</v>
      </c>
    </row>
    <row r="69" spans="1:15" ht="15.75" customHeight="1" x14ac:dyDescent="0.3">
      <c r="A69" s="105" t="s">
        <v>195</v>
      </c>
      <c r="B69" s="109">
        <f>IFERROR(MATCH("SGX/ICE FFA blocks",D40:D59,0),"never")</f>
        <v>5</v>
      </c>
    </row>
    <row r="72" spans="1:15" ht="30" customHeight="1" x14ac:dyDescent="0.3">
      <c r="A72" s="141" t="s">
        <v>196</v>
      </c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</row>
    <row r="73" spans="1:15" ht="30" customHeight="1" x14ac:dyDescent="0.3">
      <c r="A73" s="141" t="s">
        <v>197</v>
      </c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</row>
    <row r="74" spans="1:15" ht="30" customHeight="1" x14ac:dyDescent="0.3">
      <c r="A74" s="141" t="s">
        <v>198</v>
      </c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</row>
    <row r="77" spans="1:15" ht="30" customHeight="1" x14ac:dyDescent="0.3">
      <c r="A77" s="141" t="s">
        <v>199</v>
      </c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</row>
    <row r="78" spans="1:15" ht="30" customHeight="1" x14ac:dyDescent="0.3">
      <c r="A78" s="141" t="s">
        <v>200</v>
      </c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</row>
    <row r="79" spans="1:15" ht="30" customHeight="1" x14ac:dyDescent="0.3">
      <c r="A79" s="141" t="s">
        <v>201</v>
      </c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</row>
    <row r="80" spans="1:15" ht="30" customHeight="1" x14ac:dyDescent="0.3">
      <c r="A80" s="141" t="s">
        <v>202</v>
      </c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</row>
    <row r="81" spans="1:15" ht="30" customHeight="1" x14ac:dyDescent="0.3">
      <c r="A81" s="141" t="s">
        <v>203</v>
      </c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</row>
    <row r="84" spans="1:15" ht="30" customHeight="1" x14ac:dyDescent="0.3">
      <c r="A84" s="141" t="s">
        <v>204</v>
      </c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</row>
    <row r="85" spans="1:15" ht="30" customHeight="1" x14ac:dyDescent="0.3">
      <c r="A85" s="141" t="s">
        <v>205</v>
      </c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</row>
    <row r="86" spans="1:15" ht="30" customHeight="1" x14ac:dyDescent="0.3">
      <c r="A86" s="141" t="s">
        <v>206</v>
      </c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</row>
    <row r="87" spans="1:15" ht="30" customHeight="1" x14ac:dyDescent="0.3">
      <c r="A87" s="141" t="s">
        <v>207</v>
      </c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</row>
  </sheetData>
  <mergeCells count="19">
    <mergeCell ref="A84:O84"/>
    <mergeCell ref="A85:O85"/>
    <mergeCell ref="A86:O86"/>
    <mergeCell ref="A87:O87"/>
    <mergeCell ref="A77:O77"/>
    <mergeCell ref="A78:O78"/>
    <mergeCell ref="A79:O79"/>
    <mergeCell ref="A80:O80"/>
    <mergeCell ref="A81:O81"/>
    <mergeCell ref="A38:O38"/>
    <mergeCell ref="A61:O61"/>
    <mergeCell ref="A72:O72"/>
    <mergeCell ref="A73:O73"/>
    <mergeCell ref="A74:O74"/>
    <mergeCell ref="A1:O1"/>
    <mergeCell ref="A2:O2"/>
    <mergeCell ref="A4:O4"/>
    <mergeCell ref="A23:O23"/>
    <mergeCell ref="A31:O3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1DDB-6529-4C97-8054-F1F3DE11B1A4}">
  <sheetPr>
    <tabColor rgb="FFC9A227"/>
  </sheetPr>
  <dimension ref="A1:O87"/>
  <sheetViews>
    <sheetView showGridLines="0" topLeftCell="B33" zoomScaleNormal="100" workbookViewId="0">
      <selection activeCell="N42" sqref="N42"/>
    </sheetView>
  </sheetViews>
  <sheetFormatPr defaultColWidth="8.6640625" defaultRowHeight="14.4" x14ac:dyDescent="0.3"/>
  <cols>
    <col min="1" max="1" width="34" customWidth="1"/>
    <col min="2" max="4" width="15" customWidth="1"/>
    <col min="5" max="10" width="13" customWidth="1"/>
    <col min="11" max="11" width="16" customWidth="1"/>
    <col min="12" max="12" width="11" customWidth="1"/>
    <col min="13" max="14" width="12" customWidth="1"/>
    <col min="15" max="15" width="15" customWidth="1"/>
  </cols>
  <sheetData>
    <row r="1" spans="1:15" ht="33.75" customHeight="1" x14ac:dyDescent="0.3">
      <c r="A1" s="138" t="s">
        <v>127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2" spans="1:15" ht="19.5" customHeight="1" x14ac:dyDescent="0.3">
      <c r="A2" s="139" t="s">
        <v>128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 ht="6" customHeight="1" x14ac:dyDescent="0.3"/>
    <row r="4" spans="1:15" ht="21.75" customHeight="1" x14ac:dyDescent="0.3">
      <c r="A4" s="140" t="s">
        <v>129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</row>
    <row r="5" spans="1:15" ht="15.75" customHeight="1" x14ac:dyDescent="0.3">
      <c r="A5" s="3" t="s">
        <v>130</v>
      </c>
      <c r="B5" s="71">
        <v>0.6</v>
      </c>
      <c r="C5" s="72" t="s">
        <v>131</v>
      </c>
    </row>
    <row r="6" spans="1:15" ht="15.75" customHeight="1" x14ac:dyDescent="0.3">
      <c r="A6" s="3" t="s">
        <v>132</v>
      </c>
      <c r="B6" s="61">
        <v>1</v>
      </c>
      <c r="C6" s="72" t="s">
        <v>133</v>
      </c>
    </row>
    <row r="7" spans="1:15" ht="15.75" customHeight="1" x14ac:dyDescent="0.3">
      <c r="A7" s="3" t="s">
        <v>134</v>
      </c>
      <c r="B7" s="73">
        <v>18</v>
      </c>
      <c r="C7" s="72" t="s">
        <v>135</v>
      </c>
    </row>
    <row r="8" spans="1:15" ht="15.75" customHeight="1" x14ac:dyDescent="0.3">
      <c r="A8" s="3" t="s">
        <v>136</v>
      </c>
      <c r="B8" s="71">
        <v>20</v>
      </c>
      <c r="C8" s="72" t="s">
        <v>137</v>
      </c>
    </row>
    <row r="9" spans="1:15" ht="15.75" customHeight="1" x14ac:dyDescent="0.3">
      <c r="A9" s="3" t="s">
        <v>138</v>
      </c>
      <c r="B9" s="74">
        <v>94.98</v>
      </c>
      <c r="C9" s="72"/>
    </row>
    <row r="10" spans="1:15" ht="15.75" customHeight="1" x14ac:dyDescent="0.3">
      <c r="A10" s="3" t="s">
        <v>139</v>
      </c>
      <c r="B10" s="4">
        <v>0.25168000000000001</v>
      </c>
      <c r="C10" s="72" t="s">
        <v>140</v>
      </c>
    </row>
    <row r="11" spans="1:15" ht="15.75" customHeight="1" x14ac:dyDescent="0.3">
      <c r="A11" s="3" t="s">
        <v>141</v>
      </c>
      <c r="B11" s="71">
        <v>0.5</v>
      </c>
      <c r="C11" s="72" t="s">
        <v>142</v>
      </c>
    </row>
    <row r="12" spans="1:15" ht="15.75" customHeight="1" x14ac:dyDescent="0.3">
      <c r="A12" s="3" t="s">
        <v>143</v>
      </c>
      <c r="B12" s="75">
        <v>82683</v>
      </c>
      <c r="C12" s="72" t="s">
        <v>144</v>
      </c>
    </row>
    <row r="13" spans="1:15" ht="15.75" customHeight="1" x14ac:dyDescent="0.3">
      <c r="A13" s="3" t="s">
        <v>145</v>
      </c>
      <c r="B13" s="75">
        <v>352235</v>
      </c>
      <c r="C13" s="72" t="s">
        <v>146</v>
      </c>
    </row>
    <row r="14" spans="1:15" ht="15.75" customHeight="1" x14ac:dyDescent="0.3">
      <c r="A14" s="3" t="s">
        <v>147</v>
      </c>
      <c r="B14" s="75">
        <v>662516</v>
      </c>
      <c r="C14" s="72" t="s">
        <v>148</v>
      </c>
    </row>
    <row r="15" spans="1:15" ht="15.75" customHeight="1" x14ac:dyDescent="0.3">
      <c r="A15" s="3" t="s">
        <v>149</v>
      </c>
      <c r="B15" s="73">
        <v>0</v>
      </c>
      <c r="C15" s="72" t="s">
        <v>150</v>
      </c>
    </row>
    <row r="16" spans="1:15" ht="15.75" customHeight="1" x14ac:dyDescent="0.3">
      <c r="A16" s="3" t="s">
        <v>151</v>
      </c>
      <c r="B16" s="73">
        <v>45</v>
      </c>
      <c r="C16" s="72" t="s">
        <v>152</v>
      </c>
    </row>
    <row r="17" spans="1:15" ht="15.75" customHeight="1" x14ac:dyDescent="0.3">
      <c r="A17" s="3" t="s">
        <v>153</v>
      </c>
      <c r="B17" s="73">
        <v>45</v>
      </c>
      <c r="C17" s="72" t="s">
        <v>154</v>
      </c>
    </row>
    <row r="18" spans="1:15" ht="15.75" customHeight="1" x14ac:dyDescent="0.3">
      <c r="A18" s="3" t="s">
        <v>155</v>
      </c>
      <c r="B18" s="75">
        <v>60000000</v>
      </c>
      <c r="C18" s="72" t="s">
        <v>156</v>
      </c>
    </row>
    <row r="19" spans="1:15" ht="15.75" customHeight="1" x14ac:dyDescent="0.3">
      <c r="A19" s="3" t="s">
        <v>157</v>
      </c>
      <c r="B19" s="8">
        <v>0.125</v>
      </c>
      <c r="C19" s="72"/>
    </row>
    <row r="20" spans="1:15" ht="15.75" customHeight="1" x14ac:dyDescent="0.3">
      <c r="A20" s="3" t="s">
        <v>158</v>
      </c>
      <c r="B20" s="61">
        <v>0.3</v>
      </c>
      <c r="C20" s="72" t="s">
        <v>159</v>
      </c>
    </row>
    <row r="21" spans="1:15" ht="15.75" customHeight="1" x14ac:dyDescent="0.3">
      <c r="A21" s="3" t="s">
        <v>160</v>
      </c>
      <c r="B21" s="61">
        <v>0.04</v>
      </c>
      <c r="C21" s="72"/>
    </row>
    <row r="22" spans="1:15" ht="6" customHeight="1" x14ac:dyDescent="0.3"/>
    <row r="23" spans="1:15" ht="21.75" customHeight="1" x14ac:dyDescent="0.3">
      <c r="A23" s="140" t="s">
        <v>161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</row>
    <row r="24" spans="1:15" ht="15.75" customHeight="1" x14ac:dyDescent="0.3">
      <c r="A24" s="76" t="s">
        <v>162</v>
      </c>
      <c r="B24" s="77">
        <f>IF(B15=1,B13,B12)</f>
        <v>82683</v>
      </c>
    </row>
    <row r="25" spans="1:15" ht="15.75" customHeight="1" x14ac:dyDescent="0.3">
      <c r="A25" s="76" t="s">
        <v>163</v>
      </c>
      <c r="B25" s="77">
        <f>B24*B16</f>
        <v>3720735</v>
      </c>
    </row>
    <row r="26" spans="1:15" ht="15.75" customHeight="1" x14ac:dyDescent="0.3">
      <c r="A26" s="76" t="s">
        <v>164</v>
      </c>
      <c r="B26" s="78">
        <f>B25*B9/10000000</f>
        <v>35.339541029999999</v>
      </c>
    </row>
    <row r="27" spans="1:15" ht="15.75" customHeight="1" x14ac:dyDescent="0.3">
      <c r="A27" s="76" t="s">
        <v>165</v>
      </c>
      <c r="B27" s="78">
        <f>B18*B9/10000000</f>
        <v>569.88</v>
      </c>
    </row>
    <row r="28" spans="1:15" ht="15.75" customHeight="1" x14ac:dyDescent="0.3">
      <c r="A28" s="76" t="s">
        <v>166</v>
      </c>
      <c r="B28" s="63">
        <f>'Engine Inputs'!B10</f>
        <v>6.5000000000000002E-2</v>
      </c>
    </row>
    <row r="29" spans="1:15" ht="15.75" customHeight="1" x14ac:dyDescent="0.3">
      <c r="A29" s="76" t="s">
        <v>167</v>
      </c>
      <c r="B29" s="78">
        <f>B26/(1+B6)</f>
        <v>17.669770515</v>
      </c>
      <c r="C29" s="78">
        <f>B27/(1+B6)</f>
        <v>284.94</v>
      </c>
    </row>
    <row r="30" spans="1:15" x14ac:dyDescent="0.3">
      <c r="A30" s="59" t="s">
        <v>168</v>
      </c>
    </row>
    <row r="31" spans="1:15" ht="21.75" customHeight="1" x14ac:dyDescent="0.3">
      <c r="A31" s="140" t="s">
        <v>169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</row>
    <row r="32" spans="1:15" ht="15" customHeight="1" x14ac:dyDescent="0.3">
      <c r="A32" s="79">
        <v>0</v>
      </c>
      <c r="B32" s="80">
        <v>0</v>
      </c>
      <c r="C32" s="81">
        <f>$B$20*(1+B32)*(1+$B$21)</f>
        <v>0.312</v>
      </c>
    </row>
    <row r="33" spans="1:15" ht="15" customHeight="1" x14ac:dyDescent="0.3">
      <c r="A33" s="82">
        <v>0.5</v>
      </c>
      <c r="B33" s="83">
        <v>0.1</v>
      </c>
      <c r="C33" s="84">
        <f>$B$20*(1+B33)*(1+$B$21)</f>
        <v>0.34320000000000001</v>
      </c>
    </row>
    <row r="34" spans="1:15" ht="15" customHeight="1" x14ac:dyDescent="0.3">
      <c r="A34" s="85">
        <v>1</v>
      </c>
      <c r="B34" s="86">
        <v>0.15</v>
      </c>
      <c r="C34" s="87">
        <f>$B$20*(1+B34)*(1+$B$21)</f>
        <v>0.35880000000000001</v>
      </c>
    </row>
    <row r="35" spans="1:15" ht="15" customHeight="1" x14ac:dyDescent="0.3">
      <c r="A35" s="82">
        <v>2</v>
      </c>
      <c r="B35" s="83">
        <v>0.25</v>
      </c>
      <c r="C35" s="84">
        <f>$B$20*(1+B35)*(1+$B$21)</f>
        <v>0.39</v>
      </c>
    </row>
    <row r="36" spans="1:15" ht="15" customHeight="1" x14ac:dyDescent="0.3">
      <c r="A36" s="88" t="s">
        <v>170</v>
      </c>
      <c r="B36" s="89">
        <v>0.15</v>
      </c>
    </row>
    <row r="37" spans="1:15" ht="6" customHeight="1" x14ac:dyDescent="0.3"/>
    <row r="38" spans="1:15" ht="21.75" customHeight="1" x14ac:dyDescent="0.3">
      <c r="A38" s="140" t="s">
        <v>171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</row>
    <row r="39" spans="1:15" ht="30" customHeight="1" x14ac:dyDescent="0.3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s">
        <v>177</v>
      </c>
      <c r="G39" s="2" t="s">
        <v>178</v>
      </c>
      <c r="H39" s="2" t="s">
        <v>179</v>
      </c>
      <c r="I39" s="2" t="s">
        <v>180</v>
      </c>
      <c r="J39" s="2" t="s">
        <v>181</v>
      </c>
      <c r="K39" s="2" t="s">
        <v>182</v>
      </c>
      <c r="L39" s="2" t="s">
        <v>183</v>
      </c>
      <c r="M39" s="2" t="s">
        <v>184</v>
      </c>
      <c r="N39" s="2" t="s">
        <v>185</v>
      </c>
      <c r="O39" s="2" t="s">
        <v>186</v>
      </c>
    </row>
    <row r="40" spans="1:15" ht="15" customHeight="1" x14ac:dyDescent="0.3">
      <c r="A40" s="90">
        <v>1</v>
      </c>
      <c r="B40" s="91">
        <f>$B$5</f>
        <v>0.6</v>
      </c>
      <c r="C40" s="92" t="str">
        <f t="shared" ref="C40:C59" si="0">IF(B40&gt;=$B$8,"GIFT FIF (IFSC) Corp","Individual LRS")</f>
        <v>Individual LRS</v>
      </c>
      <c r="D40" s="92" t="str">
        <f t="shared" ref="D40:D59" si="1">IF(B40&gt;$B$29,"SGX/ICE FFA blocks","BDRY (45-day iceberg)")</f>
        <v>BDRY (45-day iceberg)</v>
      </c>
      <c r="E40" s="93">
        <f t="shared" ref="E40:E59" si="2">IF(B40&gt;$B$29,$C$29,$B$29)</f>
        <v>17.669770515</v>
      </c>
      <c r="F40" s="93">
        <f t="shared" ref="F40:F59" si="3">MIN(B40,E40)</f>
        <v>0.6</v>
      </c>
      <c r="G40" s="93">
        <f t="shared" ref="G40:G59" si="4">B40-F40</f>
        <v>0</v>
      </c>
      <c r="H40" s="93">
        <f t="shared" ref="H40:H59" si="5">F40*$B$6+G40*$B$28*$B$7/12</f>
        <v>0.6</v>
      </c>
      <c r="I40" s="93">
        <f t="shared" ref="I40:I59" si="6">IF(B40&gt;=$B$8,$B$11,0)</f>
        <v>0</v>
      </c>
      <c r="J40" s="93">
        <f t="shared" ref="J40:J59" si="7">MAX(H40-I40,0)</f>
        <v>0.6</v>
      </c>
      <c r="K40" s="92" t="str">
        <f t="shared" ref="K40:K59" si="8">IF(B40&gt;=$B$8,"115BAA corp",IF($B$7&gt;=24,"LTCG 112 (12.5%)","STCG @ slab"))</f>
        <v>STCG @ slab</v>
      </c>
      <c r="L40" s="94">
        <v>0</v>
      </c>
      <c r="M40" s="93">
        <f t="shared" ref="M40:M59" si="9">J40*L40</f>
        <v>0</v>
      </c>
      <c r="N40" s="91">
        <f t="shared" ref="N40:N59" si="10">B40+H40-I40-M40</f>
        <v>1.2</v>
      </c>
      <c r="O40" s="95">
        <f t="shared" ref="O40:O59" si="11">N40*10000000/$B$9</f>
        <v>126342.38787113076</v>
      </c>
    </row>
    <row r="41" spans="1:15" ht="15" customHeight="1" x14ac:dyDescent="0.3">
      <c r="A41" s="96">
        <v>2</v>
      </c>
      <c r="B41" s="97">
        <f t="shared" ref="B41:B59" si="12">N40</f>
        <v>1.2</v>
      </c>
      <c r="C41" s="98" t="str">
        <f t="shared" si="0"/>
        <v>Individual LRS</v>
      </c>
      <c r="D41" s="98" t="str">
        <f t="shared" si="1"/>
        <v>BDRY (45-day iceberg)</v>
      </c>
      <c r="E41" s="99">
        <f t="shared" si="2"/>
        <v>17.669770515</v>
      </c>
      <c r="F41" s="99">
        <f t="shared" si="3"/>
        <v>1.2</v>
      </c>
      <c r="G41" s="99">
        <f t="shared" si="4"/>
        <v>0</v>
      </c>
      <c r="H41" s="99">
        <f t="shared" si="5"/>
        <v>1.2</v>
      </c>
      <c r="I41" s="99">
        <f t="shared" si="6"/>
        <v>0</v>
      </c>
      <c r="J41" s="99">
        <f t="shared" si="7"/>
        <v>1.2</v>
      </c>
      <c r="K41" s="98" t="str">
        <f t="shared" si="8"/>
        <v>STCG @ slab</v>
      </c>
      <c r="L41" s="100">
        <v>0</v>
      </c>
      <c r="M41" s="99">
        <f t="shared" si="9"/>
        <v>0</v>
      </c>
      <c r="N41" s="97">
        <f t="shared" si="10"/>
        <v>2.4</v>
      </c>
      <c r="O41" s="101">
        <f t="shared" si="11"/>
        <v>252684.77574226153</v>
      </c>
    </row>
    <row r="42" spans="1:15" ht="15" customHeight="1" x14ac:dyDescent="0.3">
      <c r="A42" s="90">
        <v>3</v>
      </c>
      <c r="B42" s="91">
        <f t="shared" si="12"/>
        <v>2.4</v>
      </c>
      <c r="C42" s="92" t="str">
        <f t="shared" si="0"/>
        <v>Individual LRS</v>
      </c>
      <c r="D42" s="92" t="str">
        <f t="shared" si="1"/>
        <v>BDRY (45-day iceberg)</v>
      </c>
      <c r="E42" s="93">
        <f t="shared" si="2"/>
        <v>17.669770515</v>
      </c>
      <c r="F42" s="93">
        <f t="shared" si="3"/>
        <v>2.4</v>
      </c>
      <c r="G42" s="93">
        <f t="shared" si="4"/>
        <v>0</v>
      </c>
      <c r="H42" s="93">
        <f t="shared" si="5"/>
        <v>2.4</v>
      </c>
      <c r="I42" s="93">
        <f t="shared" si="6"/>
        <v>0</v>
      </c>
      <c r="J42" s="93">
        <f t="shared" si="7"/>
        <v>2.4</v>
      </c>
      <c r="K42" s="92" t="str">
        <f t="shared" si="8"/>
        <v>STCG @ slab</v>
      </c>
      <c r="L42" s="94">
        <v>0</v>
      </c>
      <c r="M42" s="93">
        <f t="shared" si="9"/>
        <v>0</v>
      </c>
      <c r="N42" s="91">
        <f t="shared" si="10"/>
        <v>4.8</v>
      </c>
      <c r="O42" s="95">
        <f t="shared" si="11"/>
        <v>505369.55148452305</v>
      </c>
    </row>
    <row r="43" spans="1:15" ht="15" customHeight="1" x14ac:dyDescent="0.3">
      <c r="A43" s="96">
        <v>4</v>
      </c>
      <c r="B43" s="97">
        <f t="shared" si="12"/>
        <v>4.8</v>
      </c>
      <c r="C43" s="98" t="str">
        <f t="shared" si="0"/>
        <v>Individual LRS</v>
      </c>
      <c r="D43" s="98" t="str">
        <f t="shared" si="1"/>
        <v>BDRY (45-day iceberg)</v>
      </c>
      <c r="E43" s="99">
        <f t="shared" si="2"/>
        <v>17.669770515</v>
      </c>
      <c r="F43" s="99">
        <f t="shared" si="3"/>
        <v>4.8</v>
      </c>
      <c r="G43" s="99">
        <f t="shared" si="4"/>
        <v>0</v>
      </c>
      <c r="H43" s="99">
        <f t="shared" si="5"/>
        <v>4.8</v>
      </c>
      <c r="I43" s="99">
        <f t="shared" si="6"/>
        <v>0</v>
      </c>
      <c r="J43" s="99">
        <f t="shared" si="7"/>
        <v>4.8</v>
      </c>
      <c r="K43" s="98" t="str">
        <f t="shared" si="8"/>
        <v>STCG @ slab</v>
      </c>
      <c r="L43" s="100">
        <v>0</v>
      </c>
      <c r="M43" s="99">
        <f t="shared" si="9"/>
        <v>0</v>
      </c>
      <c r="N43" s="97">
        <f t="shared" si="10"/>
        <v>9.6</v>
      </c>
      <c r="O43" s="101">
        <f t="shared" si="11"/>
        <v>1010739.1029690461</v>
      </c>
    </row>
    <row r="44" spans="1:15" ht="15" customHeight="1" x14ac:dyDescent="0.3">
      <c r="A44" s="90">
        <v>5</v>
      </c>
      <c r="B44" s="91">
        <f t="shared" si="12"/>
        <v>9.6</v>
      </c>
      <c r="C44" s="92" t="str">
        <f t="shared" si="0"/>
        <v>Individual LRS</v>
      </c>
      <c r="D44" s="92" t="str">
        <f t="shared" si="1"/>
        <v>BDRY (45-day iceberg)</v>
      </c>
      <c r="E44" s="93">
        <f t="shared" si="2"/>
        <v>17.669770515</v>
      </c>
      <c r="F44" s="93">
        <f t="shared" si="3"/>
        <v>9.6</v>
      </c>
      <c r="G44" s="93">
        <f t="shared" si="4"/>
        <v>0</v>
      </c>
      <c r="H44" s="93">
        <f t="shared" si="5"/>
        <v>9.6</v>
      </c>
      <c r="I44" s="93">
        <f t="shared" si="6"/>
        <v>0</v>
      </c>
      <c r="J44" s="93">
        <f t="shared" si="7"/>
        <v>9.6</v>
      </c>
      <c r="K44" s="92" t="str">
        <f t="shared" si="8"/>
        <v>STCG @ slab</v>
      </c>
      <c r="L44" s="94">
        <v>0</v>
      </c>
      <c r="M44" s="93">
        <f t="shared" si="9"/>
        <v>0</v>
      </c>
      <c r="N44" s="91">
        <f t="shared" si="10"/>
        <v>19.2</v>
      </c>
      <c r="O44" s="95">
        <f t="shared" si="11"/>
        <v>2021478.2059380922</v>
      </c>
    </row>
    <row r="45" spans="1:15" ht="15" customHeight="1" x14ac:dyDescent="0.3">
      <c r="A45" s="96">
        <v>6</v>
      </c>
      <c r="B45" s="97">
        <f t="shared" si="12"/>
        <v>19.2</v>
      </c>
      <c r="C45" s="98" t="str">
        <f t="shared" si="0"/>
        <v>Individual LRS</v>
      </c>
      <c r="D45" s="98" t="str">
        <f t="shared" si="1"/>
        <v>SGX/ICE FFA blocks</v>
      </c>
      <c r="E45" s="99">
        <f t="shared" si="2"/>
        <v>284.94</v>
      </c>
      <c r="F45" s="99">
        <f t="shared" si="3"/>
        <v>19.2</v>
      </c>
      <c r="G45" s="99">
        <f t="shared" si="4"/>
        <v>0</v>
      </c>
      <c r="H45" s="99">
        <f t="shared" si="5"/>
        <v>19.2</v>
      </c>
      <c r="I45" s="99">
        <f t="shared" si="6"/>
        <v>0</v>
      </c>
      <c r="J45" s="99">
        <f t="shared" si="7"/>
        <v>19.2</v>
      </c>
      <c r="K45" s="98" t="str">
        <f t="shared" si="8"/>
        <v>STCG @ slab</v>
      </c>
      <c r="L45" s="100">
        <v>0</v>
      </c>
      <c r="M45" s="99">
        <f t="shared" si="9"/>
        <v>0</v>
      </c>
      <c r="N45" s="97">
        <f t="shared" si="10"/>
        <v>38.4</v>
      </c>
      <c r="O45" s="101">
        <f t="shared" si="11"/>
        <v>4042956.4118761844</v>
      </c>
    </row>
    <row r="46" spans="1:15" ht="15" customHeight="1" x14ac:dyDescent="0.3">
      <c r="A46" s="90">
        <v>7</v>
      </c>
      <c r="B46" s="91">
        <f t="shared" si="12"/>
        <v>38.4</v>
      </c>
      <c r="C46" s="92" t="str">
        <f t="shared" si="0"/>
        <v>GIFT FIF (IFSC) Corp</v>
      </c>
      <c r="D46" s="92" t="str">
        <f t="shared" si="1"/>
        <v>SGX/ICE FFA blocks</v>
      </c>
      <c r="E46" s="93">
        <f t="shared" si="2"/>
        <v>284.94</v>
      </c>
      <c r="F46" s="93">
        <f t="shared" si="3"/>
        <v>38.4</v>
      </c>
      <c r="G46" s="93">
        <f t="shared" si="4"/>
        <v>0</v>
      </c>
      <c r="H46" s="93">
        <f t="shared" si="5"/>
        <v>38.4</v>
      </c>
      <c r="I46" s="93">
        <f t="shared" si="6"/>
        <v>0.5</v>
      </c>
      <c r="J46" s="93">
        <f t="shared" si="7"/>
        <v>37.9</v>
      </c>
      <c r="K46" s="92" t="str">
        <f t="shared" si="8"/>
        <v>115BAA corp</v>
      </c>
      <c r="L46" s="94">
        <v>0</v>
      </c>
      <c r="M46" s="93">
        <f t="shared" si="9"/>
        <v>0</v>
      </c>
      <c r="N46" s="91">
        <f t="shared" si="10"/>
        <v>76.3</v>
      </c>
      <c r="O46" s="95">
        <f t="shared" si="11"/>
        <v>8033270.1621393971</v>
      </c>
    </row>
    <row r="47" spans="1:15" ht="15" customHeight="1" x14ac:dyDescent="0.3">
      <c r="A47" s="96">
        <v>8</v>
      </c>
      <c r="B47" s="97">
        <f t="shared" si="12"/>
        <v>76.3</v>
      </c>
      <c r="C47" s="98" t="str">
        <f t="shared" si="0"/>
        <v>GIFT FIF (IFSC) Corp</v>
      </c>
      <c r="D47" s="98" t="str">
        <f t="shared" si="1"/>
        <v>SGX/ICE FFA blocks</v>
      </c>
      <c r="E47" s="99">
        <f t="shared" si="2"/>
        <v>284.94</v>
      </c>
      <c r="F47" s="99">
        <f t="shared" si="3"/>
        <v>76.3</v>
      </c>
      <c r="G47" s="99">
        <f t="shared" si="4"/>
        <v>0</v>
      </c>
      <c r="H47" s="99">
        <f t="shared" si="5"/>
        <v>76.3</v>
      </c>
      <c r="I47" s="99">
        <f t="shared" si="6"/>
        <v>0.5</v>
      </c>
      <c r="J47" s="99">
        <f t="shared" si="7"/>
        <v>75.8</v>
      </c>
      <c r="K47" s="98" t="str">
        <f t="shared" si="8"/>
        <v>115BAA corp</v>
      </c>
      <c r="L47" s="100">
        <v>0</v>
      </c>
      <c r="M47" s="99">
        <f t="shared" si="9"/>
        <v>0</v>
      </c>
      <c r="N47" s="97">
        <f t="shared" si="10"/>
        <v>152.1</v>
      </c>
      <c r="O47" s="101">
        <f t="shared" si="11"/>
        <v>16013897.662665823</v>
      </c>
    </row>
    <row r="48" spans="1:15" ht="15" customHeight="1" x14ac:dyDescent="0.3">
      <c r="A48" s="90">
        <v>9</v>
      </c>
      <c r="B48" s="91">
        <f t="shared" si="12"/>
        <v>152.1</v>
      </c>
      <c r="C48" s="92" t="str">
        <f t="shared" si="0"/>
        <v>GIFT FIF (IFSC) Corp</v>
      </c>
      <c r="D48" s="92" t="str">
        <f t="shared" si="1"/>
        <v>SGX/ICE FFA blocks</v>
      </c>
      <c r="E48" s="93">
        <f t="shared" si="2"/>
        <v>284.94</v>
      </c>
      <c r="F48" s="93">
        <f t="shared" si="3"/>
        <v>152.1</v>
      </c>
      <c r="G48" s="93">
        <f t="shared" si="4"/>
        <v>0</v>
      </c>
      <c r="H48" s="93">
        <f t="shared" si="5"/>
        <v>152.1</v>
      </c>
      <c r="I48" s="93">
        <f t="shared" si="6"/>
        <v>0.5</v>
      </c>
      <c r="J48" s="93">
        <f t="shared" si="7"/>
        <v>151.6</v>
      </c>
      <c r="K48" s="92" t="str">
        <f t="shared" si="8"/>
        <v>115BAA corp</v>
      </c>
      <c r="L48" s="94">
        <v>0</v>
      </c>
      <c r="M48" s="93">
        <f t="shared" si="9"/>
        <v>0</v>
      </c>
      <c r="N48" s="91">
        <f t="shared" si="10"/>
        <v>303.7</v>
      </c>
      <c r="O48" s="95">
        <f t="shared" si="11"/>
        <v>31975152.663718678</v>
      </c>
    </row>
    <row r="49" spans="1:15" ht="15" customHeight="1" x14ac:dyDescent="0.3">
      <c r="A49" s="96">
        <v>10</v>
      </c>
      <c r="B49" s="97">
        <f t="shared" si="12"/>
        <v>303.7</v>
      </c>
      <c r="C49" s="98" t="str">
        <f t="shared" si="0"/>
        <v>GIFT FIF (IFSC) Corp</v>
      </c>
      <c r="D49" s="98" t="str">
        <f t="shared" si="1"/>
        <v>SGX/ICE FFA blocks</v>
      </c>
      <c r="E49" s="99">
        <f t="shared" si="2"/>
        <v>284.94</v>
      </c>
      <c r="F49" s="99">
        <f t="shared" si="3"/>
        <v>284.94</v>
      </c>
      <c r="G49" s="99">
        <f t="shared" si="4"/>
        <v>18.759999999999991</v>
      </c>
      <c r="H49" s="99">
        <f t="shared" si="5"/>
        <v>286.76909999999998</v>
      </c>
      <c r="I49" s="99">
        <f t="shared" si="6"/>
        <v>0.5</v>
      </c>
      <c r="J49" s="99">
        <f t="shared" si="7"/>
        <v>286.26909999999998</v>
      </c>
      <c r="K49" s="98" t="str">
        <f t="shared" si="8"/>
        <v>115BAA corp</v>
      </c>
      <c r="L49" s="100">
        <v>0</v>
      </c>
      <c r="M49" s="99">
        <f t="shared" si="9"/>
        <v>0</v>
      </c>
      <c r="N49" s="97">
        <f t="shared" si="10"/>
        <v>589.96910000000003</v>
      </c>
      <c r="O49" s="101">
        <f t="shared" si="11"/>
        <v>62115087.386818275</v>
      </c>
    </row>
    <row r="50" spans="1:15" ht="15" customHeight="1" x14ac:dyDescent="0.3">
      <c r="A50" s="90">
        <v>11</v>
      </c>
      <c r="B50" s="91">
        <f t="shared" si="12"/>
        <v>589.96910000000003</v>
      </c>
      <c r="C50" s="92" t="str">
        <f t="shared" si="0"/>
        <v>GIFT FIF (IFSC) Corp</v>
      </c>
      <c r="D50" s="92" t="str">
        <f t="shared" si="1"/>
        <v>SGX/ICE FFA blocks</v>
      </c>
      <c r="E50" s="93">
        <f t="shared" si="2"/>
        <v>284.94</v>
      </c>
      <c r="F50" s="93">
        <f t="shared" si="3"/>
        <v>284.94</v>
      </c>
      <c r="G50" s="93">
        <f t="shared" si="4"/>
        <v>305.02910000000003</v>
      </c>
      <c r="H50" s="93">
        <f t="shared" si="5"/>
        <v>314.68033724999998</v>
      </c>
      <c r="I50" s="93">
        <f t="shared" si="6"/>
        <v>0.5</v>
      </c>
      <c r="J50" s="93">
        <f t="shared" si="7"/>
        <v>314.18033724999998</v>
      </c>
      <c r="K50" s="92" t="str">
        <f t="shared" si="8"/>
        <v>115BAA corp</v>
      </c>
      <c r="L50" s="94">
        <v>0</v>
      </c>
      <c r="M50" s="93">
        <f t="shared" si="9"/>
        <v>0</v>
      </c>
      <c r="N50" s="91">
        <f t="shared" si="10"/>
        <v>904.14943725000001</v>
      </c>
      <c r="O50" s="95">
        <f t="shared" si="11"/>
        <v>95193665.745420083</v>
      </c>
    </row>
    <row r="51" spans="1:15" ht="15" customHeight="1" x14ac:dyDescent="0.3">
      <c r="A51" s="96">
        <v>12</v>
      </c>
      <c r="B51" s="97">
        <f t="shared" si="12"/>
        <v>904.14943725000001</v>
      </c>
      <c r="C51" s="98" t="str">
        <f t="shared" si="0"/>
        <v>GIFT FIF (IFSC) Corp</v>
      </c>
      <c r="D51" s="98" t="str">
        <f t="shared" si="1"/>
        <v>SGX/ICE FFA blocks</v>
      </c>
      <c r="E51" s="99">
        <f t="shared" si="2"/>
        <v>284.94</v>
      </c>
      <c r="F51" s="99">
        <f t="shared" si="3"/>
        <v>284.94</v>
      </c>
      <c r="G51" s="99">
        <f t="shared" si="4"/>
        <v>619.20943725000006</v>
      </c>
      <c r="H51" s="99">
        <f t="shared" si="5"/>
        <v>345.31292013187499</v>
      </c>
      <c r="I51" s="99">
        <f t="shared" si="6"/>
        <v>0.5</v>
      </c>
      <c r="J51" s="99">
        <f t="shared" si="7"/>
        <v>344.81292013187499</v>
      </c>
      <c r="K51" s="98" t="str">
        <f t="shared" si="8"/>
        <v>115BAA corp</v>
      </c>
      <c r="L51" s="94">
        <v>0</v>
      </c>
      <c r="M51" s="99">
        <f t="shared" si="9"/>
        <v>0</v>
      </c>
      <c r="N51" s="97">
        <f t="shared" si="10"/>
        <v>1248.9623573818749</v>
      </c>
      <c r="O51" s="101">
        <f t="shared" si="11"/>
        <v>131497405.49398555</v>
      </c>
    </row>
    <row r="52" spans="1:15" ht="15" customHeight="1" x14ac:dyDescent="0.3">
      <c r="A52" s="90">
        <v>13</v>
      </c>
      <c r="B52" s="91">
        <f t="shared" si="12"/>
        <v>1248.9623573818749</v>
      </c>
      <c r="C52" s="92" t="str">
        <f t="shared" si="0"/>
        <v>GIFT FIF (IFSC) Corp</v>
      </c>
      <c r="D52" s="92" t="str">
        <f t="shared" si="1"/>
        <v>SGX/ICE FFA blocks</v>
      </c>
      <c r="E52" s="93">
        <f t="shared" si="2"/>
        <v>284.94</v>
      </c>
      <c r="F52" s="93">
        <f t="shared" si="3"/>
        <v>284.94</v>
      </c>
      <c r="G52" s="93">
        <f t="shared" si="4"/>
        <v>964.02235738187483</v>
      </c>
      <c r="H52" s="93">
        <f t="shared" si="5"/>
        <v>378.93217984473279</v>
      </c>
      <c r="I52" s="93">
        <f t="shared" si="6"/>
        <v>0.5</v>
      </c>
      <c r="J52" s="93">
        <f t="shared" si="7"/>
        <v>378.43217984473279</v>
      </c>
      <c r="K52" s="92" t="str">
        <f t="shared" si="8"/>
        <v>115BAA corp</v>
      </c>
      <c r="L52" s="94">
        <v>0</v>
      </c>
      <c r="M52" s="93">
        <f t="shared" si="9"/>
        <v>0</v>
      </c>
      <c r="N52" s="91">
        <f t="shared" si="10"/>
        <v>1627.3945372266076</v>
      </c>
      <c r="O52" s="95">
        <f t="shared" si="11"/>
        <v>171340759.86803615</v>
      </c>
    </row>
    <row r="53" spans="1:15" ht="15" customHeight="1" x14ac:dyDescent="0.3">
      <c r="A53" s="96">
        <v>14</v>
      </c>
      <c r="B53" s="97">
        <f t="shared" si="12"/>
        <v>1627.3945372266076</v>
      </c>
      <c r="C53" s="98" t="str">
        <f t="shared" si="0"/>
        <v>GIFT FIF (IFSC) Corp</v>
      </c>
      <c r="D53" s="98" t="str">
        <f t="shared" si="1"/>
        <v>SGX/ICE FFA blocks</v>
      </c>
      <c r="E53" s="99">
        <f t="shared" si="2"/>
        <v>284.94</v>
      </c>
      <c r="F53" s="99">
        <f t="shared" si="3"/>
        <v>284.94</v>
      </c>
      <c r="G53" s="99">
        <f t="shared" si="4"/>
        <v>1342.4545372266075</v>
      </c>
      <c r="H53" s="99">
        <f t="shared" si="5"/>
        <v>415.82931737959427</v>
      </c>
      <c r="I53" s="99">
        <f t="shared" si="6"/>
        <v>0.5</v>
      </c>
      <c r="J53" s="99">
        <f t="shared" si="7"/>
        <v>415.32931737959427</v>
      </c>
      <c r="K53" s="98" t="str">
        <f t="shared" si="8"/>
        <v>115BAA corp</v>
      </c>
      <c r="L53" s="94">
        <v>0</v>
      </c>
      <c r="M53" s="99">
        <f t="shared" si="9"/>
        <v>0</v>
      </c>
      <c r="N53" s="97">
        <f t="shared" si="10"/>
        <v>2042.7238546062017</v>
      </c>
      <c r="O53" s="101">
        <f t="shared" si="11"/>
        <v>215068841.29355669</v>
      </c>
    </row>
    <row r="54" spans="1:15" ht="15" customHeight="1" x14ac:dyDescent="0.3">
      <c r="A54" s="90">
        <v>15</v>
      </c>
      <c r="B54" s="91">
        <f t="shared" si="12"/>
        <v>2042.7238546062017</v>
      </c>
      <c r="C54" s="92" t="str">
        <f t="shared" si="0"/>
        <v>GIFT FIF (IFSC) Corp</v>
      </c>
      <c r="D54" s="92" t="str">
        <f t="shared" si="1"/>
        <v>SGX/ICE FFA blocks</v>
      </c>
      <c r="E54" s="93">
        <f t="shared" si="2"/>
        <v>284.94</v>
      </c>
      <c r="F54" s="93">
        <f t="shared" si="3"/>
        <v>284.94</v>
      </c>
      <c r="G54" s="93">
        <f t="shared" si="4"/>
        <v>1757.7838546062017</v>
      </c>
      <c r="H54" s="93">
        <f t="shared" si="5"/>
        <v>456.32392582410466</v>
      </c>
      <c r="I54" s="93">
        <f t="shared" si="6"/>
        <v>0.5</v>
      </c>
      <c r="J54" s="93">
        <f t="shared" si="7"/>
        <v>455.82392582410466</v>
      </c>
      <c r="K54" s="92" t="str">
        <f t="shared" si="8"/>
        <v>115BAA corp</v>
      </c>
      <c r="L54" s="94">
        <v>0</v>
      </c>
      <c r="M54" s="93">
        <f t="shared" si="9"/>
        <v>0</v>
      </c>
      <c r="N54" s="91">
        <f t="shared" si="10"/>
        <v>2498.5477804303064</v>
      </c>
      <c r="O54" s="95">
        <f t="shared" si="11"/>
        <v>263060410.6580655</v>
      </c>
    </row>
    <row r="55" spans="1:15" ht="15" customHeight="1" x14ac:dyDescent="0.3">
      <c r="A55" s="96">
        <v>16</v>
      </c>
      <c r="B55" s="97">
        <f t="shared" si="12"/>
        <v>2498.5477804303064</v>
      </c>
      <c r="C55" s="98" t="str">
        <f t="shared" si="0"/>
        <v>GIFT FIF (IFSC) Corp</v>
      </c>
      <c r="D55" s="98" t="str">
        <f t="shared" si="1"/>
        <v>SGX/ICE FFA blocks</v>
      </c>
      <c r="E55" s="99">
        <f t="shared" si="2"/>
        <v>284.94</v>
      </c>
      <c r="F55" s="99">
        <f t="shared" si="3"/>
        <v>284.94</v>
      </c>
      <c r="G55" s="99">
        <f t="shared" si="4"/>
        <v>2213.6077804303063</v>
      </c>
      <c r="H55" s="99">
        <f t="shared" si="5"/>
        <v>500.7667585919549</v>
      </c>
      <c r="I55" s="99">
        <f t="shared" si="6"/>
        <v>0.5</v>
      </c>
      <c r="J55" s="99">
        <f t="shared" si="7"/>
        <v>500.2667585919549</v>
      </c>
      <c r="K55" s="98" t="str">
        <f t="shared" si="8"/>
        <v>115BAA corp</v>
      </c>
      <c r="L55" s="94">
        <v>0</v>
      </c>
      <c r="M55" s="99">
        <f t="shared" si="9"/>
        <v>0</v>
      </c>
      <c r="N55" s="97">
        <f t="shared" si="10"/>
        <v>2998.8145390222612</v>
      </c>
      <c r="O55" s="101">
        <f t="shared" si="11"/>
        <v>315731158.03561389</v>
      </c>
    </row>
    <row r="56" spans="1:15" ht="15" customHeight="1" x14ac:dyDescent="0.3">
      <c r="A56" s="90">
        <v>17</v>
      </c>
      <c r="B56" s="91">
        <f t="shared" si="12"/>
        <v>2998.8145390222612</v>
      </c>
      <c r="C56" s="92" t="str">
        <f t="shared" si="0"/>
        <v>GIFT FIF (IFSC) Corp</v>
      </c>
      <c r="D56" s="92" t="str">
        <f t="shared" si="1"/>
        <v>SGX/ICE FFA blocks</v>
      </c>
      <c r="E56" s="93">
        <f t="shared" si="2"/>
        <v>284.94</v>
      </c>
      <c r="F56" s="93">
        <f t="shared" si="3"/>
        <v>284.94</v>
      </c>
      <c r="G56" s="93">
        <f t="shared" si="4"/>
        <v>2713.8745390222612</v>
      </c>
      <c r="H56" s="93">
        <f t="shared" si="5"/>
        <v>549.54276755467049</v>
      </c>
      <c r="I56" s="93">
        <f t="shared" si="6"/>
        <v>0.5</v>
      </c>
      <c r="J56" s="93">
        <f t="shared" si="7"/>
        <v>549.04276755467049</v>
      </c>
      <c r="K56" s="92" t="str">
        <f t="shared" si="8"/>
        <v>115BAA corp</v>
      </c>
      <c r="L56" s="94">
        <v>0</v>
      </c>
      <c r="M56" s="93">
        <f t="shared" si="9"/>
        <v>0</v>
      </c>
      <c r="N56" s="91">
        <f t="shared" si="10"/>
        <v>3547.8573065769315</v>
      </c>
      <c r="O56" s="95">
        <f t="shared" si="11"/>
        <v>373537303.28247333</v>
      </c>
    </row>
    <row r="57" spans="1:15" ht="15" customHeight="1" x14ac:dyDescent="0.3">
      <c r="A57" s="96">
        <v>18</v>
      </c>
      <c r="B57" s="97">
        <f t="shared" si="12"/>
        <v>3547.8573065769315</v>
      </c>
      <c r="C57" s="98" t="str">
        <f t="shared" si="0"/>
        <v>GIFT FIF (IFSC) Corp</v>
      </c>
      <c r="D57" s="98" t="str">
        <f t="shared" si="1"/>
        <v>SGX/ICE FFA blocks</v>
      </c>
      <c r="E57" s="99">
        <f t="shared" si="2"/>
        <v>284.94</v>
      </c>
      <c r="F57" s="99">
        <f t="shared" si="3"/>
        <v>284.94</v>
      </c>
      <c r="G57" s="99">
        <f t="shared" si="4"/>
        <v>3262.9173065769314</v>
      </c>
      <c r="H57" s="99">
        <f t="shared" si="5"/>
        <v>603.07443739125085</v>
      </c>
      <c r="I57" s="99">
        <f t="shared" si="6"/>
        <v>0.5</v>
      </c>
      <c r="J57" s="99">
        <f t="shared" si="7"/>
        <v>602.57443739125085</v>
      </c>
      <c r="K57" s="98" t="str">
        <f t="shared" si="8"/>
        <v>115BAA corp</v>
      </c>
      <c r="L57" s="94">
        <v>0</v>
      </c>
      <c r="M57" s="99">
        <f t="shared" si="9"/>
        <v>0</v>
      </c>
      <c r="N57" s="97">
        <f t="shared" si="10"/>
        <v>4150.4317439681827</v>
      </c>
      <c r="O57" s="101">
        <f t="shared" si="11"/>
        <v>436979547.69090146</v>
      </c>
    </row>
    <row r="58" spans="1:15" ht="15" customHeight="1" x14ac:dyDescent="0.3">
      <c r="A58" s="90">
        <v>19</v>
      </c>
      <c r="B58" s="91">
        <f t="shared" si="12"/>
        <v>4150.4317439681827</v>
      </c>
      <c r="C58" s="92" t="str">
        <f t="shared" si="0"/>
        <v>GIFT FIF (IFSC) Corp</v>
      </c>
      <c r="D58" s="92" t="str">
        <f t="shared" si="1"/>
        <v>SGX/ICE FFA blocks</v>
      </c>
      <c r="E58" s="93">
        <f t="shared" si="2"/>
        <v>284.94</v>
      </c>
      <c r="F58" s="93">
        <f t="shared" si="3"/>
        <v>284.94</v>
      </c>
      <c r="G58" s="93">
        <f t="shared" si="4"/>
        <v>3865.4917439681826</v>
      </c>
      <c r="H58" s="93">
        <f t="shared" si="5"/>
        <v>661.8254450368978</v>
      </c>
      <c r="I58" s="93">
        <f t="shared" si="6"/>
        <v>0.5</v>
      </c>
      <c r="J58" s="93">
        <f t="shared" si="7"/>
        <v>661.3254450368978</v>
      </c>
      <c r="K58" s="92" t="str">
        <f t="shared" si="8"/>
        <v>115BAA corp</v>
      </c>
      <c r="L58" s="94">
        <v>0</v>
      </c>
      <c r="M58" s="93">
        <f t="shared" si="9"/>
        <v>0</v>
      </c>
      <c r="N58" s="91">
        <f t="shared" si="10"/>
        <v>4811.7571890050804</v>
      </c>
      <c r="O58" s="95">
        <f t="shared" si="11"/>
        <v>506607410.92915142</v>
      </c>
    </row>
    <row r="59" spans="1:15" ht="15" customHeight="1" x14ac:dyDescent="0.3">
      <c r="A59" s="96">
        <v>20</v>
      </c>
      <c r="B59" s="97">
        <f t="shared" si="12"/>
        <v>4811.7571890050804</v>
      </c>
      <c r="C59" s="98" t="str">
        <f t="shared" si="0"/>
        <v>GIFT FIF (IFSC) Corp</v>
      </c>
      <c r="D59" s="98" t="str">
        <f t="shared" si="1"/>
        <v>SGX/ICE FFA blocks</v>
      </c>
      <c r="E59" s="99">
        <f t="shared" si="2"/>
        <v>284.94</v>
      </c>
      <c r="F59" s="99">
        <f t="shared" si="3"/>
        <v>284.94</v>
      </c>
      <c r="G59" s="99">
        <f t="shared" si="4"/>
        <v>4526.8171890050808</v>
      </c>
      <c r="H59" s="99">
        <f t="shared" si="5"/>
        <v>726.30467592799539</v>
      </c>
      <c r="I59" s="99">
        <f t="shared" si="6"/>
        <v>0.5</v>
      </c>
      <c r="J59" s="99">
        <f t="shared" si="7"/>
        <v>725.80467592799539</v>
      </c>
      <c r="K59" s="98" t="str">
        <f t="shared" si="8"/>
        <v>115BAA corp</v>
      </c>
      <c r="L59" s="94">
        <v>0</v>
      </c>
      <c r="M59" s="99">
        <f t="shared" si="9"/>
        <v>0</v>
      </c>
      <c r="N59" s="97">
        <f t="shared" si="10"/>
        <v>5537.5618649330754</v>
      </c>
      <c r="O59" s="101">
        <f t="shared" si="11"/>
        <v>583023990.83313072</v>
      </c>
    </row>
    <row r="60" spans="1:15" ht="7.5" customHeight="1" x14ac:dyDescent="0.3"/>
    <row r="61" spans="1:15" ht="21.75" customHeight="1" x14ac:dyDescent="0.3">
      <c r="A61" s="140" t="s">
        <v>187</v>
      </c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</row>
    <row r="62" spans="1:15" ht="19.5" customHeight="1" x14ac:dyDescent="0.3">
      <c r="A62" s="102" t="s">
        <v>188</v>
      </c>
      <c r="B62" s="103">
        <f>N59</f>
        <v>5537.5618649330754</v>
      </c>
    </row>
    <row r="63" spans="1:15" ht="19.5" customHeight="1" x14ac:dyDescent="0.3">
      <c r="A63" s="102" t="s">
        <v>189</v>
      </c>
      <c r="B63" s="104">
        <f>N59*10000000/$B$9</f>
        <v>583023990.83313072</v>
      </c>
    </row>
    <row r="64" spans="1:15" ht="15.75" customHeight="1" x14ac:dyDescent="0.3">
      <c r="A64" s="105" t="s">
        <v>190</v>
      </c>
      <c r="B64" s="106">
        <f>SUM(M40:M59)</f>
        <v>0</v>
      </c>
    </row>
    <row r="65" spans="1:15" ht="15.75" customHeight="1" x14ac:dyDescent="0.3">
      <c r="A65" s="105" t="s">
        <v>191</v>
      </c>
      <c r="B65" s="106">
        <f>SUM(I40:I59)</f>
        <v>7</v>
      </c>
    </row>
    <row r="66" spans="1:15" ht="15.75" customHeight="1" x14ac:dyDescent="0.3">
      <c r="A66" s="105" t="s">
        <v>192</v>
      </c>
      <c r="B66" s="107">
        <f>20*$B$7/12</f>
        <v>30</v>
      </c>
    </row>
    <row r="67" spans="1:15" ht="19.5" customHeight="1" x14ac:dyDescent="0.3">
      <c r="A67" s="102" t="s">
        <v>193</v>
      </c>
      <c r="B67" s="108">
        <f>(N59/$B$5)^(1/(20*$B$7/12))-1</f>
        <v>0.35572699799304064</v>
      </c>
    </row>
    <row r="68" spans="1:15" ht="15.75" customHeight="1" x14ac:dyDescent="0.3">
      <c r="A68" s="105" t="s">
        <v>194</v>
      </c>
      <c r="B68" s="109">
        <f>IFERROR(MATCH("GIFT FIF (IFSC) Corp",C40:C59,0),"not reached")</f>
        <v>7</v>
      </c>
    </row>
    <row r="69" spans="1:15" ht="15.75" customHeight="1" x14ac:dyDescent="0.3">
      <c r="A69" s="105" t="s">
        <v>195</v>
      </c>
      <c r="B69" s="109">
        <f>IFERROR(MATCH("SGX/ICE FFA blocks",D40:D59,0),"never")</f>
        <v>6</v>
      </c>
    </row>
    <row r="72" spans="1:15" ht="30" customHeight="1" x14ac:dyDescent="0.3">
      <c r="A72" s="141" t="s">
        <v>196</v>
      </c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</row>
    <row r="73" spans="1:15" ht="30" customHeight="1" x14ac:dyDescent="0.3">
      <c r="A73" s="141" t="s">
        <v>197</v>
      </c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</row>
    <row r="74" spans="1:15" ht="30" customHeight="1" x14ac:dyDescent="0.3">
      <c r="A74" s="141" t="s">
        <v>198</v>
      </c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</row>
    <row r="77" spans="1:15" ht="30" customHeight="1" x14ac:dyDescent="0.3">
      <c r="A77" s="141" t="s">
        <v>199</v>
      </c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</row>
    <row r="78" spans="1:15" ht="30" customHeight="1" x14ac:dyDescent="0.3">
      <c r="A78" s="141" t="s">
        <v>200</v>
      </c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</row>
    <row r="79" spans="1:15" ht="30" customHeight="1" x14ac:dyDescent="0.3">
      <c r="A79" s="141" t="s">
        <v>201</v>
      </c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</row>
    <row r="80" spans="1:15" ht="30" customHeight="1" x14ac:dyDescent="0.3">
      <c r="A80" s="141" t="s">
        <v>202</v>
      </c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</row>
    <row r="81" spans="1:15" ht="30" customHeight="1" x14ac:dyDescent="0.3">
      <c r="A81" s="141" t="s">
        <v>203</v>
      </c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</row>
    <row r="84" spans="1:15" ht="30" customHeight="1" x14ac:dyDescent="0.3">
      <c r="A84" s="141" t="s">
        <v>204</v>
      </c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</row>
    <row r="85" spans="1:15" ht="30" customHeight="1" x14ac:dyDescent="0.3">
      <c r="A85" s="141" t="s">
        <v>205</v>
      </c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</row>
    <row r="86" spans="1:15" ht="30" customHeight="1" x14ac:dyDescent="0.3">
      <c r="A86" s="141" t="s">
        <v>206</v>
      </c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</row>
    <row r="87" spans="1:15" ht="30" customHeight="1" x14ac:dyDescent="0.3">
      <c r="A87" s="141" t="s">
        <v>207</v>
      </c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</row>
  </sheetData>
  <mergeCells count="19">
    <mergeCell ref="A78:O78"/>
    <mergeCell ref="A1:O1"/>
    <mergeCell ref="A2:O2"/>
    <mergeCell ref="A4:O4"/>
    <mergeCell ref="A23:O23"/>
    <mergeCell ref="A31:O31"/>
    <mergeCell ref="A38:O38"/>
    <mergeCell ref="A61:O61"/>
    <mergeCell ref="A72:O72"/>
    <mergeCell ref="A73:O73"/>
    <mergeCell ref="A74:O74"/>
    <mergeCell ref="A77:O77"/>
    <mergeCell ref="A87:O87"/>
    <mergeCell ref="A79:O79"/>
    <mergeCell ref="A80:O80"/>
    <mergeCell ref="A81:O81"/>
    <mergeCell ref="A84:O84"/>
    <mergeCell ref="A85:O85"/>
    <mergeCell ref="A86:O8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1545-8AEA-4726-B1CF-D31D8EB8985F}">
  <sheetPr>
    <tabColor rgb="FFC9A227"/>
  </sheetPr>
  <dimension ref="A1:O87"/>
  <sheetViews>
    <sheetView showGridLines="0" tabSelected="1" topLeftCell="A3" zoomScaleNormal="100" workbookViewId="0">
      <selection activeCell="L15" sqref="L15"/>
    </sheetView>
  </sheetViews>
  <sheetFormatPr defaultColWidth="8.6640625" defaultRowHeight="14.4" x14ac:dyDescent="0.3"/>
  <cols>
    <col min="1" max="1" width="34" customWidth="1"/>
    <col min="2" max="4" width="15" customWidth="1"/>
    <col min="5" max="10" width="13" customWidth="1"/>
    <col min="11" max="11" width="16" customWidth="1"/>
    <col min="12" max="12" width="11" customWidth="1"/>
    <col min="13" max="14" width="12" customWidth="1"/>
    <col min="15" max="15" width="15" customWidth="1"/>
  </cols>
  <sheetData>
    <row r="1" spans="1:15" ht="33.75" customHeight="1" x14ac:dyDescent="0.3">
      <c r="A1" s="138" t="s">
        <v>127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</row>
    <row r="2" spans="1:15" ht="19.5" customHeight="1" x14ac:dyDescent="0.3">
      <c r="A2" s="139" t="s">
        <v>128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</row>
    <row r="3" spans="1:15" ht="6" customHeight="1" x14ac:dyDescent="0.3"/>
    <row r="4" spans="1:15" ht="21.75" customHeight="1" x14ac:dyDescent="0.3">
      <c r="A4" s="140" t="s">
        <v>129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</row>
    <row r="5" spans="1:15" ht="15.75" customHeight="1" x14ac:dyDescent="0.3">
      <c r="A5" s="3" t="s">
        <v>130</v>
      </c>
      <c r="B5" s="71">
        <v>0.6</v>
      </c>
      <c r="C5" s="72" t="s">
        <v>131</v>
      </c>
    </row>
    <row r="6" spans="1:15" ht="15.75" customHeight="1" x14ac:dyDescent="0.3">
      <c r="A6" s="3" t="s">
        <v>132</v>
      </c>
      <c r="B6" s="61">
        <v>0.75</v>
      </c>
      <c r="C6" s="72" t="s">
        <v>133</v>
      </c>
    </row>
    <row r="7" spans="1:15" ht="15.75" customHeight="1" x14ac:dyDescent="0.3">
      <c r="A7" s="3" t="s">
        <v>134</v>
      </c>
      <c r="B7" s="73">
        <v>18</v>
      </c>
      <c r="C7" s="72" t="s">
        <v>135</v>
      </c>
    </row>
    <row r="8" spans="1:15" ht="15.75" customHeight="1" x14ac:dyDescent="0.3">
      <c r="A8" s="3" t="s">
        <v>136</v>
      </c>
      <c r="B8" s="71">
        <v>20</v>
      </c>
      <c r="C8" s="72" t="s">
        <v>137</v>
      </c>
    </row>
    <row r="9" spans="1:15" ht="15.75" customHeight="1" x14ac:dyDescent="0.3">
      <c r="A9" s="3" t="s">
        <v>138</v>
      </c>
      <c r="B9" s="74">
        <v>94.98</v>
      </c>
      <c r="C9" s="72"/>
    </row>
    <row r="10" spans="1:15" ht="15.75" customHeight="1" x14ac:dyDescent="0.3">
      <c r="A10" s="3" t="s">
        <v>139</v>
      </c>
      <c r="B10" s="4">
        <v>0.25168000000000001</v>
      </c>
      <c r="C10" s="72" t="s">
        <v>140</v>
      </c>
    </row>
    <row r="11" spans="1:15" ht="15.75" customHeight="1" x14ac:dyDescent="0.3">
      <c r="A11" s="3" t="s">
        <v>141</v>
      </c>
      <c r="B11" s="71">
        <v>0.5</v>
      </c>
      <c r="C11" s="72" t="s">
        <v>142</v>
      </c>
    </row>
    <row r="12" spans="1:15" ht="15.75" customHeight="1" x14ac:dyDescent="0.3">
      <c r="A12" s="3" t="s">
        <v>143</v>
      </c>
      <c r="B12" s="75">
        <v>82683</v>
      </c>
      <c r="C12" s="72" t="s">
        <v>144</v>
      </c>
    </row>
    <row r="13" spans="1:15" ht="15.75" customHeight="1" x14ac:dyDescent="0.3">
      <c r="A13" s="3" t="s">
        <v>145</v>
      </c>
      <c r="B13" s="75">
        <v>352235</v>
      </c>
      <c r="C13" s="72" t="s">
        <v>146</v>
      </c>
    </row>
    <row r="14" spans="1:15" ht="15.75" customHeight="1" x14ac:dyDescent="0.3">
      <c r="A14" s="3" t="s">
        <v>147</v>
      </c>
      <c r="B14" s="75">
        <v>662516</v>
      </c>
      <c r="C14" s="72" t="s">
        <v>148</v>
      </c>
    </row>
    <row r="15" spans="1:15" ht="15.75" customHeight="1" x14ac:dyDescent="0.3">
      <c r="A15" s="3" t="s">
        <v>149</v>
      </c>
      <c r="B15" s="73">
        <v>0</v>
      </c>
      <c r="C15" s="72" t="s">
        <v>150</v>
      </c>
    </row>
    <row r="16" spans="1:15" ht="15.75" customHeight="1" x14ac:dyDescent="0.3">
      <c r="A16" s="3" t="s">
        <v>151</v>
      </c>
      <c r="B16" s="73">
        <v>45</v>
      </c>
      <c r="C16" s="72" t="s">
        <v>152</v>
      </c>
    </row>
    <row r="17" spans="1:15" ht="15.75" customHeight="1" x14ac:dyDescent="0.3">
      <c r="A17" s="3" t="s">
        <v>153</v>
      </c>
      <c r="B17" s="73">
        <v>45</v>
      </c>
      <c r="C17" s="72" t="s">
        <v>154</v>
      </c>
    </row>
    <row r="18" spans="1:15" ht="15.75" customHeight="1" x14ac:dyDescent="0.3">
      <c r="A18" s="3" t="s">
        <v>155</v>
      </c>
      <c r="B18" s="75">
        <v>60000000</v>
      </c>
      <c r="C18" s="72" t="s">
        <v>156</v>
      </c>
    </row>
    <row r="19" spans="1:15" ht="15.75" customHeight="1" x14ac:dyDescent="0.3">
      <c r="A19" s="3" t="s">
        <v>157</v>
      </c>
      <c r="B19" s="8">
        <v>0.125</v>
      </c>
      <c r="C19" s="72"/>
    </row>
    <row r="20" spans="1:15" ht="15.75" customHeight="1" x14ac:dyDescent="0.3">
      <c r="A20" s="3" t="s">
        <v>158</v>
      </c>
      <c r="B20" s="61">
        <v>0.3</v>
      </c>
      <c r="C20" s="72" t="s">
        <v>159</v>
      </c>
    </row>
    <row r="21" spans="1:15" ht="15.75" customHeight="1" x14ac:dyDescent="0.3">
      <c r="A21" s="3" t="s">
        <v>160</v>
      </c>
      <c r="B21" s="61">
        <v>0.04</v>
      </c>
      <c r="C21" s="72"/>
    </row>
    <row r="22" spans="1:15" ht="6" customHeight="1" x14ac:dyDescent="0.3"/>
    <row r="23" spans="1:15" ht="21.75" customHeight="1" x14ac:dyDescent="0.3">
      <c r="A23" s="140" t="s">
        <v>161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</row>
    <row r="24" spans="1:15" ht="15.75" customHeight="1" x14ac:dyDescent="0.3">
      <c r="A24" s="76" t="s">
        <v>162</v>
      </c>
      <c r="B24" s="77">
        <f>IF(B15=1,B13,B12)</f>
        <v>82683</v>
      </c>
    </row>
    <row r="25" spans="1:15" ht="15.75" customHeight="1" x14ac:dyDescent="0.3">
      <c r="A25" s="76" t="s">
        <v>163</v>
      </c>
      <c r="B25" s="77">
        <f>B24*B16</f>
        <v>3720735</v>
      </c>
    </row>
    <row r="26" spans="1:15" ht="15.75" customHeight="1" x14ac:dyDescent="0.3">
      <c r="A26" s="76" t="s">
        <v>164</v>
      </c>
      <c r="B26" s="78">
        <f>B25*B9/10000000</f>
        <v>35.339541029999999</v>
      </c>
    </row>
    <row r="27" spans="1:15" ht="15.75" customHeight="1" x14ac:dyDescent="0.3">
      <c r="A27" s="76" t="s">
        <v>165</v>
      </c>
      <c r="B27" s="78">
        <f>B18*B9/10000000</f>
        <v>569.88</v>
      </c>
    </row>
    <row r="28" spans="1:15" ht="15.75" customHeight="1" x14ac:dyDescent="0.3">
      <c r="A28" s="76" t="s">
        <v>166</v>
      </c>
      <c r="B28" s="63">
        <f>'Engine Inputs'!B10</f>
        <v>6.5000000000000002E-2</v>
      </c>
    </row>
    <row r="29" spans="1:15" ht="15.75" customHeight="1" x14ac:dyDescent="0.3">
      <c r="A29" s="76" t="s">
        <v>167</v>
      </c>
      <c r="B29" s="78">
        <f>B26/(1+B6)</f>
        <v>20.194023445714286</v>
      </c>
      <c r="C29" s="78">
        <f>B27/(1+B6)</f>
        <v>325.64571428571429</v>
      </c>
    </row>
    <row r="30" spans="1:15" x14ac:dyDescent="0.3">
      <c r="A30" s="59" t="s">
        <v>168</v>
      </c>
    </row>
    <row r="31" spans="1:15" ht="21.75" customHeight="1" x14ac:dyDescent="0.3">
      <c r="A31" s="140" t="s">
        <v>169</v>
      </c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</row>
    <row r="32" spans="1:15" ht="15" customHeight="1" x14ac:dyDescent="0.3">
      <c r="A32" s="79">
        <v>0</v>
      </c>
      <c r="B32" s="80">
        <v>0</v>
      </c>
      <c r="C32" s="81">
        <f>$B$20*(1+B32)*(1+$B$21)</f>
        <v>0.312</v>
      </c>
    </row>
    <row r="33" spans="1:15" ht="15" customHeight="1" x14ac:dyDescent="0.3">
      <c r="A33" s="82">
        <v>0.5</v>
      </c>
      <c r="B33" s="83">
        <v>0.1</v>
      </c>
      <c r="C33" s="84">
        <f>$B$20*(1+B33)*(1+$B$21)</f>
        <v>0.34320000000000001</v>
      </c>
    </row>
    <row r="34" spans="1:15" ht="15" customHeight="1" x14ac:dyDescent="0.3">
      <c r="A34" s="85">
        <v>1</v>
      </c>
      <c r="B34" s="86">
        <v>0.15</v>
      </c>
      <c r="C34" s="87">
        <f>$B$20*(1+B34)*(1+$B$21)</f>
        <v>0.35880000000000001</v>
      </c>
    </row>
    <row r="35" spans="1:15" ht="15" customHeight="1" x14ac:dyDescent="0.3">
      <c r="A35" s="82">
        <v>2</v>
      </c>
      <c r="B35" s="83">
        <v>0.25</v>
      </c>
      <c r="C35" s="84">
        <f>$B$20*(1+B35)*(1+$B$21)</f>
        <v>0.39</v>
      </c>
    </row>
    <row r="36" spans="1:15" ht="15" customHeight="1" x14ac:dyDescent="0.3">
      <c r="A36" s="88" t="s">
        <v>170</v>
      </c>
      <c r="B36" s="89">
        <v>0.15</v>
      </c>
    </row>
    <row r="37" spans="1:15" ht="6" customHeight="1" x14ac:dyDescent="0.3"/>
    <row r="38" spans="1:15" ht="21.75" customHeight="1" x14ac:dyDescent="0.3">
      <c r="A38" s="140" t="s">
        <v>171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</row>
    <row r="39" spans="1:15" ht="30" customHeight="1" x14ac:dyDescent="0.3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s">
        <v>177</v>
      </c>
      <c r="G39" s="2" t="s">
        <v>178</v>
      </c>
      <c r="H39" s="2" t="s">
        <v>179</v>
      </c>
      <c r="I39" s="2" t="s">
        <v>180</v>
      </c>
      <c r="J39" s="2" t="s">
        <v>181</v>
      </c>
      <c r="K39" s="2" t="s">
        <v>182</v>
      </c>
      <c r="L39" s="2" t="s">
        <v>183</v>
      </c>
      <c r="M39" s="2" t="s">
        <v>184</v>
      </c>
      <c r="N39" s="2" t="s">
        <v>185</v>
      </c>
      <c r="O39" s="2" t="s">
        <v>186</v>
      </c>
    </row>
    <row r="40" spans="1:15" ht="15" customHeight="1" x14ac:dyDescent="0.3">
      <c r="A40" s="90">
        <v>1</v>
      </c>
      <c r="B40" s="91">
        <f>$B$5</f>
        <v>0.6</v>
      </c>
      <c r="C40" s="92" t="str">
        <f t="shared" ref="C40:C59" si="0">IF(B40&gt;=$B$8,"GIFT FIF (IFSC) Corp","Individual LRS")</f>
        <v>Individual LRS</v>
      </c>
      <c r="D40" s="92" t="str">
        <f t="shared" ref="D40:D59" si="1">IF(B40&gt;$B$29,"SGX/ICE FFA blocks","BDRY (45-day iceberg)")</f>
        <v>BDRY (45-day iceberg)</v>
      </c>
      <c r="E40" s="93">
        <f t="shared" ref="E40:E59" si="2">IF(B40&gt;$B$29,$C$29,$B$29)</f>
        <v>20.194023445714286</v>
      </c>
      <c r="F40" s="93">
        <f t="shared" ref="F40:F59" si="3">MIN(B40,E40)</f>
        <v>0.6</v>
      </c>
      <c r="G40" s="93">
        <f t="shared" ref="G40:G59" si="4">B40-F40</f>
        <v>0</v>
      </c>
      <c r="H40" s="93">
        <f t="shared" ref="H40:H59" si="5">F40*$B$6+G40*$B$28*$B$7/12</f>
        <v>0.44999999999999996</v>
      </c>
      <c r="I40" s="93">
        <f t="shared" ref="I40:I59" si="6">IF(B40&gt;=$B$8,$B$11,0)</f>
        <v>0</v>
      </c>
      <c r="J40" s="93">
        <f t="shared" ref="J40:J59" si="7">MAX(H40-I40,0)</f>
        <v>0.44999999999999996</v>
      </c>
      <c r="K40" s="92" t="str">
        <f t="shared" ref="K40:K59" si="8">IF(B40&gt;=$B$8,"115BAA corp",IF($B$7&gt;=24,"LTCG 112 (12.5%)","STCG @ slab"))</f>
        <v>STCG @ slab</v>
      </c>
      <c r="L40" s="94">
        <v>0.25168000000000001</v>
      </c>
      <c r="M40" s="93">
        <f t="shared" ref="M40:M59" si="9">J40*L40</f>
        <v>0.113256</v>
      </c>
      <c r="N40" s="91">
        <f t="shared" ref="N40:N59" si="10">B40+H40-I40-M40</f>
        <v>0.9367439999999998</v>
      </c>
      <c r="O40" s="95">
        <f t="shared" ref="O40:O59" si="11">N40*10000000/$B$9</f>
        <v>98625.394819962079</v>
      </c>
    </row>
    <row r="41" spans="1:15" ht="15" customHeight="1" x14ac:dyDescent="0.3">
      <c r="A41" s="96">
        <v>2</v>
      </c>
      <c r="B41" s="97">
        <f t="shared" ref="B41:B59" si="12">N40</f>
        <v>0.9367439999999998</v>
      </c>
      <c r="C41" s="98" t="str">
        <f t="shared" si="0"/>
        <v>Individual LRS</v>
      </c>
      <c r="D41" s="98" t="str">
        <f t="shared" si="1"/>
        <v>BDRY (45-day iceberg)</v>
      </c>
      <c r="E41" s="99">
        <f t="shared" si="2"/>
        <v>20.194023445714286</v>
      </c>
      <c r="F41" s="99">
        <f t="shared" si="3"/>
        <v>0.9367439999999998</v>
      </c>
      <c r="G41" s="99">
        <f t="shared" si="4"/>
        <v>0</v>
      </c>
      <c r="H41" s="99">
        <f t="shared" si="5"/>
        <v>0.70255799999999979</v>
      </c>
      <c r="I41" s="99">
        <f t="shared" si="6"/>
        <v>0</v>
      </c>
      <c r="J41" s="99">
        <f t="shared" si="7"/>
        <v>0.70255799999999979</v>
      </c>
      <c r="K41" s="98" t="str">
        <f t="shared" si="8"/>
        <v>STCG @ slab</v>
      </c>
      <c r="L41" s="94">
        <v>0.25168000000000001</v>
      </c>
      <c r="M41" s="99">
        <f t="shared" si="9"/>
        <v>0.17681979743999995</v>
      </c>
      <c r="N41" s="97">
        <f t="shared" si="10"/>
        <v>1.4624822025599997</v>
      </c>
      <c r="O41" s="101">
        <f t="shared" si="11"/>
        <v>153977.9114087176</v>
      </c>
    </row>
    <row r="42" spans="1:15" ht="15" customHeight="1" x14ac:dyDescent="0.3">
      <c r="A42" s="90">
        <v>3</v>
      </c>
      <c r="B42" s="91">
        <f t="shared" si="12"/>
        <v>1.4624822025599997</v>
      </c>
      <c r="C42" s="92" t="str">
        <f t="shared" si="0"/>
        <v>Individual LRS</v>
      </c>
      <c r="D42" s="92" t="str">
        <f t="shared" si="1"/>
        <v>BDRY (45-day iceberg)</v>
      </c>
      <c r="E42" s="93">
        <f t="shared" si="2"/>
        <v>20.194023445714286</v>
      </c>
      <c r="F42" s="93">
        <f t="shared" si="3"/>
        <v>1.4624822025599997</v>
      </c>
      <c r="G42" s="93">
        <f t="shared" si="4"/>
        <v>0</v>
      </c>
      <c r="H42" s="93">
        <f t="shared" si="5"/>
        <v>1.0968616519199998</v>
      </c>
      <c r="I42" s="93">
        <f t="shared" si="6"/>
        <v>0</v>
      </c>
      <c r="J42" s="93">
        <f t="shared" si="7"/>
        <v>1.0968616519199998</v>
      </c>
      <c r="K42" s="92" t="str">
        <f t="shared" si="8"/>
        <v>STCG @ slab</v>
      </c>
      <c r="L42" s="94">
        <v>0.25168000000000001</v>
      </c>
      <c r="M42" s="93">
        <f t="shared" si="9"/>
        <v>0.2760581405552256</v>
      </c>
      <c r="N42" s="91">
        <f t="shared" si="10"/>
        <v>2.2832857139247742</v>
      </c>
      <c r="O42" s="95">
        <f t="shared" si="11"/>
        <v>240396.47440774628</v>
      </c>
    </row>
    <row r="43" spans="1:15" ht="15" customHeight="1" x14ac:dyDescent="0.3">
      <c r="A43" s="96">
        <v>4</v>
      </c>
      <c r="B43" s="97">
        <f t="shared" si="12"/>
        <v>2.2832857139247742</v>
      </c>
      <c r="C43" s="98" t="str">
        <f t="shared" si="0"/>
        <v>Individual LRS</v>
      </c>
      <c r="D43" s="98" t="str">
        <f t="shared" si="1"/>
        <v>BDRY (45-day iceberg)</v>
      </c>
      <c r="E43" s="99">
        <f t="shared" si="2"/>
        <v>20.194023445714286</v>
      </c>
      <c r="F43" s="99">
        <f t="shared" si="3"/>
        <v>2.2832857139247742</v>
      </c>
      <c r="G43" s="99">
        <f t="shared" si="4"/>
        <v>0</v>
      </c>
      <c r="H43" s="99">
        <f t="shared" si="5"/>
        <v>1.7124642854435805</v>
      </c>
      <c r="I43" s="99">
        <f t="shared" si="6"/>
        <v>0</v>
      </c>
      <c r="J43" s="99">
        <f t="shared" si="7"/>
        <v>1.7124642854435805</v>
      </c>
      <c r="K43" s="98" t="str">
        <f t="shared" si="8"/>
        <v>STCG @ slab</v>
      </c>
      <c r="L43" s="94">
        <v>0.25168000000000001</v>
      </c>
      <c r="M43" s="99">
        <f t="shared" si="9"/>
        <v>0.43099301136044038</v>
      </c>
      <c r="N43" s="97">
        <f t="shared" si="10"/>
        <v>3.5647569880079142</v>
      </c>
      <c r="O43" s="101">
        <f t="shared" si="11"/>
        <v>375316.59170434979</v>
      </c>
    </row>
    <row r="44" spans="1:15" ht="15" customHeight="1" x14ac:dyDescent="0.3">
      <c r="A44" s="90">
        <v>5</v>
      </c>
      <c r="B44" s="91">
        <f t="shared" si="12"/>
        <v>3.5647569880079142</v>
      </c>
      <c r="C44" s="92" t="str">
        <f t="shared" si="0"/>
        <v>Individual LRS</v>
      </c>
      <c r="D44" s="92" t="str">
        <f t="shared" si="1"/>
        <v>BDRY (45-day iceberg)</v>
      </c>
      <c r="E44" s="93">
        <f t="shared" si="2"/>
        <v>20.194023445714286</v>
      </c>
      <c r="F44" s="93">
        <f t="shared" si="3"/>
        <v>3.5647569880079142</v>
      </c>
      <c r="G44" s="93">
        <f t="shared" si="4"/>
        <v>0</v>
      </c>
      <c r="H44" s="93">
        <f t="shared" si="5"/>
        <v>2.6735677410059355</v>
      </c>
      <c r="I44" s="93">
        <f t="shared" si="6"/>
        <v>0</v>
      </c>
      <c r="J44" s="93">
        <f t="shared" si="7"/>
        <v>2.6735677410059355</v>
      </c>
      <c r="K44" s="92" t="str">
        <f t="shared" si="8"/>
        <v>STCG @ slab</v>
      </c>
      <c r="L44" s="94">
        <v>0.25168000000000001</v>
      </c>
      <c r="M44" s="93">
        <f t="shared" si="9"/>
        <v>0.67288352905637394</v>
      </c>
      <c r="N44" s="91">
        <f t="shared" si="10"/>
        <v>5.5654411999574762</v>
      </c>
      <c r="O44" s="95">
        <f t="shared" si="11"/>
        <v>585959.27563249914</v>
      </c>
    </row>
    <row r="45" spans="1:15" ht="15" customHeight="1" x14ac:dyDescent="0.3">
      <c r="A45" s="96">
        <v>6</v>
      </c>
      <c r="B45" s="97">
        <f t="shared" si="12"/>
        <v>5.5654411999574762</v>
      </c>
      <c r="C45" s="98" t="str">
        <f t="shared" si="0"/>
        <v>Individual LRS</v>
      </c>
      <c r="D45" s="98" t="str">
        <f t="shared" si="1"/>
        <v>BDRY (45-day iceberg)</v>
      </c>
      <c r="E45" s="99">
        <f t="shared" si="2"/>
        <v>20.194023445714286</v>
      </c>
      <c r="F45" s="99">
        <f t="shared" si="3"/>
        <v>5.5654411999574762</v>
      </c>
      <c r="G45" s="99">
        <f t="shared" si="4"/>
        <v>0</v>
      </c>
      <c r="H45" s="99">
        <f t="shared" si="5"/>
        <v>4.1740808999681072</v>
      </c>
      <c r="I45" s="99">
        <f t="shared" si="6"/>
        <v>0</v>
      </c>
      <c r="J45" s="99">
        <f t="shared" si="7"/>
        <v>4.1740808999681072</v>
      </c>
      <c r="K45" s="98" t="str">
        <f t="shared" si="8"/>
        <v>STCG @ slab</v>
      </c>
      <c r="L45" s="94">
        <v>0.25168000000000001</v>
      </c>
      <c r="M45" s="99">
        <f t="shared" si="9"/>
        <v>1.0505326809039732</v>
      </c>
      <c r="N45" s="97">
        <f t="shared" si="10"/>
        <v>8.6889894190216097</v>
      </c>
      <c r="O45" s="101">
        <f t="shared" si="11"/>
        <v>914823.05948848277</v>
      </c>
    </row>
    <row r="46" spans="1:15" ht="15" customHeight="1" x14ac:dyDescent="0.3">
      <c r="A46" s="90">
        <v>7</v>
      </c>
      <c r="B46" s="91">
        <f t="shared" si="12"/>
        <v>8.6889894190216097</v>
      </c>
      <c r="C46" s="92" t="str">
        <f t="shared" si="0"/>
        <v>Individual LRS</v>
      </c>
      <c r="D46" s="92" t="str">
        <f t="shared" si="1"/>
        <v>BDRY (45-day iceberg)</v>
      </c>
      <c r="E46" s="93">
        <f t="shared" si="2"/>
        <v>20.194023445714286</v>
      </c>
      <c r="F46" s="93">
        <f t="shared" si="3"/>
        <v>8.6889894190216097</v>
      </c>
      <c r="G46" s="93">
        <f t="shared" si="4"/>
        <v>0</v>
      </c>
      <c r="H46" s="93">
        <f t="shared" si="5"/>
        <v>6.5167420642662073</v>
      </c>
      <c r="I46" s="93">
        <f t="shared" si="6"/>
        <v>0</v>
      </c>
      <c r="J46" s="93">
        <f t="shared" si="7"/>
        <v>6.5167420642662073</v>
      </c>
      <c r="K46" s="92" t="str">
        <f t="shared" si="8"/>
        <v>STCG @ slab</v>
      </c>
      <c r="L46" s="94">
        <v>0.25168000000000001</v>
      </c>
      <c r="M46" s="93">
        <f t="shared" si="9"/>
        <v>1.6401336427345192</v>
      </c>
      <c r="N46" s="91">
        <f t="shared" si="10"/>
        <v>13.565597840553298</v>
      </c>
      <c r="O46" s="95">
        <f t="shared" si="11"/>
        <v>1428258.3533957989</v>
      </c>
    </row>
    <row r="47" spans="1:15" ht="15" customHeight="1" x14ac:dyDescent="0.3">
      <c r="A47" s="96">
        <v>8</v>
      </c>
      <c r="B47" s="97">
        <f t="shared" si="12"/>
        <v>13.565597840553298</v>
      </c>
      <c r="C47" s="98" t="str">
        <f t="shared" si="0"/>
        <v>Individual LRS</v>
      </c>
      <c r="D47" s="98" t="str">
        <f t="shared" si="1"/>
        <v>BDRY (45-day iceberg)</v>
      </c>
      <c r="E47" s="99">
        <f t="shared" si="2"/>
        <v>20.194023445714286</v>
      </c>
      <c r="F47" s="99">
        <f t="shared" si="3"/>
        <v>13.565597840553298</v>
      </c>
      <c r="G47" s="99">
        <f t="shared" si="4"/>
        <v>0</v>
      </c>
      <c r="H47" s="99">
        <f t="shared" si="5"/>
        <v>10.174198380414975</v>
      </c>
      <c r="I47" s="99">
        <f t="shared" si="6"/>
        <v>0</v>
      </c>
      <c r="J47" s="99">
        <f t="shared" si="7"/>
        <v>10.174198380414975</v>
      </c>
      <c r="K47" s="98" t="str">
        <f t="shared" si="8"/>
        <v>STCG @ slab</v>
      </c>
      <c r="L47" s="94">
        <v>0.25168000000000001</v>
      </c>
      <c r="M47" s="99">
        <f t="shared" si="9"/>
        <v>2.560642248382841</v>
      </c>
      <c r="N47" s="97">
        <f t="shared" si="10"/>
        <v>21.179153972585432</v>
      </c>
      <c r="O47" s="101">
        <f t="shared" si="11"/>
        <v>2229854.0716556571</v>
      </c>
    </row>
    <row r="48" spans="1:15" ht="15" customHeight="1" x14ac:dyDescent="0.3">
      <c r="A48" s="90">
        <v>9</v>
      </c>
      <c r="B48" s="91">
        <f t="shared" si="12"/>
        <v>21.179153972585432</v>
      </c>
      <c r="C48" s="92" t="str">
        <f t="shared" si="0"/>
        <v>GIFT FIF (IFSC) Corp</v>
      </c>
      <c r="D48" s="92" t="str">
        <f t="shared" si="1"/>
        <v>SGX/ICE FFA blocks</v>
      </c>
      <c r="E48" s="93">
        <f t="shared" si="2"/>
        <v>325.64571428571429</v>
      </c>
      <c r="F48" s="93">
        <f t="shared" si="3"/>
        <v>21.179153972585432</v>
      </c>
      <c r="G48" s="93">
        <f t="shared" si="4"/>
        <v>0</v>
      </c>
      <c r="H48" s="93">
        <f t="shared" si="5"/>
        <v>15.884365479439074</v>
      </c>
      <c r="I48" s="93">
        <f t="shared" si="6"/>
        <v>0.5</v>
      </c>
      <c r="J48" s="93">
        <f t="shared" si="7"/>
        <v>15.384365479439074</v>
      </c>
      <c r="K48" s="92" t="str">
        <f t="shared" si="8"/>
        <v>115BAA corp</v>
      </c>
      <c r="L48" s="94">
        <v>0.25168000000000001</v>
      </c>
      <c r="M48" s="93">
        <f t="shared" si="9"/>
        <v>3.8719371038652266</v>
      </c>
      <c r="N48" s="91">
        <f t="shared" si="10"/>
        <v>32.69158234815928</v>
      </c>
      <c r="O48" s="95">
        <f t="shared" si="11"/>
        <v>3441943.8142934591</v>
      </c>
    </row>
    <row r="49" spans="1:15" ht="15" customHeight="1" x14ac:dyDescent="0.3">
      <c r="A49" s="96">
        <v>10</v>
      </c>
      <c r="B49" s="97">
        <f t="shared" si="12"/>
        <v>32.69158234815928</v>
      </c>
      <c r="C49" s="98" t="str">
        <f t="shared" si="0"/>
        <v>GIFT FIF (IFSC) Corp</v>
      </c>
      <c r="D49" s="98" t="str">
        <f t="shared" si="1"/>
        <v>SGX/ICE FFA blocks</v>
      </c>
      <c r="E49" s="99">
        <f t="shared" si="2"/>
        <v>325.64571428571429</v>
      </c>
      <c r="F49" s="99">
        <f t="shared" si="3"/>
        <v>32.69158234815928</v>
      </c>
      <c r="G49" s="99">
        <f t="shared" si="4"/>
        <v>0</v>
      </c>
      <c r="H49" s="99">
        <f t="shared" si="5"/>
        <v>24.518686761119461</v>
      </c>
      <c r="I49" s="99">
        <f t="shared" si="6"/>
        <v>0.5</v>
      </c>
      <c r="J49" s="99">
        <f t="shared" si="7"/>
        <v>24.018686761119461</v>
      </c>
      <c r="K49" s="98" t="str">
        <f t="shared" si="8"/>
        <v>115BAA corp</v>
      </c>
      <c r="L49" s="94">
        <v>0.25168000000000001</v>
      </c>
      <c r="M49" s="99">
        <f t="shared" si="9"/>
        <v>6.0450230840385464</v>
      </c>
      <c r="N49" s="97">
        <f t="shared" si="10"/>
        <v>50.665246025240194</v>
      </c>
      <c r="O49" s="101">
        <f t="shared" si="11"/>
        <v>5334306.8040893022</v>
      </c>
    </row>
    <row r="50" spans="1:15" ht="15" customHeight="1" x14ac:dyDescent="0.3">
      <c r="A50" s="90">
        <v>11</v>
      </c>
      <c r="B50" s="91">
        <f t="shared" si="12"/>
        <v>50.665246025240194</v>
      </c>
      <c r="C50" s="92" t="str">
        <f t="shared" si="0"/>
        <v>GIFT FIF (IFSC) Corp</v>
      </c>
      <c r="D50" s="92" t="str">
        <f t="shared" si="1"/>
        <v>SGX/ICE FFA blocks</v>
      </c>
      <c r="E50" s="93">
        <f t="shared" si="2"/>
        <v>325.64571428571429</v>
      </c>
      <c r="F50" s="93">
        <f t="shared" si="3"/>
        <v>50.665246025240194</v>
      </c>
      <c r="G50" s="93">
        <f t="shared" si="4"/>
        <v>0</v>
      </c>
      <c r="H50" s="93">
        <f t="shared" si="5"/>
        <v>37.998934518930142</v>
      </c>
      <c r="I50" s="93">
        <f t="shared" si="6"/>
        <v>0.5</v>
      </c>
      <c r="J50" s="93">
        <f t="shared" si="7"/>
        <v>37.498934518930142</v>
      </c>
      <c r="K50" s="92" t="str">
        <f t="shared" si="8"/>
        <v>115BAA corp</v>
      </c>
      <c r="L50" s="94">
        <v>0.25168000000000001</v>
      </c>
      <c r="M50" s="93">
        <f t="shared" si="9"/>
        <v>9.4377318397243393</v>
      </c>
      <c r="N50" s="91">
        <f t="shared" si="10"/>
        <v>78.726448704446</v>
      </c>
      <c r="O50" s="95">
        <f t="shared" si="11"/>
        <v>8288739.598278163</v>
      </c>
    </row>
    <row r="51" spans="1:15" ht="15" customHeight="1" x14ac:dyDescent="0.3">
      <c r="A51" s="96">
        <v>12</v>
      </c>
      <c r="B51" s="97">
        <f t="shared" si="12"/>
        <v>78.726448704446</v>
      </c>
      <c r="C51" s="98" t="str">
        <f t="shared" si="0"/>
        <v>GIFT FIF (IFSC) Corp</v>
      </c>
      <c r="D51" s="98" t="str">
        <f t="shared" si="1"/>
        <v>SGX/ICE FFA blocks</v>
      </c>
      <c r="E51" s="99">
        <f t="shared" si="2"/>
        <v>325.64571428571429</v>
      </c>
      <c r="F51" s="99">
        <f t="shared" si="3"/>
        <v>78.726448704446</v>
      </c>
      <c r="G51" s="99">
        <f t="shared" si="4"/>
        <v>0</v>
      </c>
      <c r="H51" s="99">
        <f t="shared" si="5"/>
        <v>59.0448365283345</v>
      </c>
      <c r="I51" s="99">
        <f t="shared" si="6"/>
        <v>0.5</v>
      </c>
      <c r="J51" s="99">
        <f t="shared" si="7"/>
        <v>58.5448365283345</v>
      </c>
      <c r="K51" s="98" t="str">
        <f t="shared" si="8"/>
        <v>115BAA corp</v>
      </c>
      <c r="L51" s="94">
        <v>0.25168000000000001</v>
      </c>
      <c r="M51" s="99">
        <f t="shared" si="9"/>
        <v>14.734564457451228</v>
      </c>
      <c r="N51" s="97">
        <f t="shared" si="10"/>
        <v>122.53672077532926</v>
      </c>
      <c r="O51" s="101">
        <f t="shared" si="11"/>
        <v>12901318.25387758</v>
      </c>
    </row>
    <row r="52" spans="1:15" ht="15" customHeight="1" x14ac:dyDescent="0.3">
      <c r="A52" s="90">
        <v>13</v>
      </c>
      <c r="B52" s="91">
        <f t="shared" si="12"/>
        <v>122.53672077532926</v>
      </c>
      <c r="C52" s="92" t="str">
        <f t="shared" si="0"/>
        <v>GIFT FIF (IFSC) Corp</v>
      </c>
      <c r="D52" s="92" t="str">
        <f t="shared" si="1"/>
        <v>SGX/ICE FFA blocks</v>
      </c>
      <c r="E52" s="93">
        <f t="shared" si="2"/>
        <v>325.64571428571429</v>
      </c>
      <c r="F52" s="93">
        <f t="shared" si="3"/>
        <v>122.53672077532926</v>
      </c>
      <c r="G52" s="93">
        <f t="shared" si="4"/>
        <v>0</v>
      </c>
      <c r="H52" s="93">
        <f t="shared" si="5"/>
        <v>91.902540581496936</v>
      </c>
      <c r="I52" s="93">
        <f t="shared" si="6"/>
        <v>0.5</v>
      </c>
      <c r="J52" s="93">
        <f t="shared" si="7"/>
        <v>91.402540581496936</v>
      </c>
      <c r="K52" s="92" t="str">
        <f t="shared" si="8"/>
        <v>115BAA corp</v>
      </c>
      <c r="L52" s="94">
        <v>0.25168000000000001</v>
      </c>
      <c r="M52" s="93">
        <f t="shared" si="9"/>
        <v>23.004191413551151</v>
      </c>
      <c r="N52" s="91">
        <f t="shared" si="10"/>
        <v>190.93506994327504</v>
      </c>
      <c r="O52" s="95">
        <f t="shared" si="11"/>
        <v>20102660.554145612</v>
      </c>
    </row>
    <row r="53" spans="1:15" ht="15" customHeight="1" x14ac:dyDescent="0.3">
      <c r="A53" s="96">
        <v>14</v>
      </c>
      <c r="B53" s="97">
        <f t="shared" si="12"/>
        <v>190.93506994327504</v>
      </c>
      <c r="C53" s="98" t="str">
        <f t="shared" si="0"/>
        <v>GIFT FIF (IFSC) Corp</v>
      </c>
      <c r="D53" s="98" t="str">
        <f t="shared" si="1"/>
        <v>SGX/ICE FFA blocks</v>
      </c>
      <c r="E53" s="99">
        <f t="shared" si="2"/>
        <v>325.64571428571429</v>
      </c>
      <c r="F53" s="99">
        <f t="shared" si="3"/>
        <v>190.93506994327504</v>
      </c>
      <c r="G53" s="99">
        <f t="shared" si="4"/>
        <v>0</v>
      </c>
      <c r="H53" s="99">
        <f t="shared" si="5"/>
        <v>143.20130245745628</v>
      </c>
      <c r="I53" s="99">
        <f t="shared" si="6"/>
        <v>0.5</v>
      </c>
      <c r="J53" s="99">
        <f t="shared" si="7"/>
        <v>142.70130245745628</v>
      </c>
      <c r="K53" s="98" t="str">
        <f t="shared" si="8"/>
        <v>115BAA corp</v>
      </c>
      <c r="L53" s="94">
        <v>0.25168000000000001</v>
      </c>
      <c r="M53" s="99">
        <f t="shared" si="9"/>
        <v>35.915063802492597</v>
      </c>
      <c r="N53" s="97">
        <f t="shared" si="10"/>
        <v>297.72130859823869</v>
      </c>
      <c r="O53" s="101">
        <f t="shared" si="11"/>
        <v>31345684.207016077</v>
      </c>
    </row>
    <row r="54" spans="1:15" ht="15" customHeight="1" x14ac:dyDescent="0.3">
      <c r="A54" s="90">
        <v>15</v>
      </c>
      <c r="B54" s="91">
        <f t="shared" si="12"/>
        <v>297.72130859823869</v>
      </c>
      <c r="C54" s="92" t="str">
        <f t="shared" si="0"/>
        <v>GIFT FIF (IFSC) Corp</v>
      </c>
      <c r="D54" s="92" t="str">
        <f t="shared" si="1"/>
        <v>SGX/ICE FFA blocks</v>
      </c>
      <c r="E54" s="93">
        <f t="shared" si="2"/>
        <v>325.64571428571429</v>
      </c>
      <c r="F54" s="93">
        <f t="shared" si="3"/>
        <v>297.72130859823869</v>
      </c>
      <c r="G54" s="93">
        <f t="shared" si="4"/>
        <v>0</v>
      </c>
      <c r="H54" s="93">
        <f t="shared" si="5"/>
        <v>223.29098144867902</v>
      </c>
      <c r="I54" s="93">
        <f t="shared" si="6"/>
        <v>0.5</v>
      </c>
      <c r="J54" s="93">
        <f t="shared" si="7"/>
        <v>222.79098144867902</v>
      </c>
      <c r="K54" s="92" t="str">
        <f t="shared" si="8"/>
        <v>115BAA corp</v>
      </c>
      <c r="L54" s="94">
        <v>0.25168000000000001</v>
      </c>
      <c r="M54" s="93">
        <f t="shared" si="9"/>
        <v>56.07203421100354</v>
      </c>
      <c r="N54" s="91">
        <f t="shared" si="10"/>
        <v>464.44025583591423</v>
      </c>
      <c r="O54" s="95">
        <f t="shared" si="11"/>
        <v>48898742.454823561</v>
      </c>
    </row>
    <row r="55" spans="1:15" ht="15" customHeight="1" x14ac:dyDescent="0.3">
      <c r="A55" s="96">
        <v>16</v>
      </c>
      <c r="B55" s="97">
        <f t="shared" si="12"/>
        <v>464.44025583591423</v>
      </c>
      <c r="C55" s="98" t="str">
        <f t="shared" si="0"/>
        <v>GIFT FIF (IFSC) Corp</v>
      </c>
      <c r="D55" s="98" t="str">
        <f t="shared" si="1"/>
        <v>SGX/ICE FFA blocks</v>
      </c>
      <c r="E55" s="99">
        <f t="shared" si="2"/>
        <v>325.64571428571429</v>
      </c>
      <c r="F55" s="99">
        <f t="shared" si="3"/>
        <v>325.64571428571429</v>
      </c>
      <c r="G55" s="99">
        <f t="shared" si="4"/>
        <v>138.79454155019994</v>
      </c>
      <c r="H55" s="99">
        <f t="shared" si="5"/>
        <v>257.7667535154302</v>
      </c>
      <c r="I55" s="99">
        <f t="shared" si="6"/>
        <v>0.5</v>
      </c>
      <c r="J55" s="99">
        <f t="shared" si="7"/>
        <v>257.2667535154302</v>
      </c>
      <c r="K55" s="98" t="str">
        <f t="shared" si="8"/>
        <v>115BAA corp</v>
      </c>
      <c r="L55" s="94">
        <v>0.25168000000000001</v>
      </c>
      <c r="M55" s="99">
        <f t="shared" si="9"/>
        <v>64.748896524763481</v>
      </c>
      <c r="N55" s="97">
        <f t="shared" si="10"/>
        <v>656.95811282658087</v>
      </c>
      <c r="O55" s="101">
        <f t="shared" si="11"/>
        <v>69168047.254851639</v>
      </c>
    </row>
    <row r="56" spans="1:15" ht="15" customHeight="1" x14ac:dyDescent="0.3">
      <c r="A56" s="90">
        <v>17</v>
      </c>
      <c r="B56" s="91">
        <f t="shared" si="12"/>
        <v>656.95811282658087</v>
      </c>
      <c r="C56" s="92" t="str">
        <f t="shared" si="0"/>
        <v>GIFT FIF (IFSC) Corp</v>
      </c>
      <c r="D56" s="92" t="str">
        <f t="shared" si="1"/>
        <v>SGX/ICE FFA blocks</v>
      </c>
      <c r="E56" s="93">
        <f t="shared" si="2"/>
        <v>325.64571428571429</v>
      </c>
      <c r="F56" s="93">
        <f t="shared" si="3"/>
        <v>325.64571428571429</v>
      </c>
      <c r="G56" s="93">
        <f t="shared" si="4"/>
        <v>331.31239854086658</v>
      </c>
      <c r="H56" s="93">
        <f t="shared" si="5"/>
        <v>276.5372445720202</v>
      </c>
      <c r="I56" s="93">
        <f t="shared" si="6"/>
        <v>0.5</v>
      </c>
      <c r="J56" s="93">
        <f t="shared" si="7"/>
        <v>276.0372445720202</v>
      </c>
      <c r="K56" s="92" t="str">
        <f t="shared" si="8"/>
        <v>115BAA corp</v>
      </c>
      <c r="L56" s="94">
        <v>0.25168000000000001</v>
      </c>
      <c r="M56" s="93">
        <f t="shared" si="9"/>
        <v>69.473053713886046</v>
      </c>
      <c r="N56" s="91">
        <f t="shared" si="10"/>
        <v>863.52230368471498</v>
      </c>
      <c r="O56" s="95">
        <f t="shared" si="11"/>
        <v>90916224.856255516</v>
      </c>
    </row>
    <row r="57" spans="1:15" ht="15" customHeight="1" x14ac:dyDescent="0.3">
      <c r="A57" s="96">
        <v>18</v>
      </c>
      <c r="B57" s="97">
        <f t="shared" si="12"/>
        <v>863.52230368471498</v>
      </c>
      <c r="C57" s="98" t="str">
        <f t="shared" si="0"/>
        <v>GIFT FIF (IFSC) Corp</v>
      </c>
      <c r="D57" s="98" t="str">
        <f t="shared" si="1"/>
        <v>SGX/ICE FFA blocks</v>
      </c>
      <c r="E57" s="99">
        <f t="shared" si="2"/>
        <v>325.64571428571429</v>
      </c>
      <c r="F57" s="99">
        <f t="shared" si="3"/>
        <v>325.64571428571429</v>
      </c>
      <c r="G57" s="99">
        <f t="shared" si="4"/>
        <v>537.87658939900075</v>
      </c>
      <c r="H57" s="99">
        <f t="shared" si="5"/>
        <v>296.6772531806883</v>
      </c>
      <c r="I57" s="99">
        <f t="shared" si="6"/>
        <v>0.5</v>
      </c>
      <c r="J57" s="99">
        <f t="shared" si="7"/>
        <v>296.1772531806883</v>
      </c>
      <c r="K57" s="98" t="str">
        <f t="shared" si="8"/>
        <v>115BAA corp</v>
      </c>
      <c r="L57" s="94">
        <v>0.25168000000000001</v>
      </c>
      <c r="M57" s="99">
        <f t="shared" si="9"/>
        <v>74.54189108051564</v>
      </c>
      <c r="N57" s="97">
        <f t="shared" si="10"/>
        <v>1085.1576657848877</v>
      </c>
      <c r="O57" s="101">
        <f t="shared" si="11"/>
        <v>114251175.59327097</v>
      </c>
    </row>
    <row r="58" spans="1:15" ht="15" customHeight="1" x14ac:dyDescent="0.3">
      <c r="A58" s="90">
        <v>19</v>
      </c>
      <c r="B58" s="91">
        <f t="shared" si="12"/>
        <v>1085.1576657848877</v>
      </c>
      <c r="C58" s="92" t="str">
        <f t="shared" si="0"/>
        <v>GIFT FIF (IFSC) Corp</v>
      </c>
      <c r="D58" s="92" t="str">
        <f t="shared" si="1"/>
        <v>SGX/ICE FFA blocks</v>
      </c>
      <c r="E58" s="93">
        <f t="shared" si="2"/>
        <v>325.64571428571429</v>
      </c>
      <c r="F58" s="93">
        <f t="shared" si="3"/>
        <v>325.64571428571429</v>
      </c>
      <c r="G58" s="93">
        <f t="shared" si="4"/>
        <v>759.51195149917339</v>
      </c>
      <c r="H58" s="93">
        <f t="shared" si="5"/>
        <v>318.28670098545513</v>
      </c>
      <c r="I58" s="93">
        <f t="shared" si="6"/>
        <v>0.5</v>
      </c>
      <c r="J58" s="93">
        <f t="shared" si="7"/>
        <v>317.78670098545513</v>
      </c>
      <c r="K58" s="92" t="str">
        <f t="shared" si="8"/>
        <v>115BAA corp</v>
      </c>
      <c r="L58" s="94">
        <v>0.25168000000000001</v>
      </c>
      <c r="M58" s="93">
        <f t="shared" si="9"/>
        <v>79.980556904019352</v>
      </c>
      <c r="N58" s="91">
        <f t="shared" si="10"/>
        <v>1322.9638098663236</v>
      </c>
      <c r="O58" s="95">
        <f t="shared" si="11"/>
        <v>139288672.33799997</v>
      </c>
    </row>
    <row r="59" spans="1:15" ht="15" customHeight="1" x14ac:dyDescent="0.3">
      <c r="A59" s="96">
        <v>20</v>
      </c>
      <c r="B59" s="97">
        <f t="shared" si="12"/>
        <v>1322.9638098663236</v>
      </c>
      <c r="C59" s="98" t="str">
        <f t="shared" si="0"/>
        <v>GIFT FIF (IFSC) Corp</v>
      </c>
      <c r="D59" s="98" t="str">
        <f t="shared" si="1"/>
        <v>SGX/ICE FFA blocks</v>
      </c>
      <c r="E59" s="99">
        <f t="shared" si="2"/>
        <v>325.64571428571429</v>
      </c>
      <c r="F59" s="99">
        <f t="shared" si="3"/>
        <v>325.64571428571429</v>
      </c>
      <c r="G59" s="99">
        <f t="shared" si="4"/>
        <v>997.31809558060922</v>
      </c>
      <c r="H59" s="99">
        <f t="shared" si="5"/>
        <v>341.47280003339512</v>
      </c>
      <c r="I59" s="99">
        <f t="shared" si="6"/>
        <v>0.5</v>
      </c>
      <c r="J59" s="99">
        <f t="shared" si="7"/>
        <v>340.97280003339512</v>
      </c>
      <c r="K59" s="98" t="str">
        <f t="shared" si="8"/>
        <v>115BAA corp</v>
      </c>
      <c r="L59" s="94">
        <v>0.25168000000000001</v>
      </c>
      <c r="M59" s="99">
        <f t="shared" si="9"/>
        <v>85.816034312404895</v>
      </c>
      <c r="N59" s="97">
        <f t="shared" si="10"/>
        <v>1578.1205755873139</v>
      </c>
      <c r="O59" s="101">
        <f t="shared" si="11"/>
        <v>166152934.89022043</v>
      </c>
    </row>
    <row r="60" spans="1:15" ht="7.5" customHeight="1" x14ac:dyDescent="0.3"/>
    <row r="61" spans="1:15" ht="21.75" customHeight="1" x14ac:dyDescent="0.3">
      <c r="A61" s="140" t="s">
        <v>187</v>
      </c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</row>
    <row r="62" spans="1:15" ht="19.5" customHeight="1" x14ac:dyDescent="0.3">
      <c r="A62" s="102" t="s">
        <v>188</v>
      </c>
      <c r="B62" s="103">
        <f>N59</f>
        <v>1578.1205755873139</v>
      </c>
    </row>
    <row r="63" spans="1:15" ht="19.5" customHeight="1" x14ac:dyDescent="0.3">
      <c r="A63" s="102" t="s">
        <v>189</v>
      </c>
      <c r="B63" s="104">
        <f>N59*10000000/$B$9</f>
        <v>166152934.89022043</v>
      </c>
    </row>
    <row r="64" spans="1:15" ht="15.75" customHeight="1" x14ac:dyDescent="0.3">
      <c r="A64" s="105" t="s">
        <v>190</v>
      </c>
      <c r="B64" s="106">
        <f>SUM(M40:M59)</f>
        <v>530.56229749814941</v>
      </c>
    </row>
    <row r="65" spans="1:15" ht="15.75" customHeight="1" x14ac:dyDescent="0.3">
      <c r="A65" s="105" t="s">
        <v>191</v>
      </c>
      <c r="B65" s="106">
        <f>SUM(I40:I59)</f>
        <v>6</v>
      </c>
    </row>
    <row r="66" spans="1:15" ht="15.75" customHeight="1" x14ac:dyDescent="0.3">
      <c r="A66" s="105" t="s">
        <v>192</v>
      </c>
      <c r="B66" s="107">
        <f>20*$B$7/12</f>
        <v>30</v>
      </c>
    </row>
    <row r="67" spans="1:15" ht="19.5" customHeight="1" x14ac:dyDescent="0.3">
      <c r="A67" s="102" t="s">
        <v>193</v>
      </c>
      <c r="B67" s="108">
        <f>(N59/$B$5)^(1/(20*$B$7/12))-1</f>
        <v>0.30016847352227694</v>
      </c>
    </row>
    <row r="68" spans="1:15" ht="15.75" customHeight="1" x14ac:dyDescent="0.3">
      <c r="A68" s="105" t="s">
        <v>194</v>
      </c>
      <c r="B68" s="109">
        <f>IFERROR(MATCH("GIFT FIF (IFSC) Corp",C40:C59,0),"not reached")</f>
        <v>9</v>
      </c>
    </row>
    <row r="69" spans="1:15" ht="15.75" customHeight="1" x14ac:dyDescent="0.3">
      <c r="A69" s="105" t="s">
        <v>195</v>
      </c>
      <c r="B69" s="109">
        <f>IFERROR(MATCH("SGX/ICE FFA blocks",D40:D59,0),"never")</f>
        <v>9</v>
      </c>
    </row>
    <row r="72" spans="1:15" ht="30" customHeight="1" x14ac:dyDescent="0.3">
      <c r="A72" s="141" t="s">
        <v>196</v>
      </c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</row>
    <row r="73" spans="1:15" ht="30" customHeight="1" x14ac:dyDescent="0.3">
      <c r="A73" s="141" t="s">
        <v>197</v>
      </c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</row>
    <row r="74" spans="1:15" ht="30" customHeight="1" x14ac:dyDescent="0.3">
      <c r="A74" s="141" t="s">
        <v>198</v>
      </c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</row>
    <row r="77" spans="1:15" ht="30" customHeight="1" x14ac:dyDescent="0.3">
      <c r="A77" s="141" t="s">
        <v>199</v>
      </c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</row>
    <row r="78" spans="1:15" ht="30" customHeight="1" x14ac:dyDescent="0.3">
      <c r="A78" s="141" t="s">
        <v>200</v>
      </c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</row>
    <row r="79" spans="1:15" ht="30" customHeight="1" x14ac:dyDescent="0.3">
      <c r="A79" s="141" t="s">
        <v>201</v>
      </c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</row>
    <row r="80" spans="1:15" ht="30" customHeight="1" x14ac:dyDescent="0.3">
      <c r="A80" s="141" t="s">
        <v>202</v>
      </c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</row>
    <row r="81" spans="1:15" ht="30" customHeight="1" x14ac:dyDescent="0.3">
      <c r="A81" s="141" t="s">
        <v>203</v>
      </c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</row>
    <row r="84" spans="1:15" ht="30" customHeight="1" x14ac:dyDescent="0.3">
      <c r="A84" s="141" t="s">
        <v>204</v>
      </c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</row>
    <row r="85" spans="1:15" ht="30" customHeight="1" x14ac:dyDescent="0.3">
      <c r="A85" s="141" t="s">
        <v>205</v>
      </c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</row>
    <row r="86" spans="1:15" ht="30" customHeight="1" x14ac:dyDescent="0.3">
      <c r="A86" s="141" t="s">
        <v>206</v>
      </c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</row>
    <row r="87" spans="1:15" ht="30" customHeight="1" x14ac:dyDescent="0.3">
      <c r="A87" s="141" t="s">
        <v>207</v>
      </c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</row>
  </sheetData>
  <mergeCells count="19">
    <mergeCell ref="A78:O78"/>
    <mergeCell ref="A1:O1"/>
    <mergeCell ref="A2:O2"/>
    <mergeCell ref="A4:O4"/>
    <mergeCell ref="A23:O23"/>
    <mergeCell ref="A31:O31"/>
    <mergeCell ref="A38:O38"/>
    <mergeCell ref="A61:O61"/>
    <mergeCell ref="A72:O72"/>
    <mergeCell ref="A73:O73"/>
    <mergeCell ref="A74:O74"/>
    <mergeCell ref="A77:O77"/>
    <mergeCell ref="A87:O87"/>
    <mergeCell ref="A79:O79"/>
    <mergeCell ref="A80:O80"/>
    <mergeCell ref="A81:O81"/>
    <mergeCell ref="A84:O84"/>
    <mergeCell ref="A85:O85"/>
    <mergeCell ref="A86:O8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9A227"/>
  </sheetPr>
  <dimension ref="A1:L72"/>
  <sheetViews>
    <sheetView showGridLines="0" zoomScaleNormal="100" workbookViewId="0">
      <selection activeCell="C44" sqref="C44"/>
    </sheetView>
  </sheetViews>
  <sheetFormatPr defaultColWidth="8.6640625" defaultRowHeight="14.4" x14ac:dyDescent="0.3"/>
  <cols>
    <col min="1" max="1" width="36" customWidth="1"/>
    <col min="2" max="2" width="16" customWidth="1"/>
    <col min="3" max="3" width="23.6640625" bestFit="1" customWidth="1"/>
    <col min="4" max="4" width="12" customWidth="1"/>
    <col min="5" max="5" width="15" customWidth="1"/>
    <col min="6" max="6" width="14" customWidth="1"/>
    <col min="7" max="7" width="11" customWidth="1"/>
    <col min="8" max="8" width="12" customWidth="1"/>
    <col min="9" max="9" width="14" customWidth="1"/>
    <col min="10" max="10" width="16" customWidth="1"/>
    <col min="11" max="11" width="14" customWidth="1"/>
    <col min="12" max="12" width="16" customWidth="1"/>
  </cols>
  <sheetData>
    <row r="1" spans="1:8" ht="30" customHeight="1" x14ac:dyDescent="0.3">
      <c r="A1" s="142" t="s">
        <v>208</v>
      </c>
      <c r="B1" s="142"/>
      <c r="C1" s="142"/>
      <c r="D1" s="142"/>
      <c r="E1" s="142"/>
      <c r="F1" s="142"/>
      <c r="G1" s="142"/>
      <c r="H1" s="142"/>
    </row>
    <row r="2" spans="1:8" ht="19.5" customHeight="1" x14ac:dyDescent="0.3">
      <c r="A2" s="143" t="s">
        <v>209</v>
      </c>
      <c r="B2" s="143"/>
      <c r="C2" s="143"/>
      <c r="D2" s="143"/>
      <c r="E2" s="143"/>
      <c r="F2" s="143"/>
      <c r="G2" s="143"/>
      <c r="H2" s="143"/>
    </row>
    <row r="3" spans="1:8" ht="6" customHeight="1" x14ac:dyDescent="0.3"/>
    <row r="4" spans="1:8" ht="19.5" customHeight="1" x14ac:dyDescent="0.3">
      <c r="A4" s="144" t="s">
        <v>210</v>
      </c>
      <c r="B4" s="144"/>
      <c r="C4" s="144"/>
      <c r="D4" s="144"/>
      <c r="E4" s="144"/>
      <c r="F4" s="144"/>
      <c r="G4" s="144"/>
      <c r="H4" s="144"/>
    </row>
    <row r="5" spans="1:8" ht="15" customHeight="1" x14ac:dyDescent="0.3">
      <c r="A5" s="110" t="s">
        <v>211</v>
      </c>
      <c r="B5" s="67">
        <v>5000000</v>
      </c>
      <c r="C5" s="5" t="s">
        <v>212</v>
      </c>
    </row>
    <row r="6" spans="1:8" ht="15" customHeight="1" x14ac:dyDescent="0.3">
      <c r="A6" s="110" t="s">
        <v>213</v>
      </c>
      <c r="B6" s="73">
        <v>2</v>
      </c>
      <c r="C6" s="5" t="s">
        <v>214</v>
      </c>
    </row>
    <row r="7" spans="1:8" ht="15" customHeight="1" x14ac:dyDescent="0.3">
      <c r="A7" s="110" t="s">
        <v>215</v>
      </c>
      <c r="B7" s="6">
        <v>0.5</v>
      </c>
      <c r="C7" s="5" t="s">
        <v>216</v>
      </c>
    </row>
    <row r="8" spans="1:8" ht="15" customHeight="1" x14ac:dyDescent="0.3">
      <c r="A8" s="146" t="s">
        <v>217</v>
      </c>
      <c r="B8" s="146"/>
      <c r="C8" s="146"/>
      <c r="D8" s="146"/>
      <c r="E8" s="146"/>
      <c r="F8" s="146"/>
      <c r="G8" s="146"/>
      <c r="H8" s="146"/>
    </row>
    <row r="9" spans="1:8" ht="15" customHeight="1" x14ac:dyDescent="0.3">
      <c r="A9" s="110" t="s">
        <v>218</v>
      </c>
      <c r="B9" s="4">
        <v>2.5000000000000001E-3</v>
      </c>
      <c r="C9" s="5" t="s">
        <v>219</v>
      </c>
    </row>
    <row r="10" spans="1:8" ht="15" customHeight="1" x14ac:dyDescent="0.3">
      <c r="A10" s="110" t="s">
        <v>220</v>
      </c>
      <c r="B10" s="4">
        <v>8.0000000000000002E-3</v>
      </c>
      <c r="C10" s="5" t="s">
        <v>221</v>
      </c>
    </row>
    <row r="11" spans="1:8" ht="15" customHeight="1" x14ac:dyDescent="0.3">
      <c r="A11" s="110" t="s">
        <v>222</v>
      </c>
      <c r="B11" s="4">
        <v>6.0000000000000001E-3</v>
      </c>
      <c r="C11" s="5" t="s">
        <v>223</v>
      </c>
    </row>
    <row r="12" spans="1:8" ht="15" customHeight="1" x14ac:dyDescent="0.3">
      <c r="A12" s="146" t="s">
        <v>224</v>
      </c>
      <c r="B12" s="146"/>
      <c r="C12" s="146"/>
      <c r="D12" s="146"/>
      <c r="E12" s="146"/>
      <c r="F12" s="146"/>
      <c r="G12" s="146"/>
      <c r="H12" s="146"/>
    </row>
    <row r="13" spans="1:8" ht="15" customHeight="1" x14ac:dyDescent="0.3">
      <c r="A13" s="110" t="s">
        <v>225</v>
      </c>
      <c r="B13" s="4">
        <v>5.0000000000000001E-4</v>
      </c>
      <c r="C13" s="5" t="s">
        <v>226</v>
      </c>
    </row>
    <row r="14" spans="1:8" ht="15" customHeight="1" x14ac:dyDescent="0.3">
      <c r="A14" s="110" t="s">
        <v>227</v>
      </c>
      <c r="B14" s="4">
        <v>4.0000000000000001E-3</v>
      </c>
      <c r="C14" s="5" t="s">
        <v>228</v>
      </c>
    </row>
    <row r="15" spans="1:8" ht="15" customHeight="1" x14ac:dyDescent="0.3">
      <c r="A15" s="110" t="s">
        <v>229</v>
      </c>
      <c r="B15" s="111">
        <v>1000</v>
      </c>
      <c r="C15" s="5" t="s">
        <v>230</v>
      </c>
    </row>
    <row r="16" spans="1:8" ht="15" customHeight="1" x14ac:dyDescent="0.3">
      <c r="A16" s="110" t="s">
        <v>231</v>
      </c>
      <c r="B16" s="75">
        <v>2</v>
      </c>
      <c r="C16" s="5" t="s">
        <v>232</v>
      </c>
    </row>
    <row r="17" spans="1:8" ht="15" customHeight="1" x14ac:dyDescent="0.3">
      <c r="A17" s="146" t="s">
        <v>233</v>
      </c>
      <c r="B17" s="146"/>
      <c r="C17" s="146"/>
      <c r="D17" s="146"/>
      <c r="E17" s="146"/>
      <c r="F17" s="146"/>
      <c r="G17" s="146"/>
      <c r="H17" s="146"/>
    </row>
    <row r="18" spans="1:8" ht="15" customHeight="1" x14ac:dyDescent="0.3">
      <c r="A18" s="110" t="s">
        <v>234</v>
      </c>
      <c r="B18" s="67">
        <v>1000000</v>
      </c>
      <c r="C18" s="5" t="s">
        <v>235</v>
      </c>
    </row>
    <row r="19" spans="1:8" ht="15" customHeight="1" x14ac:dyDescent="0.3">
      <c r="A19" s="110" t="s">
        <v>236</v>
      </c>
      <c r="B19" s="6">
        <v>0.2</v>
      </c>
      <c r="C19" s="5" t="s">
        <v>237</v>
      </c>
    </row>
    <row r="20" spans="1:8" ht="15" customHeight="1" x14ac:dyDescent="0.3">
      <c r="A20" s="146" t="s">
        <v>238</v>
      </c>
      <c r="B20" s="146"/>
      <c r="C20" s="146"/>
      <c r="D20" s="146"/>
      <c r="E20" s="146"/>
      <c r="F20" s="146"/>
      <c r="G20" s="146"/>
      <c r="H20" s="146"/>
    </row>
    <row r="21" spans="1:8" ht="15" customHeight="1" x14ac:dyDescent="0.3">
      <c r="A21" s="110" t="s">
        <v>239</v>
      </c>
      <c r="B21" s="6">
        <v>0.3</v>
      </c>
      <c r="C21" s="5" t="s">
        <v>240</v>
      </c>
    </row>
    <row r="22" spans="1:8" ht="15" customHeight="1" x14ac:dyDescent="0.3">
      <c r="A22" s="110" t="s">
        <v>241</v>
      </c>
      <c r="B22" s="6">
        <v>0.04</v>
      </c>
      <c r="C22" s="5" t="s">
        <v>242</v>
      </c>
    </row>
    <row r="23" spans="1:8" ht="15" customHeight="1" x14ac:dyDescent="0.3">
      <c r="A23" s="110" t="s">
        <v>138</v>
      </c>
      <c r="B23" s="74">
        <v>94.98</v>
      </c>
      <c r="C23" s="5" t="s">
        <v>243</v>
      </c>
    </row>
    <row r="24" spans="1:8" ht="15" customHeight="1" x14ac:dyDescent="0.3">
      <c r="A24" t="s">
        <v>244</v>
      </c>
      <c r="B24" s="9">
        <v>20000000</v>
      </c>
      <c r="C24" s="5" t="s">
        <v>245</v>
      </c>
    </row>
    <row r="25" spans="1:8" ht="6" customHeight="1" x14ac:dyDescent="0.3"/>
    <row r="26" spans="1:8" ht="19.5" customHeight="1" x14ac:dyDescent="0.3">
      <c r="A26" s="144" t="s">
        <v>246</v>
      </c>
      <c r="B26" s="144"/>
      <c r="C26" s="144"/>
      <c r="D26" s="144"/>
      <c r="E26" s="144"/>
      <c r="F26" s="144"/>
      <c r="G26" s="144"/>
      <c r="H26" s="144"/>
    </row>
    <row r="27" spans="1:8" ht="15" customHeight="1" x14ac:dyDescent="0.3">
      <c r="A27" s="112" t="s">
        <v>247</v>
      </c>
      <c r="B27" s="112" t="s">
        <v>248</v>
      </c>
      <c r="C27" s="112" t="s">
        <v>249</v>
      </c>
      <c r="D27" s="112" t="s">
        <v>250</v>
      </c>
    </row>
    <row r="28" spans="1:8" ht="13.5" customHeight="1" x14ac:dyDescent="0.3">
      <c r="A28" s="113">
        <v>0</v>
      </c>
      <c r="B28" s="114">
        <v>0</v>
      </c>
      <c r="C28" s="115" t="s">
        <v>251</v>
      </c>
      <c r="D28" s="18">
        <f>$B$21*(1+B28)*(1+$B$22)</f>
        <v>0.312</v>
      </c>
    </row>
    <row r="29" spans="1:8" ht="13.5" customHeight="1" x14ac:dyDescent="0.3">
      <c r="A29" s="116">
        <v>5000000</v>
      </c>
      <c r="B29" s="117">
        <v>0.1</v>
      </c>
      <c r="C29" s="118" t="s">
        <v>251</v>
      </c>
      <c r="D29" s="23">
        <f>$B$21*(1+B29)*(1+$B$22)</f>
        <v>0.34320000000000001</v>
      </c>
    </row>
    <row r="30" spans="1:8" ht="13.5" customHeight="1" x14ac:dyDescent="0.3">
      <c r="A30" s="113">
        <v>10000000</v>
      </c>
      <c r="B30" s="114">
        <v>0.15</v>
      </c>
      <c r="C30" s="115" t="s">
        <v>251</v>
      </c>
      <c r="D30" s="18">
        <f>$B$21*(1+B30)*(1+$B$22)</f>
        <v>0.35880000000000001</v>
      </c>
    </row>
    <row r="31" spans="1:8" ht="13.5" customHeight="1" x14ac:dyDescent="0.3">
      <c r="A31" s="119">
        <v>20000000</v>
      </c>
      <c r="B31" s="117">
        <v>0.25</v>
      </c>
      <c r="C31" s="118" t="s">
        <v>252</v>
      </c>
      <c r="D31" s="23">
        <f>$B$21*(1+B31)*(1+$B$22)</f>
        <v>0.39</v>
      </c>
    </row>
    <row r="32" spans="1:8" ht="13.5" customHeight="1" x14ac:dyDescent="0.3">
      <c r="A32" s="113">
        <v>50000000</v>
      </c>
      <c r="B32" s="114">
        <v>0.25</v>
      </c>
      <c r="C32" s="115" t="s">
        <v>252</v>
      </c>
      <c r="D32" s="18">
        <f>$B$21*(1+B32)*(1+$B$22)</f>
        <v>0.39</v>
      </c>
    </row>
    <row r="33" spans="1:12" ht="6" customHeight="1" x14ac:dyDescent="0.3"/>
    <row r="34" spans="1:12" ht="19.5" customHeight="1" x14ac:dyDescent="0.3">
      <c r="A34" s="144" t="s">
        <v>253</v>
      </c>
      <c r="B34" s="144"/>
      <c r="C34" s="144"/>
      <c r="D34" s="144"/>
      <c r="E34" s="144"/>
      <c r="F34" s="144"/>
      <c r="G34" s="144"/>
      <c r="H34" s="144"/>
    </row>
    <row r="35" spans="1:12" ht="25.5" customHeight="1" x14ac:dyDescent="0.3">
      <c r="A35" s="2" t="s">
        <v>254</v>
      </c>
      <c r="B35" s="2" t="s">
        <v>255</v>
      </c>
      <c r="C35" s="2" t="s">
        <v>256</v>
      </c>
      <c r="D35" s="2" t="s">
        <v>257</v>
      </c>
      <c r="E35" s="2" t="s">
        <v>258</v>
      </c>
      <c r="F35" s="2" t="s">
        <v>259</v>
      </c>
      <c r="G35" s="2" t="s">
        <v>260</v>
      </c>
    </row>
    <row r="36" spans="1:12" ht="13.5" customHeight="1" x14ac:dyDescent="0.3">
      <c r="A36" s="120">
        <v>500000</v>
      </c>
      <c r="B36" s="121">
        <f>IF(A36&gt;$B$18,(A36-$B$18)*$B$19,0)</f>
        <v>0</v>
      </c>
      <c r="C36" s="122">
        <f>IF(A36&gt;=2000000,$B$11,$B$10)</f>
        <v>8.0000000000000002E-3</v>
      </c>
      <c r="D36" s="123">
        <f>A36*(($B$9+C36)+$B$9*(1+$B$7))</f>
        <v>7125</v>
      </c>
      <c r="E36" s="120">
        <f>A36*((1+$B$7)*(1-$B$9)/(1+$B$9+C36))</f>
        <v>740351.31123206345</v>
      </c>
      <c r="F36" s="18">
        <f>(1+$B$7)*(1-$B$9)/(1+$B$9+C36)-1</f>
        <v>0.48070262246412687</v>
      </c>
      <c r="G36" s="18">
        <f>(E36-A36)/A36</f>
        <v>0.48070262246412693</v>
      </c>
    </row>
    <row r="37" spans="1:12" ht="13.5" customHeight="1" x14ac:dyDescent="0.3">
      <c r="A37" s="124">
        <v>1000000</v>
      </c>
      <c r="B37" s="125">
        <f>IF(A37&gt;$B$18,(A37-$B$18)*$B$19,0)</f>
        <v>0</v>
      </c>
      <c r="C37" s="126">
        <f>IF(A37&gt;=2000000,$B$11,$B$10)</f>
        <v>8.0000000000000002E-3</v>
      </c>
      <c r="D37" s="127">
        <f>A37*(($B$9+C37)+$B$9*(1+$B$7))</f>
        <v>14250</v>
      </c>
      <c r="E37" s="124">
        <f>A37*((1+$B$7)*(1-$B$9)/(1+$B$9+C37))</f>
        <v>1480702.6224641269</v>
      </c>
      <c r="F37" s="23">
        <f>(1+$B$7)*(1-$B$9)/(1+$B$9+C37)-1</f>
        <v>0.48070262246412687</v>
      </c>
      <c r="G37" s="23">
        <f>(E37-A37)/A37</f>
        <v>0.48070262246412693</v>
      </c>
    </row>
    <row r="38" spans="1:12" ht="13.5" customHeight="1" x14ac:dyDescent="0.3">
      <c r="A38" s="120">
        <v>2000000</v>
      </c>
      <c r="B38" s="120">
        <f>IF(A38&gt;$B$18,(A38-$B$18)*$B$19,0)</f>
        <v>200000</v>
      </c>
      <c r="C38" s="122">
        <f>IF(A38&gt;=2000000,$B$11,$B$10)</f>
        <v>6.0000000000000001E-3</v>
      </c>
      <c r="D38" s="123">
        <f>A38*(($B$9+C38)+$B$9*(1+$B$7))</f>
        <v>24500</v>
      </c>
      <c r="E38" s="120">
        <f>A38*((1+$B$7)*(1-$B$9)/(1+$B$9+C38))</f>
        <v>2967278.1358453152</v>
      </c>
      <c r="F38" s="18">
        <f>(1+$B$7)*(1-$B$9)/(1+$B$9+C38)-1</f>
        <v>0.48363906792265765</v>
      </c>
      <c r="G38" s="18">
        <f>(E38-A38)/A38</f>
        <v>0.4836390679226576</v>
      </c>
    </row>
    <row r="39" spans="1:12" ht="13.5" customHeight="1" x14ac:dyDescent="0.3">
      <c r="A39" s="124">
        <v>2500000</v>
      </c>
      <c r="B39" s="124">
        <f>IF(A39&gt;$B$18,(A39-$B$18)*$B$19,0)</f>
        <v>300000</v>
      </c>
      <c r="C39" s="126">
        <f>IF(A39&gt;=2000000,$B$11,$B$10)</f>
        <v>6.0000000000000001E-3</v>
      </c>
      <c r="D39" s="127">
        <f>A39*(($B$9+C39)+$B$9*(1+$B$7))</f>
        <v>30625</v>
      </c>
      <c r="E39" s="124">
        <f>A39*((1+$B$7)*(1-$B$9)/(1+$B$9+C39))</f>
        <v>3709097.6698066443</v>
      </c>
      <c r="F39" s="23">
        <f>(1+$B$7)*(1-$B$9)/(1+$B$9+C39)-1</f>
        <v>0.48363906792265765</v>
      </c>
      <c r="G39" s="23">
        <f>(E39-A39)/A39</f>
        <v>0.48363906792265771</v>
      </c>
    </row>
    <row r="40" spans="1:12" ht="13.5" customHeight="1" x14ac:dyDescent="0.3">
      <c r="A40" s="121">
        <v>10000000</v>
      </c>
      <c r="B40" s="120">
        <f>IF(A40&gt;$B$18,(A40-$B$18)*$B$19,0)</f>
        <v>1800000</v>
      </c>
      <c r="C40" s="122">
        <f>IF(A40&gt;=2000000,$B$11,$B$10)</f>
        <v>6.0000000000000001E-3</v>
      </c>
      <c r="D40" s="120">
        <f>A40*(($B$9+C40)+$B$9*(1+$B$7))</f>
        <v>122500</v>
      </c>
      <c r="E40" s="121">
        <f>A40*((1+$B$7)*(1-$B$9)/(1+$B$9+C40))</f>
        <v>14836390.679226577</v>
      </c>
      <c r="F40" s="18">
        <f>(1+$B$7)*(1-$B$9)/(1+$B$9+C40)-1</f>
        <v>0.48363906792265765</v>
      </c>
      <c r="G40" s="18">
        <f>(E40-A40)/A40</f>
        <v>0.48363906792265771</v>
      </c>
    </row>
    <row r="41" spans="1:12" ht="6" customHeight="1" x14ac:dyDescent="0.3"/>
    <row r="42" spans="1:12" ht="19.5" customHeight="1" x14ac:dyDescent="0.3">
      <c r="A42" s="144" t="s">
        <v>261</v>
      </c>
      <c r="B42" s="144"/>
      <c r="C42" s="144"/>
      <c r="D42" s="144"/>
      <c r="E42" s="144"/>
      <c r="F42" s="144"/>
      <c r="G42" s="144"/>
      <c r="H42" s="144"/>
    </row>
    <row r="43" spans="1:12" ht="25.5" customHeight="1" x14ac:dyDescent="0.3">
      <c r="A43" s="2" t="s">
        <v>262</v>
      </c>
      <c r="B43" s="2" t="s">
        <v>263</v>
      </c>
      <c r="C43" s="2" t="s">
        <v>264</v>
      </c>
      <c r="D43" s="2" t="s">
        <v>265</v>
      </c>
      <c r="E43" s="2" t="s">
        <v>266</v>
      </c>
      <c r="F43" s="2" t="s">
        <v>267</v>
      </c>
      <c r="G43" s="2" t="s">
        <v>248</v>
      </c>
      <c r="H43" s="2" t="s">
        <v>183</v>
      </c>
      <c r="I43" s="2" t="s">
        <v>268</v>
      </c>
      <c r="J43" s="2" t="s">
        <v>269</v>
      </c>
      <c r="K43" s="2" t="s">
        <v>270</v>
      </c>
      <c r="L43" s="2" t="s">
        <v>271</v>
      </c>
    </row>
    <row r="44" spans="1:12" ht="13.5" customHeight="1" x14ac:dyDescent="0.3">
      <c r="A44" s="128">
        <v>1</v>
      </c>
      <c r="B44" s="124">
        <f>$B$5</f>
        <v>5000000</v>
      </c>
      <c r="C44" s="129" t="str">
        <f t="shared" ref="C44:C53" si="0">IF(B44&gt;=$B$24,"IBKR_HNW_PIPE","INDMONEY_WRAPPER")</f>
        <v>INDMONEY_WRAPPER</v>
      </c>
      <c r="D44" s="126">
        <f t="shared" ref="D44:D53" si="1">IF(B44&gt;=$B$24,$B$13,$B$9)</f>
        <v>2.5000000000000001E-3</v>
      </c>
      <c r="E44" s="23">
        <f t="shared" ref="E44:E53" si="2">(1+$B$7)*(1-D44)/(1+D44+IF(B44&gt;=$B$24,$B$14,IF(B44&gt;=2000000,$B$11,$B$10)))-1</f>
        <v>0.48363906792265765</v>
      </c>
      <c r="F44" s="124">
        <f t="shared" ref="F44:F53" si="3">B44*((1+E44)^$B$6-1)</f>
        <v>6005924.4193320628</v>
      </c>
      <c r="G44" s="117">
        <f t="shared" ref="G44:G53" si="4">VLOOKUP(F44,$A$28:$B$32,2)</f>
        <v>0.1</v>
      </c>
      <c r="H44" s="23">
        <f t="shared" ref="H44:H53" si="5">$B$21*(1+G44)*(1+$B$22)</f>
        <v>0.34320000000000001</v>
      </c>
      <c r="I44" s="124">
        <f t="shared" ref="I44:I53" si="6">F44*H44</f>
        <v>2061233.260714764</v>
      </c>
      <c r="J44" s="124">
        <f t="shared" ref="J44:J53" si="7">B44+F44-I44</f>
        <v>8944691.1586172991</v>
      </c>
      <c r="K44" s="130">
        <f t="shared" ref="K44:K53" si="8">J44/$B$23</f>
        <v>94174.46997912506</v>
      </c>
      <c r="L44" s="124">
        <f>$B$5+($B$5*((1+(1+$B$7)*(1-$B$9)/(1+$B$9+IF($B$5&gt;=2000000,$B$11,$B$10))-1)^$B$6-1))-(($B$5*((1+(1+$B$7)*(1-$B$9)/(1+$B$9+IF($B$5&gt;=2000000,$B$11,$B$10))-1)^$B$6-1))*$B$21*(1+VLOOKUP($B$5*((1+(1+$B$7)*(1-$B$9)/(1+$B$9+IF($B$5&gt;=2000000,$B$11,$B$10))-1)^$B$6-1),$A$28:$B$32,2))*(1+$B$22))</f>
        <v>8944691.1586172991</v>
      </c>
    </row>
    <row r="45" spans="1:12" ht="13.5" customHeight="1" x14ac:dyDescent="0.3">
      <c r="A45" s="131">
        <v>2</v>
      </c>
      <c r="B45" s="120">
        <f t="shared" ref="B45:B53" si="9">J44</f>
        <v>8944691.1586172991</v>
      </c>
      <c r="C45" s="132" t="str">
        <f t="shared" si="0"/>
        <v>INDMONEY_WRAPPER</v>
      </c>
      <c r="D45" s="122">
        <f t="shared" si="1"/>
        <v>2.5000000000000001E-3</v>
      </c>
      <c r="E45" s="18">
        <f t="shared" si="2"/>
        <v>0.48363906792265765</v>
      </c>
      <c r="F45" s="121">
        <f t="shared" si="3"/>
        <v>10744227.810584648</v>
      </c>
      <c r="G45" s="114">
        <f t="shared" si="4"/>
        <v>0.15</v>
      </c>
      <c r="H45" s="18">
        <f t="shared" si="5"/>
        <v>0.35880000000000001</v>
      </c>
      <c r="I45" s="120">
        <f t="shared" si="6"/>
        <v>3855028.9384377715</v>
      </c>
      <c r="J45" s="121">
        <f t="shared" si="7"/>
        <v>15833890.030764174</v>
      </c>
      <c r="K45" s="133">
        <f t="shared" si="8"/>
        <v>166707.62298130314</v>
      </c>
      <c r="L45" s="121">
        <f t="shared" ref="L45:L53" si="10">L44+(L44*((1+(1+$B$7)*(1-$B$9)/(1+$B$9+IF(L44&gt;=2000000,$B$11,$B$10))-1)^$B$6-1))-((L44*((1+(1+$B$7)*(1-$B$9)/(1+$B$9+IF(L44&gt;=2000000,$B$11,$B$10))-1)^$B$6-1))*$B$21*(1+VLOOKUP(L44*((1+(1+$B$7)*(1-$B$9)/(1+$B$9+IF(L44&gt;=2000000,$B$11,$B$10))-1)^$B$6-1),$A$28:$B$32,2))*(1+$B$22))</f>
        <v>15833890.030764179</v>
      </c>
    </row>
    <row r="46" spans="1:12" ht="13.5" customHeight="1" x14ac:dyDescent="0.3">
      <c r="A46" s="128">
        <v>3</v>
      </c>
      <c r="B46" s="125">
        <f t="shared" si="9"/>
        <v>15833890.030764174</v>
      </c>
      <c r="C46" s="129" t="str">
        <f t="shared" si="0"/>
        <v>INDMONEY_WRAPPER</v>
      </c>
      <c r="D46" s="126">
        <f t="shared" si="1"/>
        <v>2.5000000000000001E-3</v>
      </c>
      <c r="E46" s="23">
        <f t="shared" si="2"/>
        <v>0.48363906792265765</v>
      </c>
      <c r="F46" s="125">
        <f t="shared" si="3"/>
        <v>19019429.35775701</v>
      </c>
      <c r="G46" s="117">
        <f t="shared" si="4"/>
        <v>0.15</v>
      </c>
      <c r="H46" s="23">
        <f t="shared" si="5"/>
        <v>0.35880000000000001</v>
      </c>
      <c r="I46" s="124">
        <f t="shared" si="6"/>
        <v>6824171.253563215</v>
      </c>
      <c r="J46" s="125">
        <f t="shared" si="7"/>
        <v>28029148.134957965</v>
      </c>
      <c r="K46" s="130">
        <f t="shared" si="8"/>
        <v>295105.79211368674</v>
      </c>
      <c r="L46" s="125">
        <f t="shared" si="10"/>
        <v>28029148.134957984</v>
      </c>
    </row>
    <row r="47" spans="1:12" ht="13.5" customHeight="1" x14ac:dyDescent="0.3">
      <c r="A47" s="131">
        <v>4</v>
      </c>
      <c r="B47" s="121">
        <f t="shared" si="9"/>
        <v>28029148.134957965</v>
      </c>
      <c r="C47" s="132" t="str">
        <f t="shared" si="0"/>
        <v>IBKR_HNW_PIPE</v>
      </c>
      <c r="D47" s="122">
        <f t="shared" si="1"/>
        <v>5.0000000000000001E-4</v>
      </c>
      <c r="E47" s="18">
        <f t="shared" si="2"/>
        <v>0.49253359880537584</v>
      </c>
      <c r="F47" s="121">
        <f t="shared" si="3"/>
        <v>34410167.118375748</v>
      </c>
      <c r="G47" s="114">
        <f t="shared" si="4"/>
        <v>0.25</v>
      </c>
      <c r="H47" s="18">
        <f t="shared" si="5"/>
        <v>0.39</v>
      </c>
      <c r="I47" s="121">
        <f t="shared" si="6"/>
        <v>13419965.176166542</v>
      </c>
      <c r="J47" s="121">
        <f t="shared" si="7"/>
        <v>49019350.077167176</v>
      </c>
      <c r="K47" s="133">
        <f t="shared" si="8"/>
        <v>516101.81172001659</v>
      </c>
      <c r="L47" s="121">
        <f t="shared" si="10"/>
        <v>48566743.453850016</v>
      </c>
    </row>
    <row r="48" spans="1:12" ht="13.5" customHeight="1" x14ac:dyDescent="0.3">
      <c r="A48" s="128">
        <v>5</v>
      </c>
      <c r="B48" s="125">
        <f t="shared" si="9"/>
        <v>49019350.077167176</v>
      </c>
      <c r="C48" s="129" t="str">
        <f t="shared" si="0"/>
        <v>IBKR_HNW_PIPE</v>
      </c>
      <c r="D48" s="126">
        <f t="shared" si="1"/>
        <v>5.0000000000000001E-4</v>
      </c>
      <c r="E48" s="23">
        <f t="shared" si="2"/>
        <v>0.49253359880537584</v>
      </c>
      <c r="F48" s="125">
        <f t="shared" si="3"/>
        <v>60178925.883436143</v>
      </c>
      <c r="G48" s="117">
        <f t="shared" si="4"/>
        <v>0.25</v>
      </c>
      <c r="H48" s="23">
        <f t="shared" si="5"/>
        <v>0.39</v>
      </c>
      <c r="I48" s="125">
        <f t="shared" si="6"/>
        <v>23469781.094540097</v>
      </c>
      <c r="J48" s="125">
        <f t="shared" si="7"/>
        <v>85728494.866063237</v>
      </c>
      <c r="K48" s="130">
        <f t="shared" si="8"/>
        <v>902595.22916470026</v>
      </c>
      <c r="L48" s="125">
        <f t="shared" si="10"/>
        <v>84152702.69203347</v>
      </c>
    </row>
    <row r="49" spans="1:12" ht="13.5" customHeight="1" x14ac:dyDescent="0.3">
      <c r="A49" s="131">
        <v>6</v>
      </c>
      <c r="B49" s="121">
        <f t="shared" si="9"/>
        <v>85728494.866063237</v>
      </c>
      <c r="C49" s="132" t="str">
        <f t="shared" si="0"/>
        <v>IBKR_HNW_PIPE</v>
      </c>
      <c r="D49" s="122">
        <f t="shared" si="1"/>
        <v>5.0000000000000001E-4</v>
      </c>
      <c r="E49" s="18">
        <f t="shared" si="2"/>
        <v>0.49253359880537584</v>
      </c>
      <c r="F49" s="121">
        <f t="shared" si="3"/>
        <v>105245147.69212331</v>
      </c>
      <c r="G49" s="114">
        <f t="shared" si="4"/>
        <v>0.25</v>
      </c>
      <c r="H49" s="18">
        <f t="shared" si="5"/>
        <v>0.39</v>
      </c>
      <c r="I49" s="121">
        <f t="shared" si="6"/>
        <v>41045607.599928088</v>
      </c>
      <c r="J49" s="121">
        <f t="shared" si="7"/>
        <v>149928034.95825845</v>
      </c>
      <c r="K49" s="133">
        <f t="shared" si="8"/>
        <v>1578522.1621210617</v>
      </c>
      <c r="L49" s="121">
        <f t="shared" si="10"/>
        <v>145813304.88224024</v>
      </c>
    </row>
    <row r="50" spans="1:12" ht="13.5" customHeight="1" x14ac:dyDescent="0.3">
      <c r="A50" s="128">
        <v>7</v>
      </c>
      <c r="B50" s="125">
        <f t="shared" si="9"/>
        <v>149928034.95825845</v>
      </c>
      <c r="C50" s="129" t="str">
        <f t="shared" si="0"/>
        <v>IBKR_HNW_PIPE</v>
      </c>
      <c r="D50" s="126">
        <f t="shared" si="1"/>
        <v>5.0000000000000001E-4</v>
      </c>
      <c r="E50" s="23">
        <f t="shared" si="2"/>
        <v>0.49253359880537584</v>
      </c>
      <c r="F50" s="125">
        <f t="shared" si="3"/>
        <v>184060133.18003723</v>
      </c>
      <c r="G50" s="117">
        <f t="shared" si="4"/>
        <v>0.25</v>
      </c>
      <c r="H50" s="23">
        <f t="shared" si="5"/>
        <v>0.39</v>
      </c>
      <c r="I50" s="125">
        <f t="shared" si="6"/>
        <v>71783451.94021453</v>
      </c>
      <c r="J50" s="125">
        <f t="shared" si="7"/>
        <v>262204716.19808114</v>
      </c>
      <c r="K50" s="130">
        <f t="shared" si="8"/>
        <v>2760630.8296281439</v>
      </c>
      <c r="L50" s="125">
        <f t="shared" si="10"/>
        <v>252654034.87384272</v>
      </c>
    </row>
    <row r="51" spans="1:12" ht="13.5" customHeight="1" x14ac:dyDescent="0.3">
      <c r="A51" s="131">
        <v>8</v>
      </c>
      <c r="B51" s="121">
        <f t="shared" si="9"/>
        <v>262204716.19808114</v>
      </c>
      <c r="C51" s="132" t="str">
        <f t="shared" si="0"/>
        <v>IBKR_HNW_PIPE</v>
      </c>
      <c r="D51" s="122">
        <f t="shared" si="1"/>
        <v>5.0000000000000001E-4</v>
      </c>
      <c r="E51" s="18">
        <f t="shared" si="2"/>
        <v>0.49253359880537584</v>
      </c>
      <c r="F51" s="121">
        <f t="shared" si="3"/>
        <v>321897335.59363443</v>
      </c>
      <c r="G51" s="114">
        <f t="shared" si="4"/>
        <v>0.25</v>
      </c>
      <c r="H51" s="18">
        <f t="shared" si="5"/>
        <v>0.39</v>
      </c>
      <c r="I51" s="121">
        <f t="shared" si="6"/>
        <v>125539960.88151743</v>
      </c>
      <c r="J51" s="121">
        <f t="shared" si="7"/>
        <v>458562090.91019821</v>
      </c>
      <c r="K51" s="133">
        <f t="shared" si="8"/>
        <v>4827985.7960644159</v>
      </c>
      <c r="L51" s="121">
        <f t="shared" si="10"/>
        <v>437779401.47221637</v>
      </c>
    </row>
    <row r="52" spans="1:12" ht="13.5" customHeight="1" x14ac:dyDescent="0.3">
      <c r="A52" s="128">
        <v>9</v>
      </c>
      <c r="B52" s="125">
        <f t="shared" si="9"/>
        <v>458562090.91019821</v>
      </c>
      <c r="C52" s="129" t="str">
        <f t="shared" si="0"/>
        <v>IBKR_HNW_PIPE</v>
      </c>
      <c r="D52" s="126">
        <f t="shared" si="1"/>
        <v>5.0000000000000001E-4</v>
      </c>
      <c r="E52" s="23">
        <f t="shared" si="2"/>
        <v>0.49253359880537584</v>
      </c>
      <c r="F52" s="125">
        <f t="shared" si="3"/>
        <v>562956751.53580248</v>
      </c>
      <c r="G52" s="117">
        <f t="shared" si="4"/>
        <v>0.25</v>
      </c>
      <c r="H52" s="23">
        <f t="shared" si="5"/>
        <v>0.39</v>
      </c>
      <c r="I52" s="125">
        <f t="shared" si="6"/>
        <v>219553133.09896296</v>
      </c>
      <c r="J52" s="125">
        <f t="shared" si="7"/>
        <v>801965709.34703779</v>
      </c>
      <c r="K52" s="130">
        <f t="shared" si="8"/>
        <v>8443521.8924724963</v>
      </c>
      <c r="L52" s="125">
        <f t="shared" si="10"/>
        <v>758550341.17728865</v>
      </c>
    </row>
    <row r="53" spans="1:12" ht="13.5" customHeight="1" x14ac:dyDescent="0.3">
      <c r="A53" s="131">
        <v>10</v>
      </c>
      <c r="B53" s="121">
        <f t="shared" si="9"/>
        <v>801965709.34703779</v>
      </c>
      <c r="C53" s="132" t="str">
        <f t="shared" si="0"/>
        <v>IBKR_HNW_PIPE</v>
      </c>
      <c r="D53" s="122">
        <f t="shared" si="1"/>
        <v>5.0000000000000001E-4</v>
      </c>
      <c r="E53" s="18">
        <f t="shared" si="2"/>
        <v>0.49253359880537584</v>
      </c>
      <c r="F53" s="121">
        <f t="shared" si="3"/>
        <v>984538450.79297519</v>
      </c>
      <c r="G53" s="114">
        <f t="shared" si="4"/>
        <v>0.25</v>
      </c>
      <c r="H53" s="18">
        <f t="shared" si="5"/>
        <v>0.39</v>
      </c>
      <c r="I53" s="121">
        <f t="shared" si="6"/>
        <v>383969995.80926031</v>
      </c>
      <c r="J53" s="134">
        <f t="shared" si="7"/>
        <v>1402534164.3307526</v>
      </c>
      <c r="K53" s="133">
        <f t="shared" si="8"/>
        <v>14766626.282699017</v>
      </c>
      <c r="L53" s="134">
        <f t="shared" si="10"/>
        <v>1314357455.296349</v>
      </c>
    </row>
    <row r="55" spans="1:12" ht="19.5" customHeight="1" x14ac:dyDescent="0.3">
      <c r="A55" s="144" t="s">
        <v>272</v>
      </c>
      <c r="B55" s="144"/>
      <c r="C55" s="144"/>
      <c r="D55" s="144"/>
      <c r="E55" s="144"/>
      <c r="F55" s="144"/>
      <c r="G55" s="144"/>
      <c r="H55" s="144"/>
    </row>
    <row r="56" spans="1:12" ht="15.75" customHeight="1" x14ac:dyDescent="0.3">
      <c r="A56" s="105" t="s">
        <v>273</v>
      </c>
      <c r="B56" s="135">
        <f>IF($B$5&gt;$B$18,($B$5-$B$18)*$B$19,0)</f>
        <v>800000</v>
      </c>
    </row>
    <row r="57" spans="1:12" ht="19.5" customHeight="1" x14ac:dyDescent="0.3">
      <c r="A57" s="102" t="s">
        <v>274</v>
      </c>
      <c r="B57" s="103">
        <f>J53/10000000</f>
        <v>140.25341643307527</v>
      </c>
    </row>
    <row r="58" spans="1:12" ht="15.75" customHeight="1" x14ac:dyDescent="0.3">
      <c r="A58" s="105" t="s">
        <v>275</v>
      </c>
      <c r="B58" s="106">
        <f>L53/10000000</f>
        <v>131.43574552963491</v>
      </c>
    </row>
    <row r="59" spans="1:12" ht="19.5" customHeight="1" x14ac:dyDescent="0.3">
      <c r="A59" s="102" t="s">
        <v>276</v>
      </c>
      <c r="B59" s="103">
        <f>(J53-L53)/10000000</f>
        <v>8.8176709034403569</v>
      </c>
    </row>
    <row r="60" spans="1:12" ht="15.75" customHeight="1" x14ac:dyDescent="0.3">
      <c r="A60" s="105" t="s">
        <v>277</v>
      </c>
      <c r="B60" s="136">
        <f>J53/$B$23</f>
        <v>14766626.282699017</v>
      </c>
    </row>
    <row r="61" spans="1:12" ht="15.75" customHeight="1" x14ac:dyDescent="0.3">
      <c r="A61" s="105" t="s">
        <v>278</v>
      </c>
      <c r="B61" s="137">
        <f>(J53/$B$5)^(1/10)-1</f>
        <v>0.75709136500683272</v>
      </c>
    </row>
    <row r="62" spans="1:12" ht="15.75" customHeight="1" x14ac:dyDescent="0.3">
      <c r="A62" s="105" t="s">
        <v>279</v>
      </c>
      <c r="B62" s="109">
        <f>IFERROR(MATCH(TRUE(),INDEX(J44:J53&gt;=$B$24,0),0),"&gt;10")</f>
        <v>3</v>
      </c>
    </row>
    <row r="63" spans="1:12" ht="15.75" customHeight="1" x14ac:dyDescent="0.3">
      <c r="A63" s="105" t="s">
        <v>280</v>
      </c>
      <c r="B63" s="109">
        <f>IFERROR(MATCH(TRUE(),INDEX(J44:J53&gt;=50000000,0),0),"&gt;10")</f>
        <v>5</v>
      </c>
    </row>
    <row r="64" spans="1:12" ht="15.75" customHeight="1" x14ac:dyDescent="0.3">
      <c r="A64" s="105" t="s">
        <v>281</v>
      </c>
      <c r="B64" s="109">
        <f>IFERROR(MATCH(TRUE(),INDEX(J44:J53&gt;=100000000,0),0),"&gt;10")</f>
        <v>6</v>
      </c>
    </row>
    <row r="66" spans="1:8" ht="27.75" customHeight="1" x14ac:dyDescent="0.3">
      <c r="A66" s="149" t="s">
        <v>282</v>
      </c>
      <c r="B66" s="149"/>
      <c r="C66" s="149"/>
      <c r="D66" s="149"/>
      <c r="E66" s="149"/>
      <c r="F66" s="149"/>
      <c r="G66" s="149"/>
      <c r="H66" s="149"/>
    </row>
    <row r="67" spans="1:8" ht="51.75" customHeight="1" x14ac:dyDescent="0.3">
      <c r="A67" s="150" t="s">
        <v>283</v>
      </c>
      <c r="B67" s="150"/>
      <c r="C67" s="150"/>
      <c r="D67" s="150"/>
      <c r="E67" s="150"/>
      <c r="F67" s="150"/>
      <c r="G67" s="150"/>
      <c r="H67" s="150"/>
    </row>
    <row r="68" spans="1:8" ht="45.75" customHeight="1" x14ac:dyDescent="0.3">
      <c r="A68" s="148" t="s">
        <v>284</v>
      </c>
      <c r="B68" s="148"/>
      <c r="C68" s="148"/>
      <c r="D68" s="148"/>
      <c r="E68" s="148"/>
      <c r="F68" s="148"/>
      <c r="G68" s="148"/>
      <c r="H68" s="148"/>
    </row>
    <row r="69" spans="1:8" ht="31.5" customHeight="1" x14ac:dyDescent="0.3">
      <c r="A69" s="147" t="s">
        <v>285</v>
      </c>
      <c r="B69" s="147"/>
      <c r="C69" s="147"/>
      <c r="D69" s="147"/>
      <c r="E69" s="147"/>
      <c r="F69" s="147"/>
      <c r="G69" s="147"/>
      <c r="H69" s="147"/>
    </row>
    <row r="70" spans="1:8" ht="31.5" customHeight="1" x14ac:dyDescent="0.3">
      <c r="A70" s="147" t="s">
        <v>286</v>
      </c>
      <c r="B70" s="147"/>
      <c r="C70" s="147"/>
      <c r="D70" s="147"/>
      <c r="E70" s="147"/>
      <c r="F70" s="147"/>
      <c r="G70" s="147"/>
      <c r="H70" s="147"/>
    </row>
    <row r="71" spans="1:8" ht="45.75" customHeight="1" x14ac:dyDescent="0.3">
      <c r="A71" s="148" t="s">
        <v>287</v>
      </c>
      <c r="B71" s="148"/>
      <c r="C71" s="148"/>
      <c r="D71" s="148"/>
      <c r="E71" s="148"/>
      <c r="F71" s="148"/>
      <c r="G71" s="148"/>
      <c r="H71" s="148"/>
    </row>
    <row r="72" spans="1:8" ht="31.5" customHeight="1" x14ac:dyDescent="0.3">
      <c r="A72" s="147" t="s">
        <v>288</v>
      </c>
      <c r="B72" s="147"/>
      <c r="C72" s="147"/>
      <c r="D72" s="147"/>
      <c r="E72" s="147"/>
      <c r="F72" s="147"/>
      <c r="G72" s="147"/>
      <c r="H72" s="147"/>
    </row>
  </sheetData>
  <mergeCells count="18">
    <mergeCell ref="A70:H70"/>
    <mergeCell ref="A71:H71"/>
    <mergeCell ref="A72:H72"/>
    <mergeCell ref="A55:H55"/>
    <mergeCell ref="A66:H66"/>
    <mergeCell ref="A67:H67"/>
    <mergeCell ref="A68:H68"/>
    <mergeCell ref="A69:H69"/>
    <mergeCell ref="A17:H17"/>
    <mergeCell ref="A20:H20"/>
    <mergeCell ref="A26:H26"/>
    <mergeCell ref="A34:H34"/>
    <mergeCell ref="A42:H42"/>
    <mergeCell ref="A1:H1"/>
    <mergeCell ref="A2:H2"/>
    <mergeCell ref="A4:H4"/>
    <mergeCell ref="A8:H8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Engine Inputs</vt:lpstr>
      <vt:lpstr>Margin-Move Link</vt:lpstr>
      <vt:lpstr>Rebuilt Scenarios</vt:lpstr>
      <vt:lpstr>Roll &amp; Cost Drag</vt:lpstr>
      <vt:lpstr>Margin Trap Risk</vt:lpstr>
      <vt:lpstr>Kelly Sizing</vt:lpstr>
      <vt:lpstr>GIFT Bridge</vt:lpstr>
      <vt:lpstr>Global Shipping Tax &amp; Exec</vt:lpstr>
      <vt:lpstr>Global Shipping Tax &amp; Exec (2)</vt:lpstr>
      <vt:lpstr>Global Shipping Tax &amp; Exec (3)</vt:lpstr>
      <vt:lpstr>US_Leveraged_ETF_Engine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Prateek Upadhyay</cp:lastModifiedBy>
  <cp:revision>0</cp:revision>
  <dcterms:created xsi:type="dcterms:W3CDTF">2026-06-12T13:15:54Z</dcterms:created>
  <dcterms:modified xsi:type="dcterms:W3CDTF">2026-10-14T15:24:27Z</dcterms:modified>
  <dc:language>en-US</dc:language>
</cp:coreProperties>
</file>