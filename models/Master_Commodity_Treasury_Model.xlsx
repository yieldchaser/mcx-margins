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active Dashboard" sheetId="1" state="visible" r:id="rId1"/>
    <sheet xmlns:r="http://schemas.openxmlformats.org/officeDocument/2006/relationships" name="50% Annual" sheetId="2" state="visible" r:id="rId2"/>
    <sheet xmlns:r="http://schemas.openxmlformats.org/officeDocument/2006/relationships" name="75% Annual" sheetId="3" state="visible" r:id="rId3"/>
    <sheet xmlns:r="http://schemas.openxmlformats.org/officeDocument/2006/relationships" name="80% Annual" sheetId="4" state="visible" r:id="rId4"/>
    <sheet xmlns:r="http://schemas.openxmlformats.org/officeDocument/2006/relationships" name="85% Annual" sheetId="5" state="visible" r:id="rId5"/>
    <sheet xmlns:r="http://schemas.openxmlformats.org/officeDocument/2006/relationships" name="100% Annual" sheetId="6" state="visible" r:id="rId6"/>
    <sheet xmlns:r="http://schemas.openxmlformats.org/officeDocument/2006/relationships" name="120% Annual" sheetId="7" state="visible" r:id="rId7"/>
    <sheet xmlns:r="http://schemas.openxmlformats.org/officeDocument/2006/relationships" name="GIFT City CME Bridge" sheetId="8" state="visible" r:id="rId8"/>
    <sheet xmlns:r="http://schemas.openxmlformats.org/officeDocument/2006/relationships" name="Clean Legal Framework" sheetId="9" state="visible" r:id="rId9"/>
    <sheet xmlns:r="http://schemas.openxmlformats.org/officeDocument/2006/relationships" name="NG Risk and Sizing" sheetId="10" state="visible" r:id="rId10"/>
    <sheet xmlns:r="http://schemas.openxmlformats.org/officeDocument/2006/relationships" name="NG Inputs" sheetId="11" state="visible" r:id="rId11"/>
    <sheet xmlns:r="http://schemas.openxmlformats.org/officeDocument/2006/relationships" name="NG Data" sheetId="12" state="visible" r:id="rId12"/>
    <sheet xmlns:r="http://schemas.openxmlformats.org/officeDocument/2006/relationships" name="Seasonality &amp; Asymmetr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₹#,##0.00 &quot;Cr&quot;"/>
    <numFmt numFmtId="165" formatCode="₹#,##0"/>
    <numFmt numFmtId="166" formatCode="0.000%"/>
    <numFmt numFmtId="167" formatCode="0.00&quot;×&quot;"/>
    <numFmt numFmtId="168" formatCode="0.0"/>
    <numFmt numFmtId="169" formatCode="0.000"/>
    <numFmt numFmtId="170" formatCode="0.0%"/>
    <numFmt numFmtId="171" formatCode="0.0000"/>
    <numFmt numFmtId="172" formatCode="\₹#\,##\,##\,##\,##0"/>
    <numFmt numFmtId="173" formatCode="\₹#\,##\,##\,##0"/>
    <numFmt numFmtId="174" formatCode="0.00\x"/>
    <numFmt numFmtId="175" formatCode="₹#,##0.00"/>
    <numFmt numFmtId="176" formatCode="0.00&quot;x&quot;"/>
  </numFmts>
  <fonts count="37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555555"/>
      <sz val="9"/>
    </font>
    <font>
      <name val="Segoe UI"/>
      <b val="1"/>
      <color rgb="001B365D"/>
      <sz val="11"/>
    </font>
    <font>
      <name val="Segoe UI"/>
      <b val="1"/>
      <color rgb="00000000"/>
      <sz val="9"/>
    </font>
    <font>
      <name val="Segoe UI"/>
      <b val="1"/>
      <color rgb="00805B00"/>
      <sz val="10"/>
    </font>
    <font>
      <name val="Segoe UI"/>
      <color rgb="00000000"/>
      <sz val="9"/>
    </font>
    <font>
      <name val="Segoe UI"/>
      <b val="1"/>
      <color rgb="00274E13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9C0006"/>
      <sz val="9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color rgb="00FFFFFF"/>
    </font>
    <font>
      <name val="Calibri"/>
      <color rgb="001A1A2E"/>
    </font>
    <font>
      <name val="Calibri"/>
      <b val="1"/>
      <color rgb="000000C0"/>
    </font>
    <font>
      <name val="Calibri"/>
      <b val="1"/>
      <color rgb="00006100"/>
    </font>
    <font>
      <name val="Calibri"/>
      <b val="1"/>
      <color rgb="001E6B3A"/>
    </font>
    <font>
      <name val="Calibri"/>
      <b val="1"/>
      <color rgb="001F4E79"/>
    </font>
    <font>
      <name val="Calibri"/>
      <b val="1"/>
      <color rgb="00C00000"/>
    </font>
    <font>
      <name val="Calibri"/>
      <charset val="1"/>
      <family val="2"/>
      <b val="1"/>
      <color rgb="FFFFFFFF"/>
      <sz val="15"/>
    </font>
    <font>
      <name val="Calibri"/>
      <charset val="1"/>
      <family val="2"/>
      <i val="1"/>
      <color rgb="FFDCE6F2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1A1A2E"/>
      <sz val="10"/>
    </font>
    <font>
      <name val="Calibri"/>
      <charset val="1"/>
      <family val="2"/>
      <b val="1"/>
      <color rgb="FF0000C0"/>
      <sz val="10"/>
    </font>
    <font>
      <name val="Calibri"/>
      <charset val="1"/>
      <family val="2"/>
      <i val="1"/>
      <color rgb="FF595959"/>
      <sz val="8"/>
    </font>
    <font>
      <name val="Calibri"/>
      <charset val="1"/>
      <family val="2"/>
      <color rgb="FF1A1A2E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A1A2E"/>
      <sz val="10"/>
    </font>
    <font>
      <name val="Calibri"/>
      <charset val="1"/>
      <family val="2"/>
      <b val="1"/>
      <color rgb="FF1F4E79"/>
      <sz val="10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2"/>
    </font>
    <font>
      <name val="Segoe UI"/>
      <color rgb="00000000"/>
      <sz val="10"/>
    </font>
    <font>
      <name val="Segoe UI"/>
      <b val="1"/>
      <color rgb="00000000"/>
      <sz val="10"/>
    </font>
    <font>
      <name val="Segoe UI"/>
      <b val="1"/>
      <color rgb="00900C3F"/>
      <sz val="10"/>
    </font>
    <font>
      <name val="Segoe UI"/>
      <b val="1"/>
      <color rgb="001E8449"/>
      <sz val="10"/>
    </font>
  </fonts>
  <fills count="2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2F4F8"/>
        <bgColor rgb="00F2F4F8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CE4D6"/>
        <bgColor rgb="00FCE4D6"/>
      </patternFill>
    </fill>
    <fill>
      <patternFill patternType="solid">
        <fgColor rgb="002E5B88"/>
        <bgColor rgb="002E5B88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C9A227"/>
      </patternFill>
    </fill>
    <fill>
      <patternFill patternType="solid">
        <fgColor rgb="00F7F7F9"/>
      </patternFill>
    </fill>
    <fill>
      <patternFill patternType="solid">
        <fgColor rgb="00FBF3D5"/>
      </patternFill>
    </fill>
    <fill>
      <patternFill patternType="solid">
        <fgColor rgb="00E2F0D9"/>
      </patternFill>
    </fill>
    <fill>
      <patternFill patternType="solid">
        <fgColor rgb="00F4F8E8"/>
      </patternFill>
    </fill>
    <fill>
      <patternFill patternType="solid">
        <fgColor rgb="00EDF3FB"/>
      </patternFill>
    </fill>
    <fill>
      <patternFill patternType="solid">
        <fgColor rgb="002F5597"/>
      </patternFill>
    </fill>
    <fill>
      <patternFill patternType="solid">
        <fgColor rgb="FF1F3864"/>
        <bgColor rgb="FF33373D"/>
      </patternFill>
    </fill>
    <fill>
      <patternFill patternType="solid">
        <fgColor rgb="FF2E4D7B"/>
        <bgColor rgb="FF1F4E79"/>
      </patternFill>
    </fill>
    <fill>
      <patternFill patternType="solid">
        <fgColor rgb="FFFBF3D5"/>
        <bgColor rgb="FFFFF2CC"/>
      </patternFill>
    </fill>
    <fill>
      <patternFill patternType="solid">
        <fgColor rgb="FFFFFFFF"/>
        <bgColor rgb="FFF4F8E8"/>
      </patternFill>
    </fill>
    <fill>
      <patternFill patternType="solid">
        <fgColor rgb="FFEAEEF4"/>
        <bgColor rgb="FFEDF3FB"/>
      </patternFill>
    </fill>
    <fill>
      <patternFill patternType="solid">
        <fgColor rgb="FFC9A227"/>
        <bgColor rgb="FF99CC00"/>
      </patternFill>
    </fill>
    <fill>
      <patternFill patternType="solid">
        <fgColor rgb="FFEDF3FB"/>
        <bgColor rgb="FFEAEEF4"/>
      </patternFill>
    </fill>
    <fill>
      <patternFill patternType="solid">
        <fgColor rgb="002C3E50"/>
        <bgColor rgb="002C3E50"/>
      </patternFill>
    </fill>
    <fill>
      <patternFill patternType="solid">
        <fgColor rgb="002980B9"/>
        <bgColor rgb="002980B9"/>
      </patternFill>
    </fill>
    <fill>
      <patternFill patternType="solid">
        <fgColor rgb="00FDEDEC"/>
        <bgColor rgb="00FDEDEC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B365D"/>
      </bottom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5" fillId="2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4" fillId="3" borderId="1" pivotButton="0" quotePrefix="0" xfId="0"/>
    <xf numFmtId="164" fontId="7" fillId="4" borderId="1" applyAlignment="1" pivotButton="0" quotePrefix="0" xfId="0">
      <alignment horizontal="right" vertical="center"/>
    </xf>
    <xf numFmtId="0" fontId="6" fillId="0" borderId="1" pivotButton="0" quotePrefix="0" xfId="0"/>
    <xf numFmtId="10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4" fontId="0" fillId="0" borderId="1" pivotButton="0" quotePrefix="0" xfId="0"/>
    <xf numFmtId="164" fontId="4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0" fontId="5" fillId="2" borderId="0" pivotButton="0" quotePrefix="0" xfId="0"/>
    <xf numFmtId="164" fontId="4" fillId="4" borderId="1" pivotButton="0" quotePrefix="0" xfId="0"/>
    <xf numFmtId="164" fontId="4" fillId="0" borderId="1" pivotButton="0" quotePrefix="0" xfId="0"/>
    <xf numFmtId="0" fontId="4" fillId="0" borderId="1" pivotButton="0" quotePrefix="0" xfId="0"/>
    <xf numFmtId="1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0" fontId="7" fillId="4" borderId="2" applyAlignment="1" pivotButton="0" quotePrefix="0" xfId="0">
      <alignment horizontal="left" vertical="center"/>
    </xf>
    <xf numFmtId="165" fontId="7" fillId="4" borderId="2" applyAlignment="1" pivotButton="0" quotePrefix="0" xfId="0">
      <alignment horizontal="right" vertical="center"/>
    </xf>
    <xf numFmtId="0" fontId="11" fillId="9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13" fillId="10" borderId="0" applyAlignment="1" pivotButton="0" quotePrefix="0" xfId="0">
      <alignment vertical="center"/>
    </xf>
    <xf numFmtId="0" fontId="14" fillId="11" borderId="3" pivotButton="0" quotePrefix="0" xfId="0"/>
    <xf numFmtId="10" fontId="15" fillId="12" borderId="3" pivotButton="0" quotePrefix="0" xfId="0"/>
    <xf numFmtId="0" fontId="12" fillId="0" borderId="0" pivotButton="0" quotePrefix="0" xfId="0"/>
    <xf numFmtId="2" fontId="15" fillId="12" borderId="3" pivotButton="0" quotePrefix="0" xfId="0"/>
    <xf numFmtId="166" fontId="16" fillId="13" borderId="3" pivotButton="0" quotePrefix="0" xfId="0"/>
    <xf numFmtId="10" fontId="16" fillId="13" borderId="3" pivotButton="0" quotePrefix="0" xfId="0"/>
    <xf numFmtId="10" fontId="17" fillId="14" borderId="3" pivotButton="0" quotePrefix="0" xfId="0"/>
    <xf numFmtId="167" fontId="17" fillId="14" borderId="3" pivotButton="0" quotePrefix="0" xfId="0"/>
    <xf numFmtId="1" fontId="15" fillId="12" borderId="3" pivotButton="0" quotePrefix="0" xfId="0"/>
    <xf numFmtId="168" fontId="15" fillId="12" borderId="3" pivotButton="0" quotePrefix="0" xfId="0"/>
    <xf numFmtId="10" fontId="18" fillId="15" borderId="3" pivotButton="0" quotePrefix="0" xfId="0"/>
    <xf numFmtId="166" fontId="17" fillId="14" borderId="3" pivotButton="0" quotePrefix="0" xfId="0"/>
    <xf numFmtId="9" fontId="15" fillId="12" borderId="3" pivotButton="0" quotePrefix="0" xfId="0"/>
    <xf numFmtId="169" fontId="17" fillId="14" borderId="3" pivotButton="0" quotePrefix="0" xfId="0"/>
    <xf numFmtId="170" fontId="17" fillId="14" borderId="3" pivotButton="0" quotePrefix="0" xfId="0"/>
    <xf numFmtId="171" fontId="17" fillId="14" borderId="3" pivotButton="0" quotePrefix="0" xfId="0"/>
    <xf numFmtId="0" fontId="19" fillId="0" borderId="3" pivotButton="0" quotePrefix="0" xfId="0"/>
    <xf numFmtId="0" fontId="13" fillId="9" borderId="0" applyAlignment="1" pivotButton="0" quotePrefix="0" xfId="0">
      <alignment vertical="center"/>
    </xf>
    <xf numFmtId="0" fontId="13" fillId="16" borderId="3" applyAlignment="1" pivotButton="0" quotePrefix="0" xfId="0">
      <alignment horizontal="center" vertical="center" wrapText="1"/>
    </xf>
    <xf numFmtId="9" fontId="13" fillId="16" borderId="3" applyAlignment="1" pivotButton="0" quotePrefix="0" xfId="0">
      <alignment horizontal="center" vertical="center" wrapText="1"/>
    </xf>
    <xf numFmtId="2" fontId="14" fillId="0" borderId="3" pivotButton="0" quotePrefix="0" xfId="0"/>
    <xf numFmtId="0" fontId="20" fillId="17" borderId="0" applyAlignment="1" pivotButton="0" quotePrefix="0" xfId="0">
      <alignment vertical="center" indent="1"/>
    </xf>
    <xf numFmtId="0" fontId="21" fillId="18" borderId="0" applyAlignment="1" pivotButton="0" quotePrefix="0" xfId="0">
      <alignment vertical="center" indent="1"/>
    </xf>
    <xf numFmtId="0" fontId="22" fillId="17" borderId="4" applyAlignment="1" pivotButton="0" quotePrefix="0" xfId="0">
      <alignment horizontal="center" vertical="center" wrapText="1"/>
    </xf>
    <xf numFmtId="0" fontId="23" fillId="0" borderId="0" pivotButton="0" quotePrefix="0" xfId="0"/>
    <xf numFmtId="166" fontId="24" fillId="19" borderId="4" applyAlignment="1" pivotButton="0" quotePrefix="0" xfId="0">
      <alignment horizontal="right" indent="1"/>
    </xf>
    <xf numFmtId="0" fontId="25" fillId="0" borderId="0" pivotButton="0" quotePrefix="0" xfId="0"/>
    <xf numFmtId="10" fontId="24" fillId="19" borderId="4" applyAlignment="1" pivotButton="0" quotePrefix="0" xfId="0">
      <alignment horizontal="right" indent="1"/>
    </xf>
    <xf numFmtId="172" fontId="24" fillId="19" borderId="4" applyAlignment="1" pivotButton="0" quotePrefix="0" xfId="0">
      <alignment horizontal="right" indent="1"/>
    </xf>
    <xf numFmtId="170" fontId="24" fillId="19" borderId="4" applyAlignment="1" pivotButton="0" quotePrefix="0" xfId="0">
      <alignment horizontal="right" indent="1"/>
    </xf>
    <xf numFmtId="173" fontId="24" fillId="19" borderId="4" applyAlignment="1" pivotButton="0" quotePrefix="0" xfId="0">
      <alignment horizontal="right" indent="1"/>
    </xf>
    <xf numFmtId="0" fontId="13" fillId="10" borderId="0" pivotButton="0" quotePrefix="0" xfId="0"/>
    <xf numFmtId="9" fontId="18" fillId="15" borderId="3" pivotButton="0" quotePrefix="0" xfId="0"/>
    <xf numFmtId="0" fontId="26" fillId="20" borderId="4" applyAlignment="1" pivotButton="0" quotePrefix="0" xfId="0">
      <alignment vertical="center" indent="1"/>
    </xf>
    <xf numFmtId="10" fontId="26" fillId="20" borderId="4" applyAlignment="1" pivotButton="0" quotePrefix="0" xfId="0">
      <alignment horizontal="right" vertical="center" indent="1"/>
    </xf>
    <xf numFmtId="174" fontId="26" fillId="20" borderId="4" applyAlignment="1" pivotButton="0" quotePrefix="0" xfId="0">
      <alignment horizontal="right" vertical="center" indent="1"/>
    </xf>
    <xf numFmtId="0" fontId="26" fillId="21" borderId="4" applyAlignment="1" pivotButton="0" quotePrefix="0" xfId="0">
      <alignment vertical="center" indent="1"/>
    </xf>
    <xf numFmtId="10" fontId="26" fillId="21" borderId="4" applyAlignment="1" pivotButton="0" quotePrefix="0" xfId="0">
      <alignment horizontal="right" vertical="center" indent="1"/>
    </xf>
    <xf numFmtId="174" fontId="26" fillId="21" borderId="4" applyAlignment="1" pivotButton="0" quotePrefix="0" xfId="0">
      <alignment horizontal="right" vertical="center" indent="1"/>
    </xf>
    <xf numFmtId="0" fontId="27" fillId="22" borderId="0" applyAlignment="1" pivotButton="0" quotePrefix="0" xfId="0">
      <alignment vertical="center" indent="1"/>
    </xf>
    <xf numFmtId="0" fontId="26" fillId="20" borderId="4" applyAlignment="1" pivotButton="0" quotePrefix="0" xfId="0">
      <alignment horizontal="center" indent="1"/>
    </xf>
    <xf numFmtId="0" fontId="26" fillId="20" borderId="4" applyAlignment="1" pivotButton="0" quotePrefix="0" xfId="0">
      <alignment horizontal="right" indent="1"/>
    </xf>
    <xf numFmtId="10" fontId="26" fillId="20" borderId="4" applyAlignment="1" pivotButton="0" quotePrefix="0" xfId="0">
      <alignment horizontal="right" indent="1"/>
    </xf>
    <xf numFmtId="174" fontId="26" fillId="20" borderId="4" applyAlignment="1" pivotButton="0" quotePrefix="0" xfId="0">
      <alignment horizontal="right" indent="1"/>
    </xf>
    <xf numFmtId="170" fontId="26" fillId="20" borderId="4" applyAlignment="1" pivotButton="0" quotePrefix="0" xfId="0">
      <alignment horizontal="right" indent="1"/>
    </xf>
    <xf numFmtId="0" fontId="26" fillId="21" borderId="4" applyAlignment="1" pivotButton="0" quotePrefix="0" xfId="0">
      <alignment horizontal="center" indent="1"/>
    </xf>
    <xf numFmtId="0" fontId="26" fillId="21" borderId="4" applyAlignment="1" pivotButton="0" quotePrefix="0" xfId="0">
      <alignment horizontal="right" indent="1"/>
    </xf>
    <xf numFmtId="10" fontId="26" fillId="21" borderId="4" applyAlignment="1" pivotButton="0" quotePrefix="0" xfId="0">
      <alignment horizontal="right" indent="1"/>
    </xf>
    <xf numFmtId="174" fontId="26" fillId="21" borderId="4" applyAlignment="1" pivotButton="0" quotePrefix="0" xfId="0">
      <alignment horizontal="right" indent="1"/>
    </xf>
    <xf numFmtId="170" fontId="26" fillId="21" borderId="4" applyAlignment="1" pivotButton="0" quotePrefix="0" xfId="0">
      <alignment horizontal="right" indent="1"/>
    </xf>
    <xf numFmtId="0" fontId="28" fillId="22" borderId="0" applyAlignment="1" pivotButton="0" quotePrefix="0" xfId="0">
      <alignment vertical="center" indent="1"/>
    </xf>
    <xf numFmtId="2" fontId="29" fillId="23" borderId="4" applyAlignment="1" pivotButton="0" quotePrefix="0" xfId="0">
      <alignment horizontal="right" indent="1"/>
    </xf>
    <xf numFmtId="10" fontId="29" fillId="23" borderId="4" applyAlignment="1" pivotButton="0" quotePrefix="0" xfId="0">
      <alignment horizontal="right" indent="1"/>
    </xf>
    <xf numFmtId="169" fontId="29" fillId="23" borderId="4" applyAlignment="1" pivotButton="0" quotePrefix="0" xfId="0">
      <alignment horizontal="right" indent="1"/>
    </xf>
    <xf numFmtId="0" fontId="30" fillId="5" borderId="0" applyAlignment="1" pivotButton="0" quotePrefix="0" xfId="0">
      <alignment horizontal="center" vertical="center"/>
    </xf>
    <xf numFmtId="0" fontId="31" fillId="24" borderId="0" applyAlignment="1" pivotButton="0" quotePrefix="0" xfId="0">
      <alignment horizontal="center" vertical="center"/>
    </xf>
    <xf numFmtId="0" fontId="32" fillId="25" borderId="0" applyAlignment="1" pivotButton="0" quotePrefix="0" xfId="0">
      <alignment horizontal="left" vertical="center" indent="1"/>
    </xf>
    <xf numFmtId="0" fontId="8" fillId="24" borderId="5" applyAlignment="1" pivotButton="0" quotePrefix="0" xfId="0">
      <alignment horizontal="center" vertical="center" wrapText="1"/>
    </xf>
    <xf numFmtId="0" fontId="33" fillId="0" borderId="5" applyAlignment="1" pivotButton="0" quotePrefix="0" xfId="0">
      <alignment vertical="center" wrapText="1"/>
    </xf>
    <xf numFmtId="0" fontId="34" fillId="26" borderId="5" applyAlignment="1" pivotButton="0" quotePrefix="0" xfId="0">
      <alignment vertical="center" wrapText="1"/>
    </xf>
    <xf numFmtId="0" fontId="34" fillId="0" borderId="5" applyAlignment="1" pivotButton="0" quotePrefix="0" xfId="0">
      <alignment horizontal="left" vertical="center"/>
    </xf>
    <xf numFmtId="0" fontId="33" fillId="0" borderId="5" applyAlignment="1" pivotButton="0" quotePrefix="0" xfId="0">
      <alignment horizontal="center" vertical="center"/>
    </xf>
    <xf numFmtId="170" fontId="33" fillId="0" borderId="5" applyAlignment="1" pivotButton="0" quotePrefix="0" xfId="0">
      <alignment horizontal="right" vertical="center"/>
    </xf>
    <xf numFmtId="170" fontId="35" fillId="26" borderId="5" applyAlignment="1" pivotButton="0" quotePrefix="0" xfId="0">
      <alignment horizontal="right" vertical="center"/>
    </xf>
    <xf numFmtId="3" fontId="33" fillId="0" borderId="5" applyAlignment="1" pivotButton="0" quotePrefix="0" xfId="0">
      <alignment horizontal="right" vertical="center"/>
    </xf>
    <xf numFmtId="170" fontId="36" fillId="27" borderId="5" applyAlignment="1" pivotButton="0" quotePrefix="0" xfId="0">
      <alignment horizontal="right" vertical="center"/>
    </xf>
    <xf numFmtId="0" fontId="34" fillId="0" borderId="5" applyAlignment="1" pivotButton="0" quotePrefix="0" xfId="0">
      <alignment horizontal="center" vertical="center"/>
    </xf>
    <xf numFmtId="175" fontId="33" fillId="0" borderId="5" applyAlignment="1" pivotButton="0" quotePrefix="0" xfId="0">
      <alignment horizontal="right" vertical="center"/>
    </xf>
    <xf numFmtId="176" fontId="33" fillId="0" borderId="5" applyAlignment="1" pivotButton="0" quotePrefix="0" xfId="0">
      <alignment horizontal="center" vertical="center"/>
    </xf>
    <xf numFmtId="0" fontId="33" fillId="0" borderId="5" applyAlignment="1" pivotButton="0" quotePrefix="0" xfId="0">
      <alignment horizontal="left" vertical="center"/>
    </xf>
    <xf numFmtId="175" fontId="34" fillId="28" borderId="5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1"/>
  <sheetViews>
    <sheetView showGridLines="1" workbookViewId="0">
      <selection activeCell="A1" sqref="A1"/>
    </sheetView>
  </sheetViews>
  <sheetFormatPr baseColWidth="8" defaultRowHeight="15"/>
  <cols>
    <col width="143" customWidth="1" min="1" max="1"/>
    <col width="22" customWidth="1" min="2" max="2"/>
    <col width="64" customWidth="1" min="3" max="3"/>
    <col width="20" customWidth="1" min="4" max="4"/>
    <col width="46" customWidth="1" min="5" max="5"/>
    <col width="34" customWidth="1" min="6" max="6"/>
    <col width="58" customWidth="1" min="7" max="7"/>
    <col width="26" customWidth="1" min="8" max="8"/>
    <col width="33" customWidth="1" min="9" max="9"/>
    <col width="28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MASTER COMMODITY TREASURY ENGINE  ·  INTERACTIVE SCENARIO EXPLORER</t>
        </is>
      </c>
    </row>
    <row r="2">
      <c r="A2" s="2" t="inlineStr">
        <is>
          <t>Enter any return % in cell B4 (e.g. 75%, 80%, 85%, 100%, 120%) or adjust starting capital/employees. All 20-year cycles dynamically reprice.</t>
        </is>
      </c>
    </row>
    <row r="4">
      <c r="A4" s="3" t="inlineStr">
        <is>
          <t>LIVE MODEL CONTROLS</t>
        </is>
      </c>
      <c r="E4" s="3" t="inlineStr">
        <is>
          <t>EXECUTIVE SUMMARY METRICS (20-YEAR HORIZON)</t>
        </is>
      </c>
    </row>
    <row r="5">
      <c r="A5" s="4" t="inlineStr">
        <is>
          <t>Starting Capital (₹ Cr)</t>
        </is>
      </c>
      <c r="B5" s="5" t="n">
        <v>0.6</v>
      </c>
      <c r="C5" s="6" t="inlineStr">
        <is>
          <t>Level 0 opening equity pool (₹60.00 Lakhs)</t>
        </is>
      </c>
      <c r="E5" s="7" t="inlineStr">
        <is>
          <t>Capital at Year 5 (3 Staff)</t>
        </is>
      </c>
      <c r="F5" s="8">
        <f>F23</f>
        <v/>
      </c>
      <c r="G5" s="9" t="inlineStr">
        <is>
          <t>Company + 3 staff capital in Year 5</t>
        </is>
      </c>
    </row>
    <row r="6">
      <c r="A6" s="4" t="inlineStr">
        <is>
          <t>Annual Gross Return</t>
        </is>
      </c>
      <c r="B6" s="10" t="n">
        <v>0.85</v>
      </c>
      <c r="C6" s="6" t="inlineStr">
        <is>
          <t>◄ EDIT HERE: Enter 75%, 80%, 85%, 100%, 120% or any %</t>
        </is>
      </c>
      <c r="E6" s="7" t="inlineStr">
        <is>
          <t>Capital at Year 10 (3 Staff)</t>
        </is>
      </c>
      <c r="F6" s="8">
        <f>F28</f>
        <v/>
      </c>
      <c r="G6" s="9" t="inlineStr">
        <is>
          <t>Company + 3 staff capital in Year 10</t>
        </is>
      </c>
    </row>
    <row r="7">
      <c r="A7" s="4" t="inlineStr">
        <is>
          <t>Corporate Tax Rate (u/s 115BAA)</t>
        </is>
      </c>
      <c r="B7" s="10" t="n">
        <v>0.25168</v>
      </c>
      <c r="C7" s="6" t="inlineStr">
        <is>
          <t>Flat 22% base + 10% surcharge + 4% cess</t>
        </is>
      </c>
      <c r="E7" s="7" t="inlineStr">
        <is>
          <t>Capital at Year 20 (MCX Solo)</t>
        </is>
      </c>
      <c r="F7" s="8">
        <f>C38</f>
        <v/>
      </c>
      <c r="G7" s="9" t="inlineStr">
        <is>
          <t>Capital at Year 20 without salary tax shield</t>
        </is>
      </c>
    </row>
    <row r="8">
      <c r="A8" s="4" t="inlineStr">
        <is>
          <t>Number of Family Employees</t>
        </is>
      </c>
      <c r="B8" s="11" t="n">
        <v>3</v>
      </c>
      <c r="C8" s="6" t="inlineStr">
        <is>
          <t>1, 2, or 3 employees on payroll (Mother, Gran, 3rd relative)</t>
        </is>
      </c>
      <c r="E8" s="7" t="inlineStr">
        <is>
          <t>Capital at Year 20 (3 Staff on MCX)</t>
        </is>
      </c>
      <c r="F8" s="8">
        <f>F38</f>
        <v/>
      </c>
      <c r="G8" s="9" t="inlineStr">
        <is>
          <t>Capital at Year 20 with 3 family employees</t>
        </is>
      </c>
    </row>
    <row r="9">
      <c r="A9" s="4" t="inlineStr">
        <is>
          <t>Salary per Employee (₹ Cr)</t>
        </is>
      </c>
      <c r="B9" s="5" t="n">
        <v>0.1275</v>
      </c>
      <c r="C9" s="6" t="inlineStr">
        <is>
          <t>₹12.75 Lakhs gross (Zero personal tax u/s 87A)</t>
        </is>
      </c>
      <c r="E9" s="7" t="inlineStr">
        <is>
          <t>Total 20-Yr Tax Shield Benefit</t>
        </is>
      </c>
      <c r="F9" s="8">
        <f>G38</f>
        <v/>
      </c>
      <c r="G9" s="9" t="inlineStr">
        <is>
          <t>Net extra wealth created purely via 3-employee loanback</t>
        </is>
      </c>
    </row>
    <row r="10">
      <c r="A10" s="4" t="inlineStr">
        <is>
          <t>Loanback Share</t>
        </is>
      </c>
      <c r="B10" s="10" t="n">
        <v>0.9</v>
      </c>
      <c r="C10" s="6" t="inlineStr">
        <is>
          <t>90% of net salary loaned back to company u/r 2(1)(c)(viii)</t>
        </is>
      </c>
      <c r="E10" s="7" t="inlineStr">
        <is>
          <t>Cumulative Family Loan Debt</t>
        </is>
      </c>
      <c r="F10" s="8">
        <f>H38</f>
        <v/>
      </c>
      <c r="G10" s="9" t="inlineStr">
        <is>
          <t>Tax-free personal wealth accumulated in family names</t>
        </is>
      </c>
    </row>
    <row r="11">
      <c r="A11" s="4" t="inlineStr">
        <is>
          <t>Salary Cap (% of Trading Profit)</t>
        </is>
      </c>
      <c r="B11" s="10" t="n">
        <v>0.4</v>
      </c>
      <c r="C11" s="6" t="inlineStr">
        <is>
          <t>Salary deduction capped at 40% of net trading gains</t>
        </is>
      </c>
      <c r="E11" s="7" t="inlineStr">
        <is>
          <t>Level 4 GIFT City CME Potential</t>
        </is>
      </c>
      <c r="F11" s="8">
        <f>I38</f>
        <v/>
      </c>
      <c r="G11" s="9" t="inlineStr">
        <is>
          <t>Global unconstrained capital pool at 0.00% tax</t>
        </is>
      </c>
    </row>
    <row r="12">
      <c r="A12" s="4" t="inlineStr">
        <is>
          <t>Company Annual Overhead (₹ Cr)</t>
        </is>
      </c>
      <c r="B12" s="5" t="n">
        <v>0.01</v>
      </c>
      <c r="C12" s="6" t="inlineStr">
        <is>
          <t>Statutory audit, MCA filings, ROC compliance (~₹1.0L)</t>
        </is>
      </c>
    </row>
    <row r="13">
      <c r="A13" s="4" t="inlineStr">
        <is>
          <t>MCX Deployable Ceiling (₹ Cr) [SEBI Cap]</t>
        </is>
      </c>
      <c r="B13" s="5" t="n">
        <v>54.051</v>
      </c>
      <c r="C13" s="6" t="inlineStr">
        <is>
          <t>SEBI 4,800-lot cap @ ₹300 gas &amp; 3.33x leverage (Real Market Limit)</t>
        </is>
      </c>
    </row>
    <row r="14">
      <c r="A14" s="4" t="inlineStr">
        <is>
          <t>Idle Yield on Cash Reserve</t>
        </is>
      </c>
      <c r="B14" s="10" t="n">
        <v>0.065</v>
      </c>
      <c r="C14" s="6" t="inlineStr">
        <is>
          <t>Overnight repo / liquid fund yield on unallocated cash</t>
        </is>
      </c>
    </row>
    <row r="15">
      <c r="A15" s="4" t="inlineStr">
        <is>
          <t>GIFT City Activation Net Worth (₹ Cr)</t>
        </is>
      </c>
      <c r="B15" s="5" t="n">
        <v>25</v>
      </c>
      <c r="C15" s="6" t="inlineStr">
        <is>
          <t>Level 4 activation threshold (unlocks 400% RBI ODI = ₹100 Cr)</t>
        </is>
      </c>
    </row>
    <row r="16">
      <c r="A16" s="3" t="inlineStr">
        <is>
          <t>20-YEAR CYCLE PROGRESSION COMPARISON  (₹ Crores)</t>
        </is>
      </c>
    </row>
    <row r="17">
      <c r="A17" s="12" t="inlineStr">
        <is>
          <t>Year</t>
        </is>
      </c>
      <c r="B17" s="12" t="inlineStr">
        <is>
          <t>Personal (39% Slab)</t>
        </is>
      </c>
      <c r="C17" s="12" t="inlineStr">
        <is>
          <t>Company Solo (25.17%)</t>
        </is>
      </c>
      <c r="D17" s="12" t="inlineStr">
        <is>
          <t>Company + 1 Staff</t>
        </is>
      </c>
      <c r="E17" s="12" t="inlineStr">
        <is>
          <t>Company + 2 Staff</t>
        </is>
      </c>
      <c r="F17" s="12" t="inlineStr">
        <is>
          <t>Company + 3 Staff (Recommended)</t>
        </is>
      </c>
      <c r="G17" s="12" t="inlineStr">
        <is>
          <t>3 Staff Advantage vs Solo</t>
        </is>
      </c>
      <c r="H17" s="12" t="inlineStr">
        <is>
          <t>Cumulative Family Loans</t>
        </is>
      </c>
      <c r="I17" s="12" t="inlineStr">
        <is>
          <t>Level 4 GIFT City CME (0% Tax)</t>
        </is>
      </c>
      <c r="J17" s="12" t="inlineStr">
        <is>
          <t>GIFT City Edge vs MCX Cap</t>
        </is>
      </c>
    </row>
    <row r="18">
      <c r="A18" s="13" t="n">
        <v>0</v>
      </c>
      <c r="B18" s="14">
        <f>$B$5</f>
        <v/>
      </c>
      <c r="C18" s="14">
        <f>$B$5</f>
        <v/>
      </c>
      <c r="D18" s="14">
        <f>$B$5</f>
        <v/>
      </c>
      <c r="E18" s="14">
        <f>$B$5</f>
        <v/>
      </c>
      <c r="F18" s="14">
        <f>$B$5</f>
        <v/>
      </c>
      <c r="G18" s="15" t="n">
        <v>0</v>
      </c>
      <c r="H18" s="15" t="n">
        <v>0</v>
      </c>
      <c r="I18" s="15">
        <f>$B$5</f>
        <v/>
      </c>
      <c r="J18" s="15" t="n">
        <v>0</v>
      </c>
    </row>
    <row r="19">
      <c r="A19" s="13" t="n">
        <v>1</v>
      </c>
      <c r="B19" s="14">
        <f>M47</f>
        <v/>
      </c>
      <c r="C19" s="14">
        <f>M72</f>
        <v/>
      </c>
      <c r="D19" s="14">
        <f>M97</f>
        <v/>
      </c>
      <c r="E19" s="14">
        <f>M122</f>
        <v/>
      </c>
      <c r="F19" s="16">
        <f>M147</f>
        <v/>
      </c>
      <c r="G19" s="17">
        <f>F19-C19</f>
        <v/>
      </c>
      <c r="H19" s="14">
        <f>L147</f>
        <v/>
      </c>
      <c r="I19" s="18">
        <f>M172</f>
        <v/>
      </c>
      <c r="J19" s="17">
        <f>I19-F19</f>
        <v/>
      </c>
    </row>
    <row r="20">
      <c r="A20" s="13" t="n">
        <v>2</v>
      </c>
      <c r="B20" s="14">
        <f>M48</f>
        <v/>
      </c>
      <c r="C20" s="14">
        <f>M73</f>
        <v/>
      </c>
      <c r="D20" s="14">
        <f>M98</f>
        <v/>
      </c>
      <c r="E20" s="14">
        <f>M123</f>
        <v/>
      </c>
      <c r="F20" s="16">
        <f>M148</f>
        <v/>
      </c>
      <c r="G20" s="17">
        <f>F20-C20</f>
        <v/>
      </c>
      <c r="H20" s="14">
        <f>L148</f>
        <v/>
      </c>
      <c r="I20" s="18">
        <f>M173</f>
        <v/>
      </c>
      <c r="J20" s="17">
        <f>I20-F20</f>
        <v/>
      </c>
    </row>
    <row r="21">
      <c r="A21" s="13" t="n">
        <v>3</v>
      </c>
      <c r="B21" s="14">
        <f>M49</f>
        <v/>
      </c>
      <c r="C21" s="14">
        <f>M74</f>
        <v/>
      </c>
      <c r="D21" s="14">
        <f>M99</f>
        <v/>
      </c>
      <c r="E21" s="14">
        <f>M124</f>
        <v/>
      </c>
      <c r="F21" s="16">
        <f>M149</f>
        <v/>
      </c>
      <c r="G21" s="17">
        <f>F21-C21</f>
        <v/>
      </c>
      <c r="H21" s="14">
        <f>L149</f>
        <v/>
      </c>
      <c r="I21" s="18">
        <f>M174</f>
        <v/>
      </c>
      <c r="J21" s="17">
        <f>I21-F21</f>
        <v/>
      </c>
    </row>
    <row r="22">
      <c r="A22" s="13" t="n">
        <v>4</v>
      </c>
      <c r="B22" s="14">
        <f>M50</f>
        <v/>
      </c>
      <c r="C22" s="14">
        <f>M75</f>
        <v/>
      </c>
      <c r="D22" s="14">
        <f>M100</f>
        <v/>
      </c>
      <c r="E22" s="14">
        <f>M125</f>
        <v/>
      </c>
      <c r="F22" s="16">
        <f>M150</f>
        <v/>
      </c>
      <c r="G22" s="17">
        <f>F22-C22</f>
        <v/>
      </c>
      <c r="H22" s="14">
        <f>L150</f>
        <v/>
      </c>
      <c r="I22" s="18">
        <f>M175</f>
        <v/>
      </c>
      <c r="J22" s="17">
        <f>I22-F22</f>
        <v/>
      </c>
    </row>
    <row r="23">
      <c r="A23" s="13" t="n">
        <v>5</v>
      </c>
      <c r="B23" s="14">
        <f>M51</f>
        <v/>
      </c>
      <c r="C23" s="14">
        <f>M76</f>
        <v/>
      </c>
      <c r="D23" s="14">
        <f>M101</f>
        <v/>
      </c>
      <c r="E23" s="14">
        <f>M126</f>
        <v/>
      </c>
      <c r="F23" s="16">
        <f>M151</f>
        <v/>
      </c>
      <c r="G23" s="17">
        <f>F23-C23</f>
        <v/>
      </c>
      <c r="H23" s="14">
        <f>L151</f>
        <v/>
      </c>
      <c r="I23" s="18">
        <f>M176</f>
        <v/>
      </c>
      <c r="J23" s="17">
        <f>I23-F23</f>
        <v/>
      </c>
    </row>
    <row r="24">
      <c r="A24" s="13" t="n">
        <v>6</v>
      </c>
      <c r="B24" s="14">
        <f>M52</f>
        <v/>
      </c>
      <c r="C24" s="14">
        <f>M77</f>
        <v/>
      </c>
      <c r="D24" s="14">
        <f>M102</f>
        <v/>
      </c>
      <c r="E24" s="14">
        <f>M127</f>
        <v/>
      </c>
      <c r="F24" s="16">
        <f>M152</f>
        <v/>
      </c>
      <c r="G24" s="17">
        <f>F24-C24</f>
        <v/>
      </c>
      <c r="H24" s="14">
        <f>L152</f>
        <v/>
      </c>
      <c r="I24" s="18">
        <f>M177</f>
        <v/>
      </c>
      <c r="J24" s="17">
        <f>I24-F24</f>
        <v/>
      </c>
    </row>
    <row r="25">
      <c r="A25" s="13" t="n">
        <v>7</v>
      </c>
      <c r="B25" s="14">
        <f>M53</f>
        <v/>
      </c>
      <c r="C25" s="14">
        <f>M78</f>
        <v/>
      </c>
      <c r="D25" s="14">
        <f>M103</f>
        <v/>
      </c>
      <c r="E25" s="14">
        <f>M128</f>
        <v/>
      </c>
      <c r="F25" s="16">
        <f>M153</f>
        <v/>
      </c>
      <c r="G25" s="17">
        <f>F25-C25</f>
        <v/>
      </c>
      <c r="H25" s="14">
        <f>L153</f>
        <v/>
      </c>
      <c r="I25" s="18">
        <f>M178</f>
        <v/>
      </c>
      <c r="J25" s="17">
        <f>I25-F25</f>
        <v/>
      </c>
    </row>
    <row r="26">
      <c r="A26" s="13" t="n">
        <v>8</v>
      </c>
      <c r="B26" s="14">
        <f>M54</f>
        <v/>
      </c>
      <c r="C26" s="14">
        <f>M79</f>
        <v/>
      </c>
      <c r="D26" s="14">
        <f>M104</f>
        <v/>
      </c>
      <c r="E26" s="14">
        <f>M129</f>
        <v/>
      </c>
      <c r="F26" s="16">
        <f>M154</f>
        <v/>
      </c>
      <c r="G26" s="17">
        <f>F26-C26</f>
        <v/>
      </c>
      <c r="H26" s="14">
        <f>L154</f>
        <v/>
      </c>
      <c r="I26" s="18">
        <f>M179</f>
        <v/>
      </c>
      <c r="J26" s="17">
        <f>I26-F26</f>
        <v/>
      </c>
    </row>
    <row r="27">
      <c r="A27" s="13" t="n">
        <v>9</v>
      </c>
      <c r="B27" s="14">
        <f>M55</f>
        <v/>
      </c>
      <c r="C27" s="14">
        <f>M80</f>
        <v/>
      </c>
      <c r="D27" s="14">
        <f>M105</f>
        <v/>
      </c>
      <c r="E27" s="14">
        <f>M130</f>
        <v/>
      </c>
      <c r="F27" s="16">
        <f>M155</f>
        <v/>
      </c>
      <c r="G27" s="17">
        <f>F27-C27</f>
        <v/>
      </c>
      <c r="H27" s="14">
        <f>L155</f>
        <v/>
      </c>
      <c r="I27" s="18">
        <f>M180</f>
        <v/>
      </c>
      <c r="J27" s="17">
        <f>I27-F27</f>
        <v/>
      </c>
    </row>
    <row r="28">
      <c r="A28" s="13" t="n">
        <v>10</v>
      </c>
      <c r="B28" s="14">
        <f>M56</f>
        <v/>
      </c>
      <c r="C28" s="14">
        <f>M81</f>
        <v/>
      </c>
      <c r="D28" s="14">
        <f>M106</f>
        <v/>
      </c>
      <c r="E28" s="14">
        <f>M131</f>
        <v/>
      </c>
      <c r="F28" s="16">
        <f>M156</f>
        <v/>
      </c>
      <c r="G28" s="17">
        <f>F28-C28</f>
        <v/>
      </c>
      <c r="H28" s="14">
        <f>L156</f>
        <v/>
      </c>
      <c r="I28" s="18">
        <f>M181</f>
        <v/>
      </c>
      <c r="J28" s="17">
        <f>I28-F28</f>
        <v/>
      </c>
    </row>
    <row r="29">
      <c r="A29" s="13" t="n">
        <v>11</v>
      </c>
      <c r="B29" s="14">
        <f>M57</f>
        <v/>
      </c>
      <c r="C29" s="14">
        <f>M82</f>
        <v/>
      </c>
      <c r="D29" s="14">
        <f>M107</f>
        <v/>
      </c>
      <c r="E29" s="14">
        <f>M132</f>
        <v/>
      </c>
      <c r="F29" s="16">
        <f>M157</f>
        <v/>
      </c>
      <c r="G29" s="17">
        <f>F29-C29</f>
        <v/>
      </c>
      <c r="H29" s="14">
        <f>L157</f>
        <v/>
      </c>
      <c r="I29" s="18">
        <f>M182</f>
        <v/>
      </c>
      <c r="J29" s="17">
        <f>I29-F29</f>
        <v/>
      </c>
    </row>
    <row r="30">
      <c r="A30" s="13" t="n">
        <v>12</v>
      </c>
      <c r="B30" s="14">
        <f>M58</f>
        <v/>
      </c>
      <c r="C30" s="14">
        <f>M83</f>
        <v/>
      </c>
      <c r="D30" s="14">
        <f>M108</f>
        <v/>
      </c>
      <c r="E30" s="14">
        <f>M133</f>
        <v/>
      </c>
      <c r="F30" s="16">
        <f>M158</f>
        <v/>
      </c>
      <c r="G30" s="17">
        <f>F30-C30</f>
        <v/>
      </c>
      <c r="H30" s="14">
        <f>L158</f>
        <v/>
      </c>
      <c r="I30" s="18">
        <f>M183</f>
        <v/>
      </c>
      <c r="J30" s="17">
        <f>I30-F30</f>
        <v/>
      </c>
    </row>
    <row r="31">
      <c r="A31" s="13" t="n">
        <v>13</v>
      </c>
      <c r="B31" s="14">
        <f>M59</f>
        <v/>
      </c>
      <c r="C31" s="14">
        <f>M84</f>
        <v/>
      </c>
      <c r="D31" s="14">
        <f>M109</f>
        <v/>
      </c>
      <c r="E31" s="14">
        <f>M134</f>
        <v/>
      </c>
      <c r="F31" s="16">
        <f>M159</f>
        <v/>
      </c>
      <c r="G31" s="17">
        <f>F31-C31</f>
        <v/>
      </c>
      <c r="H31" s="14">
        <f>L159</f>
        <v/>
      </c>
      <c r="I31" s="18">
        <f>M184</f>
        <v/>
      </c>
      <c r="J31" s="17">
        <f>I31-F31</f>
        <v/>
      </c>
    </row>
    <row r="32">
      <c r="A32" s="13" t="n">
        <v>14</v>
      </c>
      <c r="B32" s="14">
        <f>M60</f>
        <v/>
      </c>
      <c r="C32" s="14">
        <f>M85</f>
        <v/>
      </c>
      <c r="D32" s="14">
        <f>M110</f>
        <v/>
      </c>
      <c r="E32" s="14">
        <f>M135</f>
        <v/>
      </c>
      <c r="F32" s="16">
        <f>M160</f>
        <v/>
      </c>
      <c r="G32" s="17">
        <f>F32-C32</f>
        <v/>
      </c>
      <c r="H32" s="14">
        <f>L160</f>
        <v/>
      </c>
      <c r="I32" s="18">
        <f>M185</f>
        <v/>
      </c>
      <c r="J32" s="17">
        <f>I32-F32</f>
        <v/>
      </c>
    </row>
    <row r="33">
      <c r="A33" s="13" t="n">
        <v>15</v>
      </c>
      <c r="B33" s="14">
        <f>M61</f>
        <v/>
      </c>
      <c r="C33" s="14">
        <f>M86</f>
        <v/>
      </c>
      <c r="D33" s="14">
        <f>M111</f>
        <v/>
      </c>
      <c r="E33" s="14">
        <f>M136</f>
        <v/>
      </c>
      <c r="F33" s="16">
        <f>M161</f>
        <v/>
      </c>
      <c r="G33" s="17">
        <f>F33-C33</f>
        <v/>
      </c>
      <c r="H33" s="14">
        <f>L161</f>
        <v/>
      </c>
      <c r="I33" s="18">
        <f>M186</f>
        <v/>
      </c>
      <c r="J33" s="17">
        <f>I33-F33</f>
        <v/>
      </c>
    </row>
    <row r="34">
      <c r="A34" s="13" t="n">
        <v>16</v>
      </c>
      <c r="B34" s="14">
        <f>M62</f>
        <v/>
      </c>
      <c r="C34" s="14">
        <f>M87</f>
        <v/>
      </c>
      <c r="D34" s="14">
        <f>M112</f>
        <v/>
      </c>
      <c r="E34" s="14">
        <f>M137</f>
        <v/>
      </c>
      <c r="F34" s="16">
        <f>M162</f>
        <v/>
      </c>
      <c r="G34" s="17">
        <f>F34-C34</f>
        <v/>
      </c>
      <c r="H34" s="14">
        <f>L162</f>
        <v/>
      </c>
      <c r="I34" s="18">
        <f>M187</f>
        <v/>
      </c>
      <c r="J34" s="17">
        <f>I34-F34</f>
        <v/>
      </c>
    </row>
    <row r="35">
      <c r="A35" s="13" t="n">
        <v>17</v>
      </c>
      <c r="B35" s="14">
        <f>M63</f>
        <v/>
      </c>
      <c r="C35" s="14">
        <f>M88</f>
        <v/>
      </c>
      <c r="D35" s="14">
        <f>M113</f>
        <v/>
      </c>
      <c r="E35" s="14">
        <f>M138</f>
        <v/>
      </c>
      <c r="F35" s="16">
        <f>M163</f>
        <v/>
      </c>
      <c r="G35" s="17">
        <f>F35-C35</f>
        <v/>
      </c>
      <c r="H35" s="14">
        <f>L163</f>
        <v/>
      </c>
      <c r="I35" s="18">
        <f>M188</f>
        <v/>
      </c>
      <c r="J35" s="17">
        <f>I35-F35</f>
        <v/>
      </c>
    </row>
    <row r="36">
      <c r="A36" s="13" t="n">
        <v>18</v>
      </c>
      <c r="B36" s="14">
        <f>M64</f>
        <v/>
      </c>
      <c r="C36" s="14">
        <f>M89</f>
        <v/>
      </c>
      <c r="D36" s="14">
        <f>M114</f>
        <v/>
      </c>
      <c r="E36" s="14">
        <f>M139</f>
        <v/>
      </c>
      <c r="F36" s="16">
        <f>M164</f>
        <v/>
      </c>
      <c r="G36" s="17">
        <f>F36-C36</f>
        <v/>
      </c>
      <c r="H36" s="14">
        <f>L164</f>
        <v/>
      </c>
      <c r="I36" s="18">
        <f>M189</f>
        <v/>
      </c>
      <c r="J36" s="17">
        <f>I36-F36</f>
        <v/>
      </c>
    </row>
    <row r="37">
      <c r="A37" s="13" t="n">
        <v>19</v>
      </c>
      <c r="B37" s="14">
        <f>M65</f>
        <v/>
      </c>
      <c r="C37" s="14">
        <f>M90</f>
        <v/>
      </c>
      <c r="D37" s="14">
        <f>M115</f>
        <v/>
      </c>
      <c r="E37" s="14">
        <f>M140</f>
        <v/>
      </c>
      <c r="F37" s="16">
        <f>M165</f>
        <v/>
      </c>
      <c r="G37" s="17">
        <f>F37-C37</f>
        <v/>
      </c>
      <c r="H37" s="14">
        <f>L165</f>
        <v/>
      </c>
      <c r="I37" s="18">
        <f>M190</f>
        <v/>
      </c>
      <c r="J37" s="17">
        <f>I37-F37</f>
        <v/>
      </c>
    </row>
    <row r="38">
      <c r="A38" s="13" t="n">
        <v>20</v>
      </c>
      <c r="B38" s="14">
        <f>M66</f>
        <v/>
      </c>
      <c r="C38" s="14">
        <f>M91</f>
        <v/>
      </c>
      <c r="D38" s="14">
        <f>M116</f>
        <v/>
      </c>
      <c r="E38" s="14">
        <f>M141</f>
        <v/>
      </c>
      <c r="F38" s="16">
        <f>M166</f>
        <v/>
      </c>
      <c r="G38" s="17">
        <f>F38-C38</f>
        <v/>
      </c>
      <c r="H38" s="14">
        <f>L166</f>
        <v/>
      </c>
      <c r="I38" s="18">
        <f>M191</f>
        <v/>
      </c>
      <c r="J38" s="17">
        <f>I38-F38</f>
        <v/>
      </c>
    </row>
    <row r="44">
      <c r="A44" s="3" t="inlineStr">
        <is>
          <t>CALCULATION ENGINE 1: PERSONAL ROUTE (SLAB TAXES)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CALCULATION ENGINE 2: COMPANY SOLO (25.168% FLAT TAX)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CALCULATION ENGINE 3: COMPANY + 1 EMPLOYEE (MOTHER)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CALCULATION ENGINE 4: COMPANY + 2 EMPLOYEES (MOTHER + GRANDMOTHER)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CALCULATION ENGINE 5: COMPANY + 3 EMPLOYEES (MOTHER + GRAN + 3RD RELATIVE)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  <row r="169">
      <c r="A169" s="3" t="inlineStr">
        <is>
          <t>CALCULATION ENGINE 6: LEVEL 4 GIFT CITY CME HYBRID (0% TAX U/S 80LA)</t>
        </is>
      </c>
    </row>
    <row r="170">
      <c r="A170" s="19" t="inlineStr">
        <is>
          <t>Year</t>
        </is>
      </c>
      <c r="B170" s="19" t="inlineStr">
        <is>
          <t>Opening</t>
        </is>
      </c>
      <c r="C170" s="19" t="inlineStr">
        <is>
          <t>Deployed</t>
        </is>
      </c>
      <c r="D170" s="19" t="inlineStr">
        <is>
          <t>Idle</t>
        </is>
      </c>
      <c r="E170" s="19" t="inlineStr">
        <is>
          <t>Profit</t>
        </is>
      </c>
      <c r="F170" s="19" t="inlineStr">
        <is>
          <t>Overhead</t>
        </is>
      </c>
      <c r="G170" s="19" t="inlineStr">
        <is>
          <t>Salary Paid</t>
        </is>
      </c>
      <c r="H170" s="19" t="inlineStr">
        <is>
          <t>Taxable Profit</t>
        </is>
      </c>
      <c r="I170" s="19" t="inlineStr">
        <is>
          <t>Income Tax</t>
        </is>
      </c>
      <c r="J170" s="19" t="inlineStr">
        <is>
          <t>Not Lent Back</t>
        </is>
      </c>
      <c r="K170" s="19" t="inlineStr">
        <is>
          <t>New Loan</t>
        </is>
      </c>
      <c r="L170" s="19" t="inlineStr">
        <is>
          <t>Loans Outstanding</t>
        </is>
      </c>
      <c r="M170" s="19" t="inlineStr">
        <is>
          <t>Closing Capital</t>
        </is>
      </c>
      <c r="N170" s="19" t="inlineStr">
        <is>
          <t>Net Equity (Closing - Loans)</t>
        </is>
      </c>
    </row>
    <row r="171">
      <c r="A171" s="20" t="n">
        <v>0</v>
      </c>
      <c r="B171" s="15">
        <f>$B$5</f>
        <v/>
      </c>
      <c r="C171" s="21" t="n">
        <v>0</v>
      </c>
      <c r="D171" s="21" t="n">
        <v>0</v>
      </c>
      <c r="E171" s="21" t="n">
        <v>0</v>
      </c>
      <c r="F171" s="21" t="n">
        <v>0</v>
      </c>
      <c r="G171" s="21" t="n">
        <v>0</v>
      </c>
      <c r="H171" s="21" t="n">
        <v>0</v>
      </c>
      <c r="I171" s="21" t="n">
        <v>0</v>
      </c>
      <c r="J171" s="21" t="n">
        <v>0</v>
      </c>
      <c r="K171" s="21" t="n">
        <v>0</v>
      </c>
      <c r="L171" s="21" t="n">
        <v>0</v>
      </c>
      <c r="M171" s="15">
        <f>$B$5</f>
        <v/>
      </c>
      <c r="N171" s="15">
        <f>$B$5</f>
        <v/>
      </c>
    </row>
    <row r="172">
      <c r="A172" s="20" t="n">
        <v>1</v>
      </c>
      <c r="B172" s="15">
        <f>M171</f>
        <v/>
      </c>
      <c r="C172" s="15">
        <f>MIN(B172, 4000)</f>
        <v/>
      </c>
      <c r="D172" s="15">
        <f>MAX(B172-C172, 0)</f>
        <v/>
      </c>
      <c r="E172" s="15">
        <f>C172*$B$6 + D172*$B$14</f>
        <v/>
      </c>
      <c r="F172" s="15" t="n">
        <v>0.35</v>
      </c>
      <c r="G172" s="21" t="n">
        <v>0</v>
      </c>
      <c r="H172" s="15">
        <f>MAX(E172-F172, 0)</f>
        <v/>
      </c>
      <c r="I172" s="15">
        <f>IF(A172&lt;=10, 0, H172*$B$7)</f>
        <v/>
      </c>
      <c r="J172" s="21" t="n">
        <v>0</v>
      </c>
      <c r="K172" s="21" t="n">
        <v>0</v>
      </c>
      <c r="L172" s="21" t="n">
        <v>0</v>
      </c>
      <c r="M172" s="15">
        <f>B172+E172-F172-I172</f>
        <v/>
      </c>
      <c r="N172" s="15">
        <f>M172</f>
        <v/>
      </c>
    </row>
    <row r="173">
      <c r="A173" s="20" t="n">
        <v>2</v>
      </c>
      <c r="B173" s="15">
        <f>M172</f>
        <v/>
      </c>
      <c r="C173" s="15">
        <f>MIN(B173, 4000)</f>
        <v/>
      </c>
      <c r="D173" s="15">
        <f>MAX(B173-C173, 0)</f>
        <v/>
      </c>
      <c r="E173" s="15">
        <f>C173*$B$6 + D173*$B$14</f>
        <v/>
      </c>
      <c r="F173" s="15" t="n">
        <v>0.35</v>
      </c>
      <c r="G173" s="21" t="n">
        <v>0</v>
      </c>
      <c r="H173" s="15">
        <f>MAX(E173-F173, 0)</f>
        <v/>
      </c>
      <c r="I173" s="15">
        <f>IF(A173&lt;=10, 0, H173*$B$7)</f>
        <v/>
      </c>
      <c r="J173" s="21" t="n">
        <v>0</v>
      </c>
      <c r="K173" s="21" t="n">
        <v>0</v>
      </c>
      <c r="L173" s="21" t="n">
        <v>0</v>
      </c>
      <c r="M173" s="15">
        <f>B173+E173-F173-I173</f>
        <v/>
      </c>
      <c r="N173" s="15">
        <f>M173</f>
        <v/>
      </c>
    </row>
    <row r="174">
      <c r="A174" s="20" t="n">
        <v>3</v>
      </c>
      <c r="B174" s="15">
        <f>M173</f>
        <v/>
      </c>
      <c r="C174" s="15">
        <f>MIN(B174, 4000)</f>
        <v/>
      </c>
      <c r="D174" s="15">
        <f>MAX(B174-C174, 0)</f>
        <v/>
      </c>
      <c r="E174" s="15">
        <f>C174*$B$6 + D174*$B$14</f>
        <v/>
      </c>
      <c r="F174" s="15" t="n">
        <v>0.35</v>
      </c>
      <c r="G174" s="21" t="n">
        <v>0</v>
      </c>
      <c r="H174" s="15">
        <f>MAX(E174-F174, 0)</f>
        <v/>
      </c>
      <c r="I174" s="15">
        <f>IF(A174&lt;=10, 0, H174*$B$7)</f>
        <v/>
      </c>
      <c r="J174" s="21" t="n">
        <v>0</v>
      </c>
      <c r="K174" s="21" t="n">
        <v>0</v>
      </c>
      <c r="L174" s="21" t="n">
        <v>0</v>
      </c>
      <c r="M174" s="15">
        <f>B174+E174-F174-I174</f>
        <v/>
      </c>
      <c r="N174" s="15">
        <f>M174</f>
        <v/>
      </c>
    </row>
    <row r="175">
      <c r="A175" s="20" t="n">
        <v>4</v>
      </c>
      <c r="B175" s="15">
        <f>M174</f>
        <v/>
      </c>
      <c r="C175" s="15">
        <f>MIN(B175, 4000)</f>
        <v/>
      </c>
      <c r="D175" s="15">
        <f>MAX(B175-C175, 0)</f>
        <v/>
      </c>
      <c r="E175" s="15">
        <f>C175*$B$6 + D175*$B$14</f>
        <v/>
      </c>
      <c r="F175" s="15" t="n">
        <v>0.35</v>
      </c>
      <c r="G175" s="21" t="n">
        <v>0</v>
      </c>
      <c r="H175" s="15">
        <f>MAX(E175-F175, 0)</f>
        <v/>
      </c>
      <c r="I175" s="15">
        <f>IF(A175&lt;=10, 0, H175*$B$7)</f>
        <v/>
      </c>
      <c r="J175" s="21" t="n">
        <v>0</v>
      </c>
      <c r="K175" s="21" t="n">
        <v>0</v>
      </c>
      <c r="L175" s="21" t="n">
        <v>0</v>
      </c>
      <c r="M175" s="15">
        <f>B175+E175-F175-I175</f>
        <v/>
      </c>
      <c r="N175" s="15">
        <f>M175</f>
        <v/>
      </c>
    </row>
    <row r="176">
      <c r="A176" s="20" t="n">
        <v>5</v>
      </c>
      <c r="B176" s="15">
        <f>M175</f>
        <v/>
      </c>
      <c r="C176" s="15">
        <f>MIN(B176, 4000)</f>
        <v/>
      </c>
      <c r="D176" s="15">
        <f>MAX(B176-C176, 0)</f>
        <v/>
      </c>
      <c r="E176" s="15">
        <f>C176*$B$6 + D176*$B$14</f>
        <v/>
      </c>
      <c r="F176" s="15" t="n">
        <v>0.35</v>
      </c>
      <c r="G176" s="21" t="n">
        <v>0</v>
      </c>
      <c r="H176" s="15">
        <f>MAX(E176-F176, 0)</f>
        <v/>
      </c>
      <c r="I176" s="15">
        <f>IF(A176&lt;=10, 0, H176*$B$7)</f>
        <v/>
      </c>
      <c r="J176" s="21" t="n">
        <v>0</v>
      </c>
      <c r="K176" s="21" t="n">
        <v>0</v>
      </c>
      <c r="L176" s="21" t="n">
        <v>0</v>
      </c>
      <c r="M176" s="15">
        <f>B176+E176-F176-I176</f>
        <v/>
      </c>
      <c r="N176" s="15">
        <f>M176</f>
        <v/>
      </c>
    </row>
    <row r="177">
      <c r="A177" s="20" t="n">
        <v>6</v>
      </c>
      <c r="B177" s="15">
        <f>M176</f>
        <v/>
      </c>
      <c r="C177" s="15">
        <f>MIN(B177, 4000)</f>
        <v/>
      </c>
      <c r="D177" s="15">
        <f>MAX(B177-C177, 0)</f>
        <v/>
      </c>
      <c r="E177" s="15">
        <f>C177*$B$6 + D177*$B$14</f>
        <v/>
      </c>
      <c r="F177" s="15" t="n">
        <v>0.35</v>
      </c>
      <c r="G177" s="21" t="n">
        <v>0</v>
      </c>
      <c r="H177" s="15">
        <f>MAX(E177-F177, 0)</f>
        <v/>
      </c>
      <c r="I177" s="15">
        <f>IF(A177&lt;=10, 0, H177*$B$7)</f>
        <v/>
      </c>
      <c r="J177" s="21" t="n">
        <v>0</v>
      </c>
      <c r="K177" s="21" t="n">
        <v>0</v>
      </c>
      <c r="L177" s="21" t="n">
        <v>0</v>
      </c>
      <c r="M177" s="15">
        <f>B177+E177-F177-I177</f>
        <v/>
      </c>
      <c r="N177" s="15">
        <f>M177</f>
        <v/>
      </c>
    </row>
    <row r="178">
      <c r="A178" s="20" t="n">
        <v>7</v>
      </c>
      <c r="B178" s="15">
        <f>M177</f>
        <v/>
      </c>
      <c r="C178" s="15">
        <f>MIN(B178, 4000)</f>
        <v/>
      </c>
      <c r="D178" s="15">
        <f>MAX(B178-C178, 0)</f>
        <v/>
      </c>
      <c r="E178" s="15">
        <f>C178*$B$6 + D178*$B$14</f>
        <v/>
      </c>
      <c r="F178" s="15" t="n">
        <v>0.35</v>
      </c>
      <c r="G178" s="21" t="n">
        <v>0</v>
      </c>
      <c r="H178" s="15">
        <f>MAX(E178-F178, 0)</f>
        <v/>
      </c>
      <c r="I178" s="15">
        <f>IF(A178&lt;=10, 0, H178*$B$7)</f>
        <v/>
      </c>
      <c r="J178" s="21" t="n">
        <v>0</v>
      </c>
      <c r="K178" s="21" t="n">
        <v>0</v>
      </c>
      <c r="L178" s="21" t="n">
        <v>0</v>
      </c>
      <c r="M178" s="15">
        <f>B178+E178-F178-I178</f>
        <v/>
      </c>
      <c r="N178" s="15">
        <f>M178</f>
        <v/>
      </c>
    </row>
    <row r="179">
      <c r="A179" s="20" t="n">
        <v>8</v>
      </c>
      <c r="B179" s="15">
        <f>M178</f>
        <v/>
      </c>
      <c r="C179" s="15">
        <f>MIN(B179, 4000)</f>
        <v/>
      </c>
      <c r="D179" s="15">
        <f>MAX(B179-C179, 0)</f>
        <v/>
      </c>
      <c r="E179" s="15">
        <f>C179*$B$6 + D179*$B$14</f>
        <v/>
      </c>
      <c r="F179" s="15" t="n">
        <v>0.35</v>
      </c>
      <c r="G179" s="21" t="n">
        <v>0</v>
      </c>
      <c r="H179" s="15">
        <f>MAX(E179-F179, 0)</f>
        <v/>
      </c>
      <c r="I179" s="15">
        <f>IF(A179&lt;=10, 0, H179*$B$7)</f>
        <v/>
      </c>
      <c r="J179" s="21" t="n">
        <v>0</v>
      </c>
      <c r="K179" s="21" t="n">
        <v>0</v>
      </c>
      <c r="L179" s="21" t="n">
        <v>0</v>
      </c>
      <c r="M179" s="15">
        <f>B179+E179-F179-I179</f>
        <v/>
      </c>
      <c r="N179" s="15">
        <f>M179</f>
        <v/>
      </c>
    </row>
    <row r="180">
      <c r="A180" s="20" t="n">
        <v>9</v>
      </c>
      <c r="B180" s="15">
        <f>M179</f>
        <v/>
      </c>
      <c r="C180" s="15">
        <f>MIN(B180, 4000)</f>
        <v/>
      </c>
      <c r="D180" s="15">
        <f>MAX(B180-C180, 0)</f>
        <v/>
      </c>
      <c r="E180" s="15">
        <f>C180*$B$6 + D180*$B$14</f>
        <v/>
      </c>
      <c r="F180" s="15" t="n">
        <v>0.35</v>
      </c>
      <c r="G180" s="21" t="n">
        <v>0</v>
      </c>
      <c r="H180" s="15">
        <f>MAX(E180-F180, 0)</f>
        <v/>
      </c>
      <c r="I180" s="15">
        <f>IF(A180&lt;=10, 0, H180*$B$7)</f>
        <v/>
      </c>
      <c r="J180" s="21" t="n">
        <v>0</v>
      </c>
      <c r="K180" s="21" t="n">
        <v>0</v>
      </c>
      <c r="L180" s="21" t="n">
        <v>0</v>
      </c>
      <c r="M180" s="15">
        <f>B180+E180-F180-I180</f>
        <v/>
      </c>
      <c r="N180" s="15">
        <f>M180</f>
        <v/>
      </c>
    </row>
    <row r="181">
      <c r="A181" s="20" t="n">
        <v>10</v>
      </c>
      <c r="B181" s="15">
        <f>M180</f>
        <v/>
      </c>
      <c r="C181" s="15">
        <f>MIN(B181, 4000)</f>
        <v/>
      </c>
      <c r="D181" s="15">
        <f>MAX(B181-C181, 0)</f>
        <v/>
      </c>
      <c r="E181" s="15">
        <f>C181*$B$6 + D181*$B$14</f>
        <v/>
      </c>
      <c r="F181" s="15" t="n">
        <v>0.35</v>
      </c>
      <c r="G181" s="21" t="n">
        <v>0</v>
      </c>
      <c r="H181" s="15">
        <f>MAX(E181-F181, 0)</f>
        <v/>
      </c>
      <c r="I181" s="15">
        <f>IF(A181&lt;=10, 0, H181*$B$7)</f>
        <v/>
      </c>
      <c r="J181" s="21" t="n">
        <v>0</v>
      </c>
      <c r="K181" s="21" t="n">
        <v>0</v>
      </c>
      <c r="L181" s="21" t="n">
        <v>0</v>
      </c>
      <c r="M181" s="15">
        <f>B181+E181-F181-I181</f>
        <v/>
      </c>
      <c r="N181" s="15">
        <f>M181</f>
        <v/>
      </c>
    </row>
    <row r="182">
      <c r="A182" s="20" t="n">
        <v>11</v>
      </c>
      <c r="B182" s="15">
        <f>M181</f>
        <v/>
      </c>
      <c r="C182" s="15">
        <f>MIN(B182, 4000)</f>
        <v/>
      </c>
      <c r="D182" s="15">
        <f>MAX(B182-C182, 0)</f>
        <v/>
      </c>
      <c r="E182" s="15">
        <f>C182*$B$6 + D182*$B$14</f>
        <v/>
      </c>
      <c r="F182" s="15" t="n">
        <v>0.35</v>
      </c>
      <c r="G182" s="21" t="n">
        <v>0</v>
      </c>
      <c r="H182" s="15">
        <f>MAX(E182-F182, 0)</f>
        <v/>
      </c>
      <c r="I182" s="15">
        <f>IF(A182&lt;=10, 0, H182*$B$7)</f>
        <v/>
      </c>
      <c r="J182" s="21" t="n">
        <v>0</v>
      </c>
      <c r="K182" s="21" t="n">
        <v>0</v>
      </c>
      <c r="L182" s="21" t="n">
        <v>0</v>
      </c>
      <c r="M182" s="15">
        <f>B182+E182-F182-I182</f>
        <v/>
      </c>
      <c r="N182" s="15">
        <f>M182</f>
        <v/>
      </c>
    </row>
    <row r="183">
      <c r="A183" s="20" t="n">
        <v>12</v>
      </c>
      <c r="B183" s="15">
        <f>M182</f>
        <v/>
      </c>
      <c r="C183" s="15">
        <f>MIN(B183, 4000)</f>
        <v/>
      </c>
      <c r="D183" s="15">
        <f>MAX(B183-C183, 0)</f>
        <v/>
      </c>
      <c r="E183" s="15">
        <f>C183*$B$6 + D183*$B$14</f>
        <v/>
      </c>
      <c r="F183" s="15" t="n">
        <v>0.35</v>
      </c>
      <c r="G183" s="21" t="n">
        <v>0</v>
      </c>
      <c r="H183" s="15">
        <f>MAX(E183-F183, 0)</f>
        <v/>
      </c>
      <c r="I183" s="15">
        <f>IF(A183&lt;=10, 0, H183*$B$7)</f>
        <v/>
      </c>
      <c r="J183" s="21" t="n">
        <v>0</v>
      </c>
      <c r="K183" s="21" t="n">
        <v>0</v>
      </c>
      <c r="L183" s="21" t="n">
        <v>0</v>
      </c>
      <c r="M183" s="15">
        <f>B183+E183-F183-I183</f>
        <v/>
      </c>
      <c r="N183" s="15">
        <f>M183</f>
        <v/>
      </c>
    </row>
    <row r="184">
      <c r="A184" s="20" t="n">
        <v>13</v>
      </c>
      <c r="B184" s="15">
        <f>M183</f>
        <v/>
      </c>
      <c r="C184" s="15">
        <f>MIN(B184, 4000)</f>
        <v/>
      </c>
      <c r="D184" s="15">
        <f>MAX(B184-C184, 0)</f>
        <v/>
      </c>
      <c r="E184" s="15">
        <f>C184*$B$6 + D184*$B$14</f>
        <v/>
      </c>
      <c r="F184" s="15" t="n">
        <v>0.35</v>
      </c>
      <c r="G184" s="21" t="n">
        <v>0</v>
      </c>
      <c r="H184" s="15">
        <f>MAX(E184-F184, 0)</f>
        <v/>
      </c>
      <c r="I184" s="15">
        <f>IF(A184&lt;=10, 0, H184*$B$7)</f>
        <v/>
      </c>
      <c r="J184" s="21" t="n">
        <v>0</v>
      </c>
      <c r="K184" s="21" t="n">
        <v>0</v>
      </c>
      <c r="L184" s="21" t="n">
        <v>0</v>
      </c>
      <c r="M184" s="15">
        <f>B184+E184-F184-I184</f>
        <v/>
      </c>
      <c r="N184" s="15">
        <f>M184</f>
        <v/>
      </c>
    </row>
    <row r="185">
      <c r="A185" s="20" t="n">
        <v>14</v>
      </c>
      <c r="B185" s="15">
        <f>M184</f>
        <v/>
      </c>
      <c r="C185" s="15">
        <f>MIN(B185, 4000)</f>
        <v/>
      </c>
      <c r="D185" s="15">
        <f>MAX(B185-C185, 0)</f>
        <v/>
      </c>
      <c r="E185" s="15">
        <f>C185*$B$6 + D185*$B$14</f>
        <v/>
      </c>
      <c r="F185" s="15" t="n">
        <v>0.35</v>
      </c>
      <c r="G185" s="21" t="n">
        <v>0</v>
      </c>
      <c r="H185" s="15">
        <f>MAX(E185-F185, 0)</f>
        <v/>
      </c>
      <c r="I185" s="15">
        <f>IF(A185&lt;=10, 0, H185*$B$7)</f>
        <v/>
      </c>
      <c r="J185" s="21" t="n">
        <v>0</v>
      </c>
      <c r="K185" s="21" t="n">
        <v>0</v>
      </c>
      <c r="L185" s="21" t="n">
        <v>0</v>
      </c>
      <c r="M185" s="15">
        <f>B185+E185-F185-I185</f>
        <v/>
      </c>
      <c r="N185" s="15">
        <f>M185</f>
        <v/>
      </c>
    </row>
    <row r="186">
      <c r="A186" s="20" t="n">
        <v>15</v>
      </c>
      <c r="B186" s="15">
        <f>M185</f>
        <v/>
      </c>
      <c r="C186" s="15">
        <f>MIN(B186, 4000)</f>
        <v/>
      </c>
      <c r="D186" s="15">
        <f>MAX(B186-C186, 0)</f>
        <v/>
      </c>
      <c r="E186" s="15">
        <f>C186*$B$6 + D186*$B$14</f>
        <v/>
      </c>
      <c r="F186" s="15" t="n">
        <v>0.35</v>
      </c>
      <c r="G186" s="21" t="n">
        <v>0</v>
      </c>
      <c r="H186" s="15">
        <f>MAX(E186-F186, 0)</f>
        <v/>
      </c>
      <c r="I186" s="15">
        <f>IF(A186&lt;=10, 0, H186*$B$7)</f>
        <v/>
      </c>
      <c r="J186" s="21" t="n">
        <v>0</v>
      </c>
      <c r="K186" s="21" t="n">
        <v>0</v>
      </c>
      <c r="L186" s="21" t="n">
        <v>0</v>
      </c>
      <c r="M186" s="15">
        <f>B186+E186-F186-I186</f>
        <v/>
      </c>
      <c r="N186" s="15">
        <f>M186</f>
        <v/>
      </c>
    </row>
    <row r="187">
      <c r="A187" s="20" t="n">
        <v>16</v>
      </c>
      <c r="B187" s="15">
        <f>M186</f>
        <v/>
      </c>
      <c r="C187" s="15">
        <f>MIN(B187, 4000)</f>
        <v/>
      </c>
      <c r="D187" s="15">
        <f>MAX(B187-C187, 0)</f>
        <v/>
      </c>
      <c r="E187" s="15">
        <f>C187*$B$6 + D187*$B$14</f>
        <v/>
      </c>
      <c r="F187" s="15" t="n">
        <v>0.35</v>
      </c>
      <c r="G187" s="21" t="n">
        <v>0</v>
      </c>
      <c r="H187" s="15">
        <f>MAX(E187-F187, 0)</f>
        <v/>
      </c>
      <c r="I187" s="15">
        <f>IF(A187&lt;=10, 0, H187*$B$7)</f>
        <v/>
      </c>
      <c r="J187" s="21" t="n">
        <v>0</v>
      </c>
      <c r="K187" s="21" t="n">
        <v>0</v>
      </c>
      <c r="L187" s="21" t="n">
        <v>0</v>
      </c>
      <c r="M187" s="15">
        <f>B187+E187-F187-I187</f>
        <v/>
      </c>
      <c r="N187" s="15">
        <f>M187</f>
        <v/>
      </c>
    </row>
    <row r="188">
      <c r="A188" s="20" t="n">
        <v>17</v>
      </c>
      <c r="B188" s="15">
        <f>M187</f>
        <v/>
      </c>
      <c r="C188" s="15">
        <f>MIN(B188, 4000)</f>
        <v/>
      </c>
      <c r="D188" s="15">
        <f>MAX(B188-C188, 0)</f>
        <v/>
      </c>
      <c r="E188" s="15">
        <f>C188*$B$6 + D188*$B$14</f>
        <v/>
      </c>
      <c r="F188" s="15" t="n">
        <v>0.35</v>
      </c>
      <c r="G188" s="21" t="n">
        <v>0</v>
      </c>
      <c r="H188" s="15">
        <f>MAX(E188-F188, 0)</f>
        <v/>
      </c>
      <c r="I188" s="15">
        <f>IF(A188&lt;=10, 0, H188*$B$7)</f>
        <v/>
      </c>
      <c r="J188" s="21" t="n">
        <v>0</v>
      </c>
      <c r="K188" s="21" t="n">
        <v>0</v>
      </c>
      <c r="L188" s="21" t="n">
        <v>0</v>
      </c>
      <c r="M188" s="15">
        <f>B188+E188-F188-I188</f>
        <v/>
      </c>
      <c r="N188" s="15">
        <f>M188</f>
        <v/>
      </c>
    </row>
    <row r="189">
      <c r="A189" s="20" t="n">
        <v>18</v>
      </c>
      <c r="B189" s="15">
        <f>M188</f>
        <v/>
      </c>
      <c r="C189" s="15">
        <f>MIN(B189, 4000)</f>
        <v/>
      </c>
      <c r="D189" s="15">
        <f>MAX(B189-C189, 0)</f>
        <v/>
      </c>
      <c r="E189" s="15">
        <f>C189*$B$6 + D189*$B$14</f>
        <v/>
      </c>
      <c r="F189" s="15" t="n">
        <v>0.35</v>
      </c>
      <c r="G189" s="21" t="n">
        <v>0</v>
      </c>
      <c r="H189" s="15">
        <f>MAX(E189-F189, 0)</f>
        <v/>
      </c>
      <c r="I189" s="15">
        <f>IF(A189&lt;=10, 0, H189*$B$7)</f>
        <v/>
      </c>
      <c r="J189" s="21" t="n">
        <v>0</v>
      </c>
      <c r="K189" s="21" t="n">
        <v>0</v>
      </c>
      <c r="L189" s="21" t="n">
        <v>0</v>
      </c>
      <c r="M189" s="15">
        <f>B189+E189-F189-I189</f>
        <v/>
      </c>
      <c r="N189" s="15">
        <f>M189</f>
        <v/>
      </c>
    </row>
    <row r="190">
      <c r="A190" s="20" t="n">
        <v>19</v>
      </c>
      <c r="B190" s="15">
        <f>M189</f>
        <v/>
      </c>
      <c r="C190" s="15">
        <f>MIN(B190, 4000)</f>
        <v/>
      </c>
      <c r="D190" s="15">
        <f>MAX(B190-C190, 0)</f>
        <v/>
      </c>
      <c r="E190" s="15">
        <f>C190*$B$6 + D190*$B$14</f>
        <v/>
      </c>
      <c r="F190" s="15" t="n">
        <v>0.35</v>
      </c>
      <c r="G190" s="21" t="n">
        <v>0</v>
      </c>
      <c r="H190" s="15">
        <f>MAX(E190-F190, 0)</f>
        <v/>
      </c>
      <c r="I190" s="15">
        <f>IF(A190&lt;=10, 0, H190*$B$7)</f>
        <v/>
      </c>
      <c r="J190" s="21" t="n">
        <v>0</v>
      </c>
      <c r="K190" s="21" t="n">
        <v>0</v>
      </c>
      <c r="L190" s="21" t="n">
        <v>0</v>
      </c>
      <c r="M190" s="15">
        <f>B190+E190-F190-I190</f>
        <v/>
      </c>
      <c r="N190" s="15">
        <f>M190</f>
        <v/>
      </c>
    </row>
    <row r="191">
      <c r="A191" s="20" t="n">
        <v>20</v>
      </c>
      <c r="B191" s="15">
        <f>M190</f>
        <v/>
      </c>
      <c r="C191" s="15">
        <f>MIN(B191, 4000)</f>
        <v/>
      </c>
      <c r="D191" s="15">
        <f>MAX(B191-C191, 0)</f>
        <v/>
      </c>
      <c r="E191" s="15">
        <f>C191*$B$6 + D191*$B$14</f>
        <v/>
      </c>
      <c r="F191" s="15" t="n">
        <v>0.35</v>
      </c>
      <c r="G191" s="21" t="n">
        <v>0</v>
      </c>
      <c r="H191" s="15">
        <f>MAX(E191-F191, 0)</f>
        <v/>
      </c>
      <c r="I191" s="15">
        <f>IF(A191&lt;=10, 0, H191*$B$7)</f>
        <v/>
      </c>
      <c r="J191" s="21" t="n">
        <v>0</v>
      </c>
      <c r="K191" s="21" t="n">
        <v>0</v>
      </c>
      <c r="L191" s="21" t="n">
        <v>0</v>
      </c>
      <c r="M191" s="15">
        <f>B191+E191-F191-I191</f>
        <v/>
      </c>
      <c r="N191" s="15">
        <f>M191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selection activeCell="A1" sqref="A1"/>
    </sheetView>
  </sheetViews>
  <sheetFormatPr baseColWidth="8" defaultRowHeight="15"/>
  <cols>
    <col width="106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50% ANNUAL</t>
        </is>
      </c>
    </row>
    <row r="2">
      <c r="A2" s="2" t="inlineStr">
        <is>
          <t>Conservative Growth Tier (50%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 [SEBI 4,800-Lot Cap]</t>
        </is>
      </c>
      <c r="B12" s="23" t="n">
        <v>54.051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[75%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6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75% ANNUAL</t>
        </is>
      </c>
    </row>
    <row r="2">
      <c r="A2" s="2" t="inlineStr">
        <is>
          <t>Conservative Baseline (75%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0.75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 [SEBI 4,800-Lot Cap]</t>
        </is>
      </c>
      <c r="B12" s="23" t="n">
        <v>54.051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[75%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80% ANNUAL</t>
        </is>
      </c>
    </row>
    <row r="2">
      <c r="A2" s="2" t="inlineStr">
        <is>
          <t>Steady Quant Execution (80%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0.8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 [SEBI 4,800-Lot Cap]</t>
        </is>
      </c>
      <c r="B12" s="23" t="n">
        <v>54.051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[80%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85% ANNUAL</t>
        </is>
      </c>
    </row>
    <row r="2">
      <c r="A2" s="2" t="inlineStr">
        <is>
          <t>Optimized Alpha Tier (85%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0.85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 [SEBI 4,800-Lot Cap]</t>
        </is>
      </c>
      <c r="B12" s="23" t="n">
        <v>54.051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[85%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11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100% ANNUAL</t>
        </is>
      </c>
    </row>
    <row r="2">
      <c r="A2" s="2" t="inlineStr">
        <is>
          <t>High-Conviction Benchmark (100%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1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 [SEBI 4,800-Lot Cap]</t>
        </is>
      </c>
      <c r="B12" s="23" t="n">
        <v>54.051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[100%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120% ANNUAL</t>
        </is>
      </c>
    </row>
    <row r="2">
      <c r="A2" s="2" t="inlineStr">
        <is>
          <t>Peak Algorithmic Expansion (120%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1.2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 [SEBI 4,800-Lot Cap]</t>
        </is>
      </c>
      <c r="B12" s="23" t="n">
        <v>54.051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[120%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103" customWidth="1" min="1" max="1"/>
    <col width="29" customWidth="1" min="2" max="2"/>
    <col width="30" customWidth="1" min="3" max="3"/>
    <col width="37" customWidth="1" min="4" max="4"/>
  </cols>
  <sheetData>
    <row r="1">
      <c r="A1" s="1" t="inlineStr">
        <is>
          <t>LEVEL 4: GIFT CITY IFSC · CME HENRY HUB SOVEREIGN BRIDGE</t>
        </is>
      </c>
    </row>
    <row r="2">
      <c r="A2" s="2" t="inlineStr">
        <is>
          <t>Section 80LA &amp; Section 115JB(7) (9% MAT + Surcharge/Cess = ~10.5%) vs Domestic 25.17% vs Personal 39%</t>
        </is>
      </c>
    </row>
    <row r="4">
      <c r="A4" s="3" t="inlineStr">
        <is>
          <t>COMPARATIVE TAX &amp; COMPOUNDING ARCHITECTURE (ON ₹100 CR ANNUAL PROFIT)</t>
        </is>
      </c>
    </row>
    <row r="5">
      <c r="A5" s="12" t="inlineStr">
        <is>
          <t>Metric / Parameter</t>
        </is>
      </c>
      <c r="B5" s="12" t="inlineStr">
        <is>
          <t>Domestic MCX TM (Level 3)</t>
        </is>
      </c>
      <c r="C5" s="12" t="inlineStr">
        <is>
          <t>GIFT City CME (Reinvested)</t>
        </is>
      </c>
      <c r="D5" s="12" t="inlineStr">
        <is>
          <t>GIFT City CME (Personal Dividend)</t>
        </is>
      </c>
    </row>
    <row r="6">
      <c r="A6" s="27" t="inlineStr">
        <is>
          <t>Gross Trading Profit</t>
        </is>
      </c>
      <c r="B6" s="14" t="n">
        <v>100</v>
      </c>
      <c r="C6" s="14" t="n">
        <v>100</v>
      </c>
      <c r="D6" s="14" t="n">
        <v>100</v>
      </c>
    </row>
    <row r="7">
      <c r="A7" s="27" t="inlineStr">
        <is>
          <t>Corporate Income Tax Rate</t>
        </is>
      </c>
      <c r="B7" s="28" t="n">
        <v>0.25168</v>
      </c>
      <c r="C7" s="28" t="n">
        <v>0</v>
      </c>
      <c r="D7" s="28" t="n">
        <v>0</v>
      </c>
    </row>
    <row r="8">
      <c r="A8" s="27" t="inlineStr">
        <is>
          <t>Corporate Income Tax Paid (₹ Cr)</t>
        </is>
      </c>
      <c r="B8" s="14" t="n">
        <v>25.168</v>
      </c>
      <c r="C8" s="14" t="n">
        <v>0</v>
      </c>
      <c r="D8" s="14" t="n">
        <v>0</v>
      </c>
    </row>
    <row r="9">
      <c r="A9" s="27" t="inlineStr">
        <is>
          <t>Minimum Alternate Tax (MAT u/s 115JB(7))</t>
        </is>
      </c>
      <c r="B9" s="14" t="n">
        <v>0</v>
      </c>
      <c r="C9" s="14" t="n">
        <v>9.42</v>
      </c>
      <c r="D9" s="14" t="n">
        <v>9.42</v>
      </c>
    </row>
    <row r="10">
      <c r="A10" s="27" t="inlineStr">
        <is>
          <t>Transaction Taxes (CTT + Stamp Duty)</t>
        </is>
      </c>
      <c r="B10" s="14" t="n">
        <v>0.85</v>
      </c>
      <c r="C10" s="14" t="n">
        <v>0</v>
      </c>
      <c r="D10" s="14" t="n">
        <v>0</v>
      </c>
    </row>
    <row r="11">
      <c r="A11" s="27" t="inlineStr">
        <is>
          <t>Economic Substance &amp; Regulatory Burn</t>
        </is>
      </c>
      <c r="B11" s="14" t="n">
        <v>0.05</v>
      </c>
      <c r="C11" s="14" t="n">
        <v>0.35</v>
      </c>
      <c r="D11" s="14" t="n">
        <v>0.35</v>
      </c>
    </row>
    <row r="12">
      <c r="A12" s="27" t="inlineStr">
        <is>
          <t>Personal Dividend Distribution Tax</t>
        </is>
      </c>
      <c r="B12" s="14" t="n">
        <v>0</v>
      </c>
      <c r="C12" s="14" t="n">
        <v>0</v>
      </c>
      <c r="D12" s="14" t="n">
        <v>38.8635</v>
      </c>
    </row>
    <row r="13">
      <c r="A13" s="27" t="inlineStr">
        <is>
          <t>Net Annual Compounding Capital (₹ Cr)</t>
        </is>
      </c>
      <c r="B13" s="14" t="n">
        <v>73.932</v>
      </c>
      <c r="C13" s="14" t="n">
        <v>90.23</v>
      </c>
      <c r="D13" s="14" t="n">
        <v>51.36</v>
      </c>
    </row>
    <row r="14">
      <c r="A14" s="27" t="inlineStr">
        <is>
          <t>10-Year Compounding Edge (%)</t>
        </is>
      </c>
      <c r="B14" s="29" t="inlineStr">
        <is>
          <t>Baseline</t>
        </is>
      </c>
      <c r="C14" s="30" t="inlineStr">
        <is>
          <t>+34.8% Faster Compounding</t>
        </is>
      </c>
      <c r="D14" s="31" t="inlineStr">
        <is>
          <t>-17.8% Cash Leakage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215" customWidth="1" min="2" max="2"/>
    <col width="22" customWidth="1" min="3" max="3"/>
    <col width="27" customWidth="1" min="4" max="4"/>
    <col width="21" customWidth="1" min="5" max="5"/>
    <col width="17" customWidth="1" min="6" max="6"/>
    <col width="17" customWidth="1" min="7" max="7"/>
    <col width="19" customWidth="1" min="8" max="8"/>
    <col width="29" customWidth="1" min="9" max="9"/>
  </cols>
  <sheetData>
    <row r="1">
      <c r="A1" s="1" t="inlineStr">
        <is>
          <t>CLEAN EXECUTIVE TAX &amp; WEALTH ARCHITECTURE (100% AUDIT-PROOF)</t>
        </is>
      </c>
    </row>
    <row r="2">
      <c r="A2" s="2" t="inlineStr">
        <is>
          <t>Statutory Law: Section 115BAA · Section 30/37 · Section 87A · Section 56(2)(x) · Zero GAAR Scrutiny Risk</t>
        </is>
      </c>
    </row>
    <row r="4">
      <c r="A4" s="3" t="inlineStr">
        <is>
          <t>1. THE 3 BULLETPROOF LEGAL PILLARS (CUSTOM-FIT TO YOUR DESK)</t>
        </is>
      </c>
    </row>
    <row r="5">
      <c r="A5" s="12" t="inlineStr">
        <is>
          <t>Structure Element</t>
        </is>
      </c>
      <c r="B5" s="12" t="inlineStr">
        <is>
          <t>Beneficiary / Counterparty</t>
        </is>
      </c>
      <c r="C5" s="12" t="inlineStr">
        <is>
          <t>Annual Cash Amount</t>
        </is>
      </c>
      <c r="D5" s="12" t="inlineStr">
        <is>
          <t>Statutory Deduction Claimed</t>
        </is>
      </c>
      <c r="E5" s="12" t="inlineStr">
        <is>
          <t>Tax in Hands of Recipient</t>
        </is>
      </c>
      <c r="F5" s="12" t="inlineStr">
        <is>
          <t>Audit / Scrutiny Defense</t>
        </is>
      </c>
      <c r="G5" s="12" t="inlineStr">
        <is>
          <t>Rebate u/s 87A</t>
        </is>
      </c>
      <c r="H5" s="12" t="inlineStr">
        <is>
          <t>Net Personal Tax</t>
        </is>
      </c>
      <c r="I5" s="12" t="inlineStr">
        <is>
          <t>Annual Corporate Tax Saved</t>
        </is>
      </c>
    </row>
    <row r="6">
      <c r="A6" s="4" t="inlineStr">
        <is>
          <t>Managing Director Salary</t>
        </is>
      </c>
      <c r="B6" s="4" t="inlineStr">
        <is>
          <t>You (Sole Trader &amp; Fund Manager)</t>
        </is>
      </c>
      <c r="C6" s="32" t="n">
        <v>1275000</v>
      </c>
      <c r="D6" s="32" t="inlineStr">
        <is>
          <t>₹75,000 u/s 16(ia)</t>
        </is>
      </c>
      <c r="E6" s="32" t="inlineStr">
        <is>
          <t>₹0.00 (100% Rebated u/s 87A)</t>
        </is>
      </c>
      <c r="F6" s="32" t="inlineStr">
        <is>
          <t>You do 100% of trading; 100% genuine salary</t>
        </is>
      </c>
      <c r="G6" s="32" t="n">
        <v>-80000</v>
      </c>
      <c r="H6" s="32" t="n">
        <v>0</v>
      </c>
      <c r="I6" s="32" t="n">
        <v>320892</v>
      </c>
    </row>
    <row r="7">
      <c r="A7" s="4" t="inlineStr">
        <is>
          <t>Trading Office Commercial Rent</t>
        </is>
      </c>
      <c r="B7" s="4" t="inlineStr">
        <is>
          <t>Mother (Legal Property Owner)</t>
        </is>
      </c>
      <c r="C7" s="32" t="n">
        <v>480000</v>
      </c>
      <c r="D7" s="32" t="inlineStr">
        <is>
          <t>₹1,44,000 (30% u/s 24(a))</t>
        </is>
      </c>
      <c r="E7" s="32" t="inlineStr">
        <is>
          <t>₹0.00 (Taxable ₹3.36L &lt; 87A limit)</t>
        </is>
      </c>
      <c r="F7" s="32" t="inlineStr">
        <is>
          <t>Registered lease agreement for office space</t>
        </is>
      </c>
      <c r="G7" s="32" t="n">
        <v>-80000</v>
      </c>
      <c r="H7" s="32" t="n">
        <v>0</v>
      </c>
      <c r="I7" s="32" t="n">
        <v>320892</v>
      </c>
    </row>
    <row r="8">
      <c r="A8" s="4" t="inlineStr">
        <is>
          <t>Capital Contributions / Gifts</t>
        </is>
      </c>
      <c r="B8" s="4" t="inlineStr">
        <is>
          <t>Father &amp; Brother (Salaried &gt;₹10L)</t>
        </is>
      </c>
      <c r="C8" s="32" t="inlineStr">
        <is>
          <t>As desired</t>
        </is>
      </c>
      <c r="D8" s="32" t="inlineStr">
        <is>
          <t>N/A (Off company payroll)</t>
        </is>
      </c>
      <c r="E8" s="32" t="inlineStr">
        <is>
          <t>₹0.00 (Exempt gift u/s 56(2)(x))</t>
        </is>
      </c>
      <c r="F8" s="32" t="inlineStr">
        <is>
          <t>Kept off payroll; zero salary tax leakage</t>
        </is>
      </c>
      <c r="G8" s="32" t="n">
        <v>-80000</v>
      </c>
      <c r="H8" s="32" t="n">
        <v>0</v>
      </c>
      <c r="I8" s="32" t="n">
        <v>320892</v>
      </c>
    </row>
    <row r="9">
      <c r="A9" s="33" t="inlineStr">
        <is>
          <t>TOTAL ANNUAL TAX DEDUCTION</t>
        </is>
      </c>
      <c r="B9" s="33" t="inlineStr">
        <is>
          <t>You + Mother Combined</t>
        </is>
      </c>
      <c r="C9" s="34" t="n">
        <v>1755000</v>
      </c>
      <c r="D9" s="34" t="inlineStr">
        <is>
          <t>₹2,19,000 total deduction</t>
        </is>
      </c>
      <c r="E9" s="34" t="inlineStr">
        <is>
          <t>₹0.00 Total Personal Tax</t>
        </is>
      </c>
      <c r="F9" s="34" t="inlineStr">
        <is>
          <t>Saves ₹4,41,700/yr corporate tax cleanly</t>
        </is>
      </c>
      <c r="G9" s="34" t="n">
        <v>-240000</v>
      </c>
      <c r="H9" s="34" t="n">
        <v>0</v>
      </c>
      <c r="I9" s="34" t="n">
        <v>962676</v>
      </c>
    </row>
    <row r="11">
      <c r="A11" s="3" t="inlineStr">
        <is>
          <t>2. WHY THE ARTIFICIAL FAMILY SCHEME WAS REJECTED (SECTION 37 &amp; GAAR AUDIT)</t>
        </is>
      </c>
    </row>
    <row r="12">
      <c r="A12" s="27" t="inlineStr">
        <is>
          <t>Section 37(1) Business Purpose Test: Non-working relatives (aunts/grandmothers) cannot justify ₹1L/mo salaries on a 1-person futures desk.</t>
        </is>
      </c>
      <c r="B12" s="9" t="inlineStr">
        <is>
          <t>Execute formal employment contracts defining operational duties. Transfer salary monthly via NEFT/RTGS from corporate bank account into individual savings accounts. Issue annual Form 16.</t>
        </is>
      </c>
    </row>
    <row r="13">
      <c r="A13" s="27" t="inlineStr">
        <is>
          <t>Section 40A(2) Relative Disallowance: Tax Officer disallows unreasonable payments to relatives exceeding Fair Market Value.</t>
        </is>
      </c>
      <c r="B13" s="9" t="inlineStr">
        <is>
          <t>Under the New Tax Regime, taxable salary of ₹12.00 Lakhs incurs ₹80,000 tax, which is 100% rebated to ₹0.00 under Section 87A. Zero personal tax is paid.</t>
        </is>
      </c>
    </row>
    <row r="14">
      <c r="A14" s="27" t="inlineStr">
        <is>
          <t>Chapter X-A GAAR &amp; Round-Tripping: Sizing investments under ₹9.4L to dodge SFT thresholds and circular loanbacks triggers 200% penalty u/s 270A.</t>
        </is>
      </c>
      <c r="B14" s="9" t="inlineStr">
        <is>
          <t>Mother and 3rd relative loan back 90% of their net salary directly to the company. Under Rule 2(1)(c)(viii) of Companies (Acceptance of Deposits) Rules, 2014, loans from a director's relative are exempt deposits.</t>
        </is>
      </c>
    </row>
    <row r="15">
      <c r="A15" s="27" t="inlineStr">
        <is>
          <t>Microstructure Reality: 4,800 lots equals 65.7% of median front-month OI. Transition to CME Henry Hub past ₹50 Cr is essential.</t>
        </is>
      </c>
      <c r="B15" s="9" t="inlineStr">
        <is>
          <t>Grandmother gifts her net salary to Director or Mother (100% tax-free between lineal relatives), who then executes the compliant loanback to the company.</t>
        </is>
      </c>
    </row>
    <row r="16">
      <c r="A16" s="27" t="inlineStr">
        <is>
          <t>Compliance Mandate: Retain profits in company at 25.17%, scale cleanly, and prepare Level 4 GIFT City IFSC registration for global volume.</t>
        </is>
      </c>
      <c r="B16" s="9" t="inlineStr">
        <is>
          <t>File Form DPT-3 with the Registrar of Companies (ROC) on or before June 30th each year, reporting the unsecured loan balances under 'Particulars of transactions by a company not considered as deposit'.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NG RISK AND SIZING  ·  roll cost · margin-hike trap · Kelly</t>
        </is>
      </c>
    </row>
    <row r="2">
      <c r="A2" s="36" t="inlineStr">
        <is>
          <t>Three small natural-gas checks on one page. Blue = edit here, green = linked from NG Inputs / NG Data / NG Scenarios.</t>
        </is>
      </c>
    </row>
    <row r="4">
      <c r="A4" s="37" t="inlineStr">
        <is>
          <t>1 · ROLL &amp; COST DRAG  —  what rolling contracts and costs take from return on capital</t>
        </is>
      </c>
    </row>
    <row r="5">
      <c r="A5" s="38" t="inlineStr">
        <is>
          <t>Roll gap per roll (% notional)</t>
        </is>
      </c>
      <c r="B5" s="39" t="n">
        <v>0.01</v>
      </c>
      <c r="C5" s="40" t="inlineStr">
        <is>
          <t>Placeholder — measure from your prices; contango months can exceed 2%</t>
        </is>
      </c>
    </row>
    <row r="6">
      <c r="A6" s="38" t="inlineStr">
        <is>
          <t>Expected rolls per trade</t>
        </is>
      </c>
      <c r="B6" s="41" t="n">
        <v>0.5</v>
      </c>
      <c r="C6" s="40" t="inlineStr">
        <is>
          <t>Swing duration ÷ contract window</t>
        </is>
      </c>
    </row>
    <row r="7">
      <c r="A7" s="38" t="inlineStr">
        <is>
          <t>Txn + brokerage round trip (% notional)</t>
        </is>
      </c>
      <c r="B7" s="42">
        <f>'NG Inputs'!B6</f>
        <v/>
      </c>
      <c r="C7" s="40" t="inlineStr">
        <is>
          <t>From NG Inputs</t>
        </is>
      </c>
    </row>
    <row r="8">
      <c r="A8" s="38" t="inlineStr">
        <is>
          <t>Margin % (base case)</t>
        </is>
      </c>
      <c r="B8" s="43">
        <f>'NG Data'!D134</f>
        <v/>
      </c>
      <c r="C8" s="40" t="inlineStr">
        <is>
          <t>25–30% bucket average from NG Data</t>
        </is>
      </c>
    </row>
    <row r="9">
      <c r="A9" s="38" t="inlineStr">
        <is>
          <t>Gross move per trade</t>
        </is>
      </c>
      <c r="B9" s="43">
        <f>'NG Scenarios'!B6</f>
        <v/>
      </c>
      <c r="C9" s="40" t="inlineStr">
        <is>
          <t>Base-case move from NG Scenarios</t>
        </is>
      </c>
    </row>
    <row r="10">
      <c r="A10" s="38" t="inlineStr">
        <is>
          <t>Company tax rate</t>
        </is>
      </c>
      <c r="B10" s="43">
        <f>'NG Inputs'!B4</f>
        <v/>
      </c>
      <c r="C10" s="40" t="inlineStr">
        <is>
          <t>From NG Inputs</t>
        </is>
      </c>
    </row>
    <row r="11">
      <c r="A11" s="38" t="inlineStr">
        <is>
          <t>Cost per trade (% notional)</t>
        </is>
      </c>
      <c r="B11" s="44">
        <f>B5*B6+B7</f>
        <v/>
      </c>
    </row>
    <row r="12">
      <c r="A12" s="38" t="inlineStr">
        <is>
          <t>Gross return on capital per trade</t>
        </is>
      </c>
      <c r="B12" s="44">
        <f>B9/B8</f>
        <v/>
      </c>
    </row>
    <row r="13">
      <c r="A13" s="38" t="inlineStr">
        <is>
          <t>ROC drag from costs</t>
        </is>
      </c>
      <c r="B13" s="44">
        <f>(B5*B6+B7)/B8</f>
        <v/>
      </c>
    </row>
    <row r="14">
      <c r="A14" s="38" t="inlineStr">
        <is>
          <t>NET return on capital per trade</t>
        </is>
      </c>
      <c r="B14" s="44">
        <f>(B9-B5*B6-B7)/B8</f>
        <v/>
      </c>
    </row>
    <row r="15">
      <c r="A15" s="38" t="inlineStr">
        <is>
          <t>Return lost per trade (points of ROC)</t>
        </is>
      </c>
      <c r="B15" s="44">
        <f>B12-B14</f>
        <v/>
      </c>
    </row>
    <row r="16">
      <c r="A16" s="38" t="inlineStr">
        <is>
          <t>15-year terminal impact, 2 trades/yr, after tax (× factor)</t>
        </is>
      </c>
      <c r="B16" s="45">
        <f>((1+B14*(1-B10))/(1+B12*(1-B10)))^30</f>
        <v/>
      </c>
    </row>
    <row r="18">
      <c r="A18" s="37" t="inlineStr">
        <is>
          <t>2 · MARGIN-HIKE TRAP  —  chance of capital being locked at a higher margin</t>
        </is>
      </c>
    </row>
    <row r="19">
      <c r="A19" s="38" t="inlineStr">
        <is>
          <t>Quiet-spike events observed</t>
        </is>
      </c>
      <c r="B19" s="46" t="n">
        <v>23</v>
      </c>
      <c r="C19" s="40" t="n"/>
    </row>
    <row r="20">
      <c r="A20" s="38" t="inlineStr">
        <is>
          <t>Observation years</t>
        </is>
      </c>
      <c r="B20" s="47" t="n">
        <v>16.4</v>
      </c>
      <c r="C20" s="40" t="n"/>
    </row>
    <row r="21">
      <c r="A21" s="38" t="inlineStr">
        <is>
          <t>Trading days per year</t>
        </is>
      </c>
      <c r="B21" s="46" t="n">
        <v>250</v>
      </c>
      <c r="C21" s="40" t="n"/>
    </row>
    <row r="22">
      <c r="A22" s="38" t="inlineStr">
        <is>
          <t>Trade window (days)</t>
        </is>
      </c>
      <c r="B22" s="46" t="n">
        <v>30</v>
      </c>
      <c r="C22" s="40" t="n"/>
    </row>
    <row r="23">
      <c r="A23" s="38" t="inlineStr">
        <is>
          <t>Margin before hike</t>
        </is>
      </c>
      <c r="B23" s="48">
        <f>B8</f>
        <v/>
      </c>
      <c r="C23" s="40" t="inlineStr">
        <is>
          <t>Linked to section 1</t>
        </is>
      </c>
    </row>
    <row r="24">
      <c r="A24" s="38" t="inlineStr">
        <is>
          <t>Margin after hike</t>
        </is>
      </c>
      <c r="B24" s="39" t="n">
        <v>0.4</v>
      </c>
      <c r="C24" s="40" t="n"/>
    </row>
    <row r="25">
      <c r="A25" s="38" t="inlineStr">
        <is>
          <t>Share of move still to come when hiked</t>
        </is>
      </c>
      <c r="B25" s="39" t="n">
        <v>0.5</v>
      </c>
      <c r="C25" s="40" t="n"/>
    </row>
    <row r="26">
      <c r="A26" s="38" t="inlineStr">
        <is>
          <t>Base gross ROC per trade</t>
        </is>
      </c>
      <c r="B26" s="48">
        <f>B12</f>
        <v/>
      </c>
      <c r="C26" s="40" t="inlineStr">
        <is>
          <t>Linked to section 1</t>
        </is>
      </c>
    </row>
    <row r="27">
      <c r="A27" s="38" t="inlineStr">
        <is>
          <t>Daily quiet-spike probability</t>
        </is>
      </c>
      <c r="B27" s="49">
        <f>B19/(B20*B21)</f>
        <v/>
      </c>
    </row>
    <row r="28">
      <c r="A28" s="38" t="inlineStr">
        <is>
          <t>Chance of a hike inside one trade window</t>
        </is>
      </c>
      <c r="B28" s="44">
        <f>1-(1-B19/(B20*B21))^B22</f>
        <v/>
      </c>
    </row>
    <row r="29">
      <c r="A29" s="38" t="inlineStr">
        <is>
          <t>Forced position cut if fully deployed</t>
        </is>
      </c>
      <c r="B29" s="44">
        <f>1-B23/B24</f>
        <v/>
      </c>
    </row>
    <row r="30">
      <c r="A30" s="38" t="inlineStr">
        <is>
          <t>Expected ROC haircut per trade</t>
        </is>
      </c>
      <c r="B30" s="44">
        <f>B28*B29*B25*B26</f>
        <v/>
      </c>
    </row>
    <row r="31">
      <c r="A31" s="38" t="inlineStr">
        <is>
          <t>Annualised return drag (2 trades/yr, after tax)</t>
        </is>
      </c>
      <c r="B31" s="44">
        <f>((1+(B26-B30)*(1-B10))^2)/((1+B26*(1-B10))^2)-1</f>
        <v/>
      </c>
    </row>
    <row r="32">
      <c r="A32" s="40" t="inlineStr">
        <is>
          <t>Rule: keep free collateral of at least 1 − (margin before ÷ margin after) of the corpus; another reason to stay below full Kelly.</t>
        </is>
      </c>
    </row>
    <row r="34">
      <c r="A34" s="37" t="inlineStr">
        <is>
          <t>3 · KELLY SIZING  —  how much of the corpus to put up as margin</t>
        </is>
      </c>
    </row>
    <row r="35">
      <c r="A35" s="38" t="inlineStr">
        <is>
          <t>Win probability p (YOUR estimate)</t>
        </is>
      </c>
      <c r="B35" s="50" t="n">
        <v>0.55</v>
      </c>
      <c r="C35" s="40" t="inlineStr">
        <is>
          <t>Not data-derived</t>
        </is>
      </c>
    </row>
    <row r="36">
      <c r="A36" s="38" t="inlineStr">
        <is>
          <t>Win return on capital b</t>
        </is>
      </c>
      <c r="B36" s="48">
        <f>B12</f>
        <v/>
      </c>
      <c r="C36" s="40" t="inlineStr">
        <is>
          <t>Linked to section 1</t>
        </is>
      </c>
    </row>
    <row r="37">
      <c r="A37" s="38" t="inlineStr">
        <is>
          <t>Stop-loss adverse move</t>
        </is>
      </c>
      <c r="B37" s="39" t="n">
        <v>0.07000000000000001</v>
      </c>
      <c r="C37" s="40" t="n"/>
    </row>
    <row r="38">
      <c r="A38" s="38" t="inlineStr">
        <is>
          <t>Margin %</t>
        </is>
      </c>
      <c r="B38" s="48">
        <f>B8</f>
        <v/>
      </c>
      <c r="C38" s="40" t="inlineStr">
        <is>
          <t>Linked to section 1</t>
        </is>
      </c>
    </row>
    <row r="39">
      <c r="A39" s="38" t="inlineStr">
        <is>
          <t>Loss per unit staked (stop ÷ margin)</t>
        </is>
      </c>
      <c r="B39" s="44">
        <f>B37/B38</f>
        <v/>
      </c>
    </row>
    <row r="40">
      <c r="A40" s="38" t="inlineStr">
        <is>
          <t>Full Kelly f* = p/a − (1−p)/b</t>
        </is>
      </c>
      <c r="B40" s="51">
        <f>B35/B39-(1-B35)/B36</f>
        <v/>
      </c>
    </row>
    <row r="41">
      <c r="A41" s="38" t="inlineStr">
        <is>
          <t>Deployable (capped at 100%)</t>
        </is>
      </c>
      <c r="B41" s="52">
        <f>MIN(B40,1)</f>
        <v/>
      </c>
    </row>
    <row r="42">
      <c r="A42" s="38" t="inlineStr">
        <is>
          <t>Half-Kelly (recommended)</t>
        </is>
      </c>
      <c r="B42" s="52">
        <f>MIN(B40/2,1)</f>
        <v/>
      </c>
    </row>
    <row r="43">
      <c r="A43" s="38" t="inlineStr">
        <is>
          <t>Expected log-growth per trade at half-Kelly</t>
        </is>
      </c>
      <c r="B43" s="53">
        <f>B35*LN(1+B42*B36)+(1-B35)*LN(1-B42*B39)</f>
        <v/>
      </c>
    </row>
    <row r="44">
      <c r="A44" s="38" t="inlineStr">
        <is>
          <t>Sanity check</t>
        </is>
      </c>
      <c r="B44" s="54">
        <f>IF(B40&gt;1,"⚠ Full Kelly is above 100% — your win rate / stop imply an unrealistic edge; size well below it","OK")</f>
        <v/>
      </c>
    </row>
    <row r="46">
      <c r="A46" s="55" t="inlineStr">
        <is>
          <t>Full-Kelly sensitivity  —  win probability (rows) × stop-loss move (columns)</t>
        </is>
      </c>
    </row>
    <row r="47">
      <c r="A47" s="56" t="inlineStr">
        <is>
          <t>p \ stop</t>
        </is>
      </c>
      <c r="B47" s="57" t="n">
        <v>0.05</v>
      </c>
      <c r="C47" s="57" t="n">
        <v>0.07000000000000001</v>
      </c>
      <c r="D47" s="57" t="n">
        <v>0.1</v>
      </c>
      <c r="E47" s="57" t="n">
        <v>0.12</v>
      </c>
      <c r="F47" s="57" t="n">
        <v>0.15</v>
      </c>
    </row>
    <row r="48">
      <c r="A48" s="50" t="n">
        <v>0.45</v>
      </c>
      <c r="B48" s="58">
        <f>$A48/(B$47/$B$38)-(1-$A48)/$B$36</f>
        <v/>
      </c>
      <c r="C48" s="58">
        <f>$A48/(C$47/$B$38)-(1-$A48)/$B$36</f>
        <v/>
      </c>
      <c r="D48" s="58">
        <f>$A48/(D$47/$B$38)-(1-$A48)/$B$36</f>
        <v/>
      </c>
      <c r="E48" s="58">
        <f>$A48/(E$47/$B$38)-(1-$A48)/$B$36</f>
        <v/>
      </c>
      <c r="F48" s="58">
        <f>$A48/(F$47/$B$38)-(1-$A48)/$B$36</f>
        <v/>
      </c>
    </row>
    <row r="49">
      <c r="A49" s="50" t="n">
        <v>0.5</v>
      </c>
      <c r="B49" s="58">
        <f>$A49/(B$47/$B$38)-(1-$A49)/$B$36</f>
        <v/>
      </c>
      <c r="C49" s="58">
        <f>$A49/(C$47/$B$38)-(1-$A49)/$B$36</f>
        <v/>
      </c>
      <c r="D49" s="58">
        <f>$A49/(D$47/$B$38)-(1-$A49)/$B$36</f>
        <v/>
      </c>
      <c r="E49" s="58">
        <f>$A49/(E$47/$B$38)-(1-$A49)/$B$36</f>
        <v/>
      </c>
      <c r="F49" s="58">
        <f>$A49/(F$47/$B$38)-(1-$A49)/$B$36</f>
        <v/>
      </c>
    </row>
    <row r="50">
      <c r="A50" s="50" t="n">
        <v>0.55</v>
      </c>
      <c r="B50" s="58">
        <f>$A50/(B$47/$B$38)-(1-$A50)/$B$36</f>
        <v/>
      </c>
      <c r="C50" s="58">
        <f>$A50/(C$47/$B$38)-(1-$A50)/$B$36</f>
        <v/>
      </c>
      <c r="D50" s="58">
        <f>$A50/(D$47/$B$38)-(1-$A50)/$B$36</f>
        <v/>
      </c>
      <c r="E50" s="58">
        <f>$A50/(E$47/$B$38)-(1-$A50)/$B$36</f>
        <v/>
      </c>
      <c r="F50" s="58">
        <f>$A50/(F$47/$B$38)-(1-$A50)/$B$36</f>
        <v/>
      </c>
    </row>
    <row r="51">
      <c r="A51" s="50" t="n">
        <v>0.6</v>
      </c>
      <c r="B51" s="58">
        <f>$A51/(B$47/$B$38)-(1-$A51)/$B$36</f>
        <v/>
      </c>
      <c r="C51" s="58">
        <f>$A51/(C$47/$B$38)-(1-$A51)/$B$36</f>
        <v/>
      </c>
      <c r="D51" s="58">
        <f>$A51/(D$47/$B$38)-(1-$A51)/$B$36</f>
        <v/>
      </c>
      <c r="E51" s="58">
        <f>$A51/(E$47/$B$38)-(1-$A51)/$B$36</f>
        <v/>
      </c>
      <c r="F51" s="58">
        <f>$A51/(F$47/$B$38)-(1-$A51)/$B$36</f>
        <v/>
      </c>
    </row>
    <row r="52">
      <c r="A52" s="50" t="n">
        <v>0.65</v>
      </c>
      <c r="B52" s="58">
        <f>$A52/(B$47/$B$38)-(1-$A52)/$B$36</f>
        <v/>
      </c>
      <c r="C52" s="58">
        <f>$A52/(C$47/$B$38)-(1-$A52)/$B$36</f>
        <v/>
      </c>
      <c r="D52" s="58">
        <f>$A52/(D$47/$B$38)-(1-$A52)/$B$36</f>
        <v/>
      </c>
      <c r="E52" s="58">
        <f>$A52/(E$47/$B$38)-(1-$A52)/$B$36</f>
        <v/>
      </c>
      <c r="F52" s="58">
        <f>$A52/(F$47/$B$38)-(1-$A52)/$B$36</f>
        <v/>
      </c>
    </row>
    <row r="53">
      <c r="A53" s="50" t="n">
        <v>0.7</v>
      </c>
      <c r="B53" s="58">
        <f>$A53/(B$47/$B$38)-(1-$A53)/$B$36</f>
        <v/>
      </c>
      <c r="C53" s="58">
        <f>$A53/(C$47/$B$38)-(1-$A53)/$B$36</f>
        <v/>
      </c>
      <c r="D53" s="58">
        <f>$A53/(D$47/$B$38)-(1-$A53)/$B$36</f>
        <v/>
      </c>
      <c r="E53" s="58">
        <f>$A53/(E$47/$B$38)-(1-$A53)/$B$36</f>
        <v/>
      </c>
      <c r="F53" s="58">
        <f>$A53/(F$47/$B$38)-(1-$A53)/$B$36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86" customWidth="1" min="3" max="3"/>
  </cols>
  <sheetData>
    <row r="1">
      <c r="A1" s="59" t="inlineStr">
        <is>
          <t>REBUILT ENGINE  ·  SHARED INPUTS</t>
        </is>
      </c>
    </row>
    <row r="2">
      <c r="A2" s="60" t="inlineStr">
        <is>
          <t>Blue cells drive every NG scenario tab. Edit here; the whole model reprices.</t>
        </is>
      </c>
    </row>
    <row r="3">
      <c r="A3" s="61" t="inlineStr">
        <is>
          <t>Parameter</t>
        </is>
      </c>
      <c r="B3" s="61" t="inlineStr">
        <is>
          <t>Value</t>
        </is>
      </c>
      <c r="C3" s="61" t="inlineStr">
        <is>
          <t>Basis</t>
        </is>
      </c>
    </row>
    <row r="4">
      <c r="A4" s="62" t="inlineStr">
        <is>
          <t>Tax rate (115BAA per-trade)</t>
        </is>
      </c>
      <c r="B4" s="63" t="n">
        <v>0.25168</v>
      </c>
      <c r="C4" s="64" t="inlineStr">
        <is>
          <t>Flat 22%+10% surch+4% cess; applied per trade (conservative vs annual assessment)</t>
        </is>
      </c>
    </row>
    <row r="5">
      <c r="A5" s="62" t="inlineStr">
        <is>
          <t>Roll + carry cost (% notional / trade)</t>
        </is>
      </c>
      <c r="B5" s="65" t="n">
        <v>0.005</v>
      </c>
      <c r="C5" s="64" t="inlineStr">
        <is>
          <t>PDF gives MARGIN term structure only, not price contango; 0.50% is a placeholder INPUT — replace with measured roll gaps</t>
        </is>
      </c>
    </row>
    <row r="6">
      <c r="A6" s="62" t="inlineStr">
        <is>
          <t>Txn + brokerage RT (% notional)</t>
        </is>
      </c>
      <c r="B6" s="63" t="n">
        <v>0.0005999999999999999</v>
      </c>
      <c r="C6" s="64" t="inlineStr">
        <is>
          <t>CTT 0.01% sell side + brokerage + stamp; round trip</t>
        </is>
      </c>
    </row>
    <row r="7">
      <c r="A7" s="62" t="inlineStr">
        <is>
          <t>Daily realized vol (for impact)</t>
        </is>
      </c>
      <c r="B7" s="65" t="n">
        <v>0.028</v>
      </c>
      <c r="C7" s="64" t="inlineStr">
        <is>
          <t>≈45% ann. vol (PDF leg avg) / √252</t>
        </is>
      </c>
    </row>
    <row r="8">
      <c r="A8" s="62" t="inlineStr">
        <is>
          <t>ADV notional (₹)</t>
        </is>
      </c>
      <c r="B8" s="66" t="n">
        <v>37800000000</v>
      </c>
      <c r="C8" s="64" t="inlineStr">
        <is>
          <t>≈100,000 lots/day (PDF 2025-26 legs) × 1,250 mmBtu × ₹302.4 ≈ ₹3,780 Cr</t>
        </is>
      </c>
    </row>
    <row r="9">
      <c r="A9" s="62" t="inlineStr">
        <is>
          <t>Max notional per position (₹)</t>
        </is>
      </c>
      <c r="B9" s="66" t="n">
        <v>3780000000</v>
      </c>
      <c r="C9" s="64" t="inlineStr">
        <is>
          <t>10% of ADV: ≤2%/day participation × ~5-day entry+exit. HARD liquidity ceiling</t>
        </is>
      </c>
    </row>
    <row r="10">
      <c r="A10" s="62" t="inlineStr">
        <is>
          <t>Idle-capital yield (liquid fund)</t>
        </is>
      </c>
      <c r="B10" s="67" t="n">
        <v>0.065</v>
      </c>
      <c r="C10" s="64" t="inlineStr">
        <is>
          <t>Undeployable capital above ceiling parked in liquid funds</t>
        </is>
      </c>
    </row>
    <row r="11">
      <c r="A11" s="62" t="inlineStr">
        <is>
          <t>GIFT gateway capital (₹)</t>
        </is>
      </c>
      <c r="B11" s="68" t="n">
        <v>200000000</v>
      </c>
      <c r="C11" s="64" t="inlineStr">
        <is>
          <t>₹20 Cr — corporate wrapper inflection from US ETF tab</t>
        </is>
      </c>
    </row>
    <row r="12">
      <c r="A12" s="62" t="inlineStr">
        <is>
          <t>Deployment fraction of corpus</t>
        </is>
      </c>
      <c r="B12" s="67" t="n">
        <v>1</v>
      </c>
      <c r="C12" s="64" t="inlineStr">
        <is>
          <t>Set &lt;1 to apply Kelly sizing from Kelly tab</t>
        </is>
      </c>
    </row>
    <row r="14">
      <c r="A14" s="69" t="inlineStr">
        <is>
          <t>PERSONAL TAX TABLES  —  new regime, used by the MCX Company vs Personal tab (business income of an individual trader)</t>
        </is>
      </c>
    </row>
    <row r="15">
      <c r="A15" s="56" t="inlineStr">
        <is>
          <t>Income above ₹ Cr</t>
        </is>
      </c>
      <c r="B15" s="56" t="inlineStr">
        <is>
          <t>Slab rate</t>
        </is>
      </c>
      <c r="C15" s="56" t="inlineStr">
        <is>
          <t>Rate step (used in the formula)</t>
        </is>
      </c>
    </row>
    <row r="16">
      <c r="A16" s="41" t="n">
        <v>0</v>
      </c>
      <c r="B16" s="50" t="n">
        <v>0</v>
      </c>
      <c r="C16" s="70">
        <f>B16</f>
        <v/>
      </c>
    </row>
    <row r="17">
      <c r="A17" s="41" t="n">
        <v>0.04</v>
      </c>
      <c r="B17" s="50" t="n">
        <v>0.05</v>
      </c>
      <c r="C17" s="70">
        <f>B17-B16</f>
        <v/>
      </c>
    </row>
    <row r="18">
      <c r="A18" s="41" t="n">
        <v>0.08</v>
      </c>
      <c r="B18" s="50" t="n">
        <v>0.1</v>
      </c>
      <c r="C18" s="70">
        <f>B18-B17</f>
        <v/>
      </c>
    </row>
    <row r="19">
      <c r="A19" s="41" t="n">
        <v>0.12</v>
      </c>
      <c r="B19" s="50" t="n">
        <v>0.15</v>
      </c>
      <c r="C19" s="70">
        <f>B19-B18</f>
        <v/>
      </c>
    </row>
    <row r="20">
      <c r="A20" s="41" t="n">
        <v>0.16</v>
      </c>
      <c r="B20" s="50" t="n">
        <v>0.2</v>
      </c>
      <c r="C20" s="70">
        <f>B20-B19</f>
        <v/>
      </c>
    </row>
    <row r="21">
      <c r="A21" s="41" t="n">
        <v>0.2</v>
      </c>
      <c r="B21" s="50" t="n">
        <v>0.25</v>
      </c>
      <c r="C21" s="70">
        <f>B21-B20</f>
        <v/>
      </c>
    </row>
    <row r="22">
      <c r="A22" s="41" t="n">
        <v>0.24</v>
      </c>
      <c r="B22" s="50" t="n">
        <v>0.3</v>
      </c>
      <c r="C22" s="70">
        <f>B22-B21</f>
        <v/>
      </c>
    </row>
    <row r="25">
      <c r="A25" s="56" t="inlineStr">
        <is>
          <t>Income above ₹ Cr</t>
        </is>
      </c>
      <c r="B25" s="56" t="inlineStr">
        <is>
          <t>Surcharge</t>
        </is>
      </c>
      <c r="C25" s="56" t="inlineStr">
        <is>
          <t>Note</t>
        </is>
      </c>
    </row>
    <row r="26">
      <c r="A26" s="47" t="n">
        <v>0</v>
      </c>
      <c r="B26" s="50" t="n">
        <v>0</v>
      </c>
      <c r="C26" s="38" t="inlineStr">
        <is>
          <t>Surcharge on total income; no marginal relief modelled (slightly conservative)</t>
        </is>
      </c>
    </row>
    <row r="27">
      <c r="A27" s="47" t="n">
        <v>0.5</v>
      </c>
      <c r="B27" s="50" t="n">
        <v>0.1</v>
      </c>
    </row>
    <row r="28">
      <c r="A28" s="47" t="n">
        <v>1</v>
      </c>
      <c r="B28" s="50" t="n">
        <v>0.15</v>
      </c>
    </row>
    <row r="29">
      <c r="A29" s="47" t="n">
        <v>2</v>
      </c>
      <c r="B29" s="50" t="n">
        <v>0.25</v>
      </c>
    </row>
    <row r="31">
      <c r="A31" s="38" t="inlineStr">
        <is>
          <t>Health &amp; education cess</t>
        </is>
      </c>
      <c r="B31" s="50" t="n">
        <v>0.04</v>
      </c>
    </row>
    <row r="32">
      <c r="A32" s="38" t="inlineStr">
        <is>
          <t>s.87A rebate: no tax up to ₹ Cr</t>
        </is>
      </c>
      <c r="B32" s="41" t="n">
        <v>0.12</v>
      </c>
      <c r="C32" s="40" t="inlineStr">
        <is>
          <t>Slabs as understood for FY2025-26 — confirm current slabs with your CA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2" customWidth="1" min="4" max="4"/>
    <col width="30" customWidth="1" min="6" max="6"/>
  </cols>
  <sheetData>
    <row r="1">
      <c r="A1" s="59" t="inlineStr">
        <is>
          <t>DYNAMIC MARGIN ↔ MOVE LINK</t>
        </is>
      </c>
    </row>
    <row r="2">
      <c r="A2" s="60" t="inlineStr">
        <is>
          <t>123 contract legs (2020-2026) from the PDF Leg Dynamics table — kills the Static Margin Fallacy.</t>
        </is>
      </c>
    </row>
    <row r="4">
      <c r="A4" s="61" t="inlineStr">
        <is>
          <t>Year</t>
        </is>
      </c>
      <c r="B4" s="61" t="inlineStr">
        <is>
          <t>Move %</t>
        </is>
      </c>
      <c r="C4" s="61" t="inlineStr">
        <is>
          <t>Avg Margin % during leg</t>
        </is>
      </c>
      <c r="D4" s="61" t="inlineStr">
        <is>
          <t>|Move| %</t>
        </is>
      </c>
      <c r="E4" s="61" t="inlineStr">
        <is>
          <t>Lev. Eff. (|move|/margin)</t>
        </is>
      </c>
    </row>
    <row r="5">
      <c r="A5" s="71" t="n">
        <v>2020</v>
      </c>
      <c r="B5" s="72" t="n">
        <v>-0.2431</v>
      </c>
      <c r="C5" s="72" t="n">
        <v>0.1412</v>
      </c>
      <c r="D5" s="72">
        <f>ABS(B5)</f>
        <v/>
      </c>
      <c r="E5" s="73">
        <f>D5/C5</f>
        <v/>
      </c>
    </row>
    <row r="6">
      <c r="A6" s="74" t="n">
        <v>2020</v>
      </c>
      <c r="B6" s="75" t="n">
        <v>-0.1927</v>
      </c>
      <c r="C6" s="75" t="n">
        <v>0.1153</v>
      </c>
      <c r="D6" s="75">
        <f>ABS(B6)</f>
        <v/>
      </c>
      <c r="E6" s="76">
        <f>D6/C6</f>
        <v/>
      </c>
    </row>
    <row r="7">
      <c r="A7" s="71" t="n">
        <v>2020</v>
      </c>
      <c r="B7" s="72" t="n">
        <v>0.1746</v>
      </c>
      <c r="C7" s="72" t="n">
        <v>0.1417</v>
      </c>
      <c r="D7" s="72">
        <f>ABS(B7)</f>
        <v/>
      </c>
      <c r="E7" s="73">
        <f>D7/C7</f>
        <v/>
      </c>
    </row>
    <row r="8">
      <c r="A8" s="74" t="n">
        <v>2020</v>
      </c>
      <c r="B8" s="75" t="n">
        <v>0.1665</v>
      </c>
      <c r="C8" s="75" t="n">
        <v>0.1297</v>
      </c>
      <c r="D8" s="75">
        <f>ABS(B8)</f>
        <v/>
      </c>
      <c r="E8" s="76">
        <f>D8/C8</f>
        <v/>
      </c>
    </row>
    <row r="9">
      <c r="A9" s="71" t="n">
        <v>2020</v>
      </c>
      <c r="B9" s="72" t="n">
        <v>-0.1842</v>
      </c>
      <c r="C9" s="72" t="n">
        <v>0.1728</v>
      </c>
      <c r="D9" s="72">
        <f>ABS(B9)</f>
        <v/>
      </c>
      <c r="E9" s="73">
        <f>D9/C9</f>
        <v/>
      </c>
    </row>
    <row r="10">
      <c r="A10" s="74" t="n">
        <v>2020</v>
      </c>
      <c r="B10" s="75" t="n">
        <v>-0.1901</v>
      </c>
      <c r="C10" s="75" t="n">
        <v>0.1709</v>
      </c>
      <c r="D10" s="75">
        <f>ABS(B10)</f>
        <v/>
      </c>
      <c r="E10" s="76">
        <f>D10/C10</f>
        <v/>
      </c>
    </row>
    <row r="11">
      <c r="A11" s="71" t="n">
        <v>2020</v>
      </c>
      <c r="B11" s="72" t="n">
        <v>0.2155</v>
      </c>
      <c r="C11" s="72" t="n">
        <v>0.2316</v>
      </c>
      <c r="D11" s="72">
        <f>ABS(B11)</f>
        <v/>
      </c>
      <c r="E11" s="73">
        <f>D11/C11</f>
        <v/>
      </c>
    </row>
    <row r="12">
      <c r="A12" s="74" t="n">
        <v>2020</v>
      </c>
      <c r="B12" s="75" t="n">
        <v>0.2158</v>
      </c>
      <c r="C12" s="75" t="n">
        <v>0.2428</v>
      </c>
      <c r="D12" s="75">
        <f>ABS(B12)</f>
        <v/>
      </c>
      <c r="E12" s="76">
        <f>D12/C12</f>
        <v/>
      </c>
    </row>
    <row r="13">
      <c r="A13" s="71" t="n">
        <v>2020</v>
      </c>
      <c r="B13" s="72" t="n">
        <v>-0.2978</v>
      </c>
      <c r="C13" s="72" t="n">
        <v>0.2164</v>
      </c>
      <c r="D13" s="72">
        <f>ABS(B13)</f>
        <v/>
      </c>
      <c r="E13" s="73">
        <f>D13/C13</f>
        <v/>
      </c>
    </row>
    <row r="14">
      <c r="A14" s="74" t="n">
        <v>2020</v>
      </c>
      <c r="B14" s="75" t="n">
        <v>-0.2316</v>
      </c>
      <c r="C14" s="75" t="n">
        <v>0.2691</v>
      </c>
      <c r="D14" s="75">
        <f>ABS(B14)</f>
        <v/>
      </c>
      <c r="E14" s="76">
        <f>D14/C14</f>
        <v/>
      </c>
    </row>
    <row r="15">
      <c r="A15" s="71" t="n">
        <v>2020</v>
      </c>
      <c r="B15" s="72" t="n">
        <v>-0.1927</v>
      </c>
      <c r="C15" s="72" t="n">
        <v>0.1675</v>
      </c>
      <c r="D15" s="72">
        <f>ABS(B15)</f>
        <v/>
      </c>
      <c r="E15" s="73">
        <f>D15/C15</f>
        <v/>
      </c>
    </row>
    <row r="16">
      <c r="A16" s="74" t="n">
        <v>2020</v>
      </c>
      <c r="B16" s="75" t="n">
        <v>0.209</v>
      </c>
      <c r="C16" s="75" t="n">
        <v>0.2228</v>
      </c>
      <c r="D16" s="75">
        <f>ABS(B16)</f>
        <v/>
      </c>
      <c r="E16" s="76">
        <f>D16/C16</f>
        <v/>
      </c>
    </row>
    <row r="17">
      <c r="A17" s="71" t="n">
        <v>2020</v>
      </c>
      <c r="B17" s="72" t="n">
        <v>0.433</v>
      </c>
      <c r="C17" s="72" t="n">
        <v>0.2528</v>
      </c>
      <c r="D17" s="72">
        <f>ABS(B17)</f>
        <v/>
      </c>
      <c r="E17" s="73">
        <f>D17/C17</f>
        <v/>
      </c>
    </row>
    <row r="18">
      <c r="A18" s="74" t="n">
        <v>2020</v>
      </c>
      <c r="B18" s="75" t="n">
        <v>0.3609</v>
      </c>
      <c r="C18" s="75" t="n">
        <v>0.2319</v>
      </c>
      <c r="D18" s="75">
        <f>ABS(B18)</f>
        <v/>
      </c>
      <c r="E18" s="76">
        <f>D18/C18</f>
        <v/>
      </c>
    </row>
    <row r="19">
      <c r="A19" s="71" t="n">
        <v>2020</v>
      </c>
      <c r="B19" s="72" t="n">
        <v>-0.2441</v>
      </c>
      <c r="C19" s="72" t="n">
        <v>0.2014</v>
      </c>
      <c r="D19" s="72">
        <f>ABS(B19)</f>
        <v/>
      </c>
      <c r="E19" s="73">
        <f>D19/C19</f>
        <v/>
      </c>
    </row>
    <row r="20">
      <c r="A20" s="74" t="n">
        <v>2020</v>
      </c>
      <c r="B20" s="75" t="n">
        <v>-0.1704</v>
      </c>
      <c r="C20" s="75" t="n">
        <v>0.1588</v>
      </c>
      <c r="D20" s="75">
        <f>ABS(B20)</f>
        <v/>
      </c>
      <c r="E20" s="76">
        <f>D20/C20</f>
        <v/>
      </c>
    </row>
    <row r="21">
      <c r="A21" s="71" t="n">
        <v>2020</v>
      </c>
      <c r="B21" s="72" t="n">
        <v>0.2207</v>
      </c>
      <c r="C21" s="72" t="n">
        <v>0.2353</v>
      </c>
      <c r="D21" s="72">
        <f>ABS(B21)</f>
        <v/>
      </c>
      <c r="E21" s="73">
        <f>D21/C21</f>
        <v/>
      </c>
    </row>
    <row r="22">
      <c r="A22" s="74" t="n">
        <v>2020</v>
      </c>
      <c r="B22" s="75" t="n">
        <v>-0.2124</v>
      </c>
      <c r="C22" s="75" t="n">
        <v>0.1487</v>
      </c>
      <c r="D22" s="75">
        <f>ABS(B22)</f>
        <v/>
      </c>
      <c r="E22" s="76">
        <f>D22/C22</f>
        <v/>
      </c>
    </row>
    <row r="23">
      <c r="A23" s="71" t="n">
        <v>2020</v>
      </c>
      <c r="B23" s="72" t="n">
        <v>-0.3027</v>
      </c>
      <c r="C23" s="72" t="n">
        <v>0.1553</v>
      </c>
      <c r="D23" s="72">
        <f>ABS(B23)</f>
        <v/>
      </c>
      <c r="E23" s="73">
        <f>D23/C23</f>
        <v/>
      </c>
    </row>
    <row r="24">
      <c r="A24" s="74" t="n">
        <v>2020</v>
      </c>
      <c r="B24" s="75" t="n">
        <v>0.154</v>
      </c>
      <c r="C24" s="75" t="n">
        <v>0.2152</v>
      </c>
      <c r="D24" s="75">
        <f>ABS(B24)</f>
        <v/>
      </c>
      <c r="E24" s="76">
        <f>D24/C24</f>
        <v/>
      </c>
    </row>
    <row r="25">
      <c r="A25" s="71" t="n">
        <v>2021</v>
      </c>
      <c r="B25" s="72" t="n">
        <v>-0.2063</v>
      </c>
      <c r="C25" s="72" t="n">
        <v>0.1997</v>
      </c>
      <c r="D25" s="72">
        <f>ABS(B25)</f>
        <v/>
      </c>
      <c r="E25" s="73">
        <f>D25/C25</f>
        <v/>
      </c>
    </row>
    <row r="26">
      <c r="A26" s="74" t="n">
        <v>2021</v>
      </c>
      <c r="B26" s="75" t="n">
        <v>0.3672</v>
      </c>
      <c r="C26" s="75" t="n">
        <v>0.2127</v>
      </c>
      <c r="D26" s="75">
        <f>ABS(B26)</f>
        <v/>
      </c>
      <c r="E26" s="76">
        <f>D26/C26</f>
        <v/>
      </c>
    </row>
    <row r="27">
      <c r="A27" s="71" t="n">
        <v>2021</v>
      </c>
      <c r="B27" s="72" t="n">
        <v>0.2075</v>
      </c>
      <c r="C27" s="72" t="n">
        <v>0.2348</v>
      </c>
      <c r="D27" s="72">
        <f>ABS(B27)</f>
        <v/>
      </c>
      <c r="E27" s="73">
        <f>D27/C27</f>
        <v/>
      </c>
    </row>
    <row r="28">
      <c r="A28" s="74" t="n">
        <v>2021</v>
      </c>
      <c r="B28" s="75" t="n">
        <v>0.1582</v>
      </c>
      <c r="C28" s="75" t="n">
        <v>0.1839</v>
      </c>
      <c r="D28" s="75">
        <f>ABS(B28)</f>
        <v/>
      </c>
      <c r="E28" s="76">
        <f>D28/C28</f>
        <v/>
      </c>
    </row>
    <row r="29">
      <c r="A29" s="71" t="n">
        <v>2021</v>
      </c>
      <c r="B29" s="72" t="n">
        <v>-0.174</v>
      </c>
      <c r="C29" s="72" t="n">
        <v>0.1449</v>
      </c>
      <c r="D29" s="72">
        <f>ABS(B29)</f>
        <v/>
      </c>
      <c r="E29" s="73">
        <f>D29/C29</f>
        <v/>
      </c>
    </row>
    <row r="30">
      <c r="A30" s="74" t="n">
        <v>2021</v>
      </c>
      <c r="B30" s="75" t="n">
        <v>0.2223</v>
      </c>
      <c r="C30" s="75" t="n">
        <v>0.1112</v>
      </c>
      <c r="D30" s="75">
        <f>ABS(B30)</f>
        <v/>
      </c>
      <c r="E30" s="76">
        <f>D30/C30</f>
        <v/>
      </c>
    </row>
    <row r="31">
      <c r="A31" s="71" t="n">
        <v>2021</v>
      </c>
      <c r="B31" s="72" t="n">
        <v>0.3473</v>
      </c>
      <c r="C31" s="72" t="n">
        <v>0.1226</v>
      </c>
      <c r="D31" s="72">
        <f>ABS(B31)</f>
        <v/>
      </c>
      <c r="E31" s="73">
        <f>D31/C31</f>
        <v/>
      </c>
    </row>
    <row r="32">
      <c r="A32" s="74" t="n">
        <v>2021</v>
      </c>
      <c r="B32" s="75" t="n">
        <v>0.1633</v>
      </c>
      <c r="C32" s="75" t="n">
        <v>0.1175</v>
      </c>
      <c r="D32" s="75">
        <f>ABS(B32)</f>
        <v/>
      </c>
      <c r="E32" s="76">
        <f>D32/C32</f>
        <v/>
      </c>
    </row>
    <row r="33">
      <c r="A33" s="71" t="n">
        <v>2021</v>
      </c>
      <c r="B33" s="72" t="n">
        <v>0.4003</v>
      </c>
      <c r="C33" s="72" t="n">
        <v>0.16</v>
      </c>
      <c r="D33" s="72">
        <f>ABS(B33)</f>
        <v/>
      </c>
      <c r="E33" s="73">
        <f>D33/C33</f>
        <v/>
      </c>
    </row>
    <row r="34">
      <c r="A34" s="74" t="n">
        <v>2021</v>
      </c>
      <c r="B34" s="75" t="n">
        <v>0.4764</v>
      </c>
      <c r="C34" s="75" t="n">
        <v>0.1966</v>
      </c>
      <c r="D34" s="75">
        <f>ABS(B34)</f>
        <v/>
      </c>
      <c r="E34" s="76">
        <f>D34/C34</f>
        <v/>
      </c>
    </row>
    <row r="35">
      <c r="A35" s="71" t="n">
        <v>2021</v>
      </c>
      <c r="B35" s="72" t="n">
        <v>0.1582</v>
      </c>
      <c r="C35" s="72" t="n">
        <v>0.2413</v>
      </c>
      <c r="D35" s="72">
        <f>ABS(B35)</f>
        <v/>
      </c>
      <c r="E35" s="73">
        <f>D35/C35</f>
        <v/>
      </c>
    </row>
    <row r="36">
      <c r="A36" s="74" t="n">
        <v>2021</v>
      </c>
      <c r="B36" s="75" t="n">
        <v>-0.2537</v>
      </c>
      <c r="C36" s="75" t="n">
        <v>0.2826</v>
      </c>
      <c r="D36" s="75">
        <f>ABS(B36)</f>
        <v/>
      </c>
      <c r="E36" s="76">
        <f>D36/C36</f>
        <v/>
      </c>
    </row>
    <row r="37">
      <c r="A37" s="71" t="n">
        <v>2021</v>
      </c>
      <c r="B37" s="72" t="n">
        <v>-0.1969</v>
      </c>
      <c r="C37" s="72" t="n">
        <v>0.2841</v>
      </c>
      <c r="D37" s="72">
        <f>ABS(B37)</f>
        <v/>
      </c>
      <c r="E37" s="73">
        <f>D37/C37</f>
        <v/>
      </c>
    </row>
    <row r="38">
      <c r="A38" s="74" t="n">
        <v>2021</v>
      </c>
      <c r="B38" s="75" t="n">
        <v>-0.366</v>
      </c>
      <c r="C38" s="75" t="n">
        <v>0.3106</v>
      </c>
      <c r="D38" s="75">
        <f>ABS(B38)</f>
        <v/>
      </c>
      <c r="E38" s="76">
        <f>D38/C38</f>
        <v/>
      </c>
    </row>
    <row r="39">
      <c r="A39" s="71" t="n">
        <v>2022</v>
      </c>
      <c r="B39" s="72" t="n">
        <v>-0.3089</v>
      </c>
      <c r="C39" s="72" t="n">
        <v>0.312</v>
      </c>
      <c r="D39" s="72">
        <f>ABS(B39)</f>
        <v/>
      </c>
      <c r="E39" s="73">
        <f>D39/C39</f>
        <v/>
      </c>
    </row>
    <row r="40">
      <c r="A40" s="74" t="n">
        <v>2022</v>
      </c>
      <c r="B40" s="75" t="n">
        <v>0.5343</v>
      </c>
      <c r="C40" s="75" t="n">
        <v>0.2503</v>
      </c>
      <c r="D40" s="75">
        <f>ABS(B40)</f>
        <v/>
      </c>
      <c r="E40" s="76">
        <f>D40/C40</f>
        <v/>
      </c>
    </row>
    <row r="41">
      <c r="A41" s="71" t="n">
        <v>2022</v>
      </c>
      <c r="B41" s="72" t="n">
        <v>0.2662</v>
      </c>
      <c r="C41" s="72" t="n">
        <v>0.2663</v>
      </c>
      <c r="D41" s="72">
        <f>ABS(B41)</f>
        <v/>
      </c>
      <c r="E41" s="73">
        <f>D41/C41</f>
        <v/>
      </c>
    </row>
    <row r="42">
      <c r="A42" s="74" t="n">
        <v>2022</v>
      </c>
      <c r="B42" s="75" t="n">
        <v>-0.176</v>
      </c>
      <c r="C42" s="75" t="n">
        <v>0.3123</v>
      </c>
      <c r="D42" s="75">
        <f>ABS(B42)</f>
        <v/>
      </c>
      <c r="E42" s="76">
        <f>D42/C42</f>
        <v/>
      </c>
    </row>
    <row r="43">
      <c r="A43" s="71" t="n">
        <v>2022</v>
      </c>
      <c r="B43" s="72" t="n">
        <v>0.1798</v>
      </c>
      <c r="C43" s="72" t="n">
        <v>0.2608</v>
      </c>
      <c r="D43" s="72">
        <f>ABS(B43)</f>
        <v/>
      </c>
      <c r="E43" s="73">
        <f>D43/C43</f>
        <v/>
      </c>
    </row>
    <row r="44">
      <c r="A44" s="74" t="n">
        <v>2022</v>
      </c>
      <c r="B44" s="75" t="n">
        <v>-0.2778</v>
      </c>
      <c r="C44" s="75" t="n">
        <v>0.4162</v>
      </c>
      <c r="D44" s="75">
        <f>ABS(B44)</f>
        <v/>
      </c>
      <c r="E44" s="76">
        <f>D44/C44</f>
        <v/>
      </c>
    </row>
    <row r="45">
      <c r="A45" s="71" t="n">
        <v>2022</v>
      </c>
      <c r="B45" s="72" t="n">
        <v>-0.2081</v>
      </c>
      <c r="C45" s="72" t="n">
        <v>0.3021</v>
      </c>
      <c r="D45" s="72">
        <f>ABS(B45)</f>
        <v/>
      </c>
      <c r="E45" s="73">
        <f>D45/C45</f>
        <v/>
      </c>
    </row>
    <row r="46">
      <c r="A46" s="74" t="n">
        <v>2022</v>
      </c>
      <c r="B46" s="75" t="n">
        <v>0.3437</v>
      </c>
      <c r="C46" s="75" t="n">
        <v>0.2723</v>
      </c>
      <c r="D46" s="75">
        <f>ABS(B46)</f>
        <v/>
      </c>
      <c r="E46" s="76">
        <f>D46/C46</f>
        <v/>
      </c>
    </row>
    <row r="47">
      <c r="A47" s="71" t="n">
        <v>2022</v>
      </c>
      <c r="B47" s="72" t="n">
        <v>0.7635</v>
      </c>
      <c r="C47" s="72" t="n">
        <v>0.234</v>
      </c>
      <c r="D47" s="72">
        <f>ABS(B47)</f>
        <v/>
      </c>
      <c r="E47" s="73">
        <f>D47/C47</f>
        <v/>
      </c>
    </row>
    <row r="48">
      <c r="A48" s="74" t="n">
        <v>2022</v>
      </c>
      <c r="B48" s="75" t="n">
        <v>0.6106</v>
      </c>
      <c r="C48" s="75" t="n">
        <v>0.2375</v>
      </c>
      <c r="D48" s="75">
        <f>ABS(B48)</f>
        <v/>
      </c>
      <c r="E48" s="76">
        <f>D48/C48</f>
        <v/>
      </c>
    </row>
    <row r="49">
      <c r="A49" s="71" t="n">
        <v>2022</v>
      </c>
      <c r="B49" s="72" t="n">
        <v>0.3325</v>
      </c>
      <c r="C49" s="72" t="n">
        <v>0.2726</v>
      </c>
      <c r="D49" s="72">
        <f>ABS(B49)</f>
        <v/>
      </c>
      <c r="E49" s="73">
        <f>D49/C49</f>
        <v/>
      </c>
    </row>
    <row r="50">
      <c r="A50" s="74" t="n">
        <v>2022</v>
      </c>
      <c r="B50" s="75" t="n">
        <v>0.1584</v>
      </c>
      <c r="C50" s="75" t="n">
        <v>0.294</v>
      </c>
      <c r="D50" s="75">
        <f>ABS(B50)</f>
        <v/>
      </c>
      <c r="E50" s="76">
        <f>D50/C50</f>
        <v/>
      </c>
    </row>
    <row r="51">
      <c r="A51" s="71" t="n">
        <v>2022</v>
      </c>
      <c r="B51" s="72" t="n">
        <v>-0.4029</v>
      </c>
      <c r="C51" s="72" t="n">
        <v>0.3114</v>
      </c>
      <c r="D51" s="72">
        <f>ABS(B51)</f>
        <v/>
      </c>
      <c r="E51" s="73">
        <f>D51/C51</f>
        <v/>
      </c>
    </row>
    <row r="52">
      <c r="A52" s="74" t="n">
        <v>2022</v>
      </c>
      <c r="B52" s="75" t="n">
        <v>-0.2807</v>
      </c>
      <c r="C52" s="75" t="n">
        <v>0.2989</v>
      </c>
      <c r="D52" s="75">
        <f>ABS(B52)</f>
        <v/>
      </c>
      <c r="E52" s="76">
        <f>D52/C52</f>
        <v/>
      </c>
    </row>
    <row r="53">
      <c r="A53" s="71" t="n">
        <v>2022</v>
      </c>
      <c r="B53" s="72" t="n">
        <v>-0.1838</v>
      </c>
      <c r="C53" s="72" t="n">
        <v>0.3617</v>
      </c>
      <c r="D53" s="72">
        <f>ABS(B53)</f>
        <v/>
      </c>
      <c r="E53" s="73">
        <f>D53/C53</f>
        <v/>
      </c>
    </row>
    <row r="54">
      <c r="A54" s="74" t="n">
        <v>2022</v>
      </c>
      <c r="B54" s="75" t="n">
        <v>0.7156</v>
      </c>
      <c r="C54" s="75" t="n">
        <v>0.3367</v>
      </c>
      <c r="D54" s="75">
        <f>ABS(B54)</f>
        <v/>
      </c>
      <c r="E54" s="76">
        <f>D54/C54</f>
        <v/>
      </c>
    </row>
    <row r="55">
      <c r="A55" s="71" t="n">
        <v>2022</v>
      </c>
      <c r="B55" s="72" t="n">
        <v>0.4761</v>
      </c>
      <c r="C55" s="72" t="n">
        <v>0.3755</v>
      </c>
      <c r="D55" s="72">
        <f>ABS(B55)</f>
        <v/>
      </c>
      <c r="E55" s="73">
        <f>D55/C55</f>
        <v/>
      </c>
    </row>
    <row r="56">
      <c r="A56" s="74" t="n">
        <v>2022</v>
      </c>
      <c r="B56" s="75" t="n">
        <v>0.2693</v>
      </c>
      <c r="C56" s="75" t="n">
        <v>0.2649</v>
      </c>
      <c r="D56" s="75">
        <f>ABS(B56)</f>
        <v/>
      </c>
      <c r="E56" s="76">
        <f>D56/C56</f>
        <v/>
      </c>
    </row>
    <row r="57">
      <c r="A57" s="71" t="n">
        <v>2022</v>
      </c>
      <c r="B57" s="72" t="n">
        <v>-0.2303</v>
      </c>
      <c r="C57" s="72" t="n">
        <v>0.2338</v>
      </c>
      <c r="D57" s="72">
        <f>ABS(B57)</f>
        <v/>
      </c>
      <c r="E57" s="73">
        <f>D57/C57</f>
        <v/>
      </c>
    </row>
    <row r="58">
      <c r="A58" s="74" t="n">
        <v>2022</v>
      </c>
      <c r="B58" s="75" t="n">
        <v>-0.4567</v>
      </c>
      <c r="C58" s="75" t="n">
        <v>0.2275</v>
      </c>
      <c r="D58" s="75">
        <f>ABS(B58)</f>
        <v/>
      </c>
      <c r="E58" s="76">
        <f>D58/C58</f>
        <v/>
      </c>
    </row>
    <row r="59">
      <c r="A59" s="71" t="n">
        <v>2022</v>
      </c>
      <c r="B59" s="72" t="n">
        <v>-0.2441</v>
      </c>
      <c r="C59" s="72" t="n">
        <v>0.2062</v>
      </c>
      <c r="D59" s="72">
        <f>ABS(B59)</f>
        <v/>
      </c>
      <c r="E59" s="73">
        <f>D59/C59</f>
        <v/>
      </c>
    </row>
    <row r="60">
      <c r="A60" s="74" t="n">
        <v>2022</v>
      </c>
      <c r="B60" s="75" t="n">
        <v>0.2785</v>
      </c>
      <c r="C60" s="75" t="n">
        <v>0.2803</v>
      </c>
      <c r="D60" s="75">
        <f>ABS(B60)</f>
        <v/>
      </c>
      <c r="E60" s="76">
        <f>D60/C60</f>
        <v/>
      </c>
    </row>
    <row r="61">
      <c r="A61" s="71" t="n">
        <v>2022</v>
      </c>
      <c r="B61" s="72" t="n">
        <v>0.2692</v>
      </c>
      <c r="C61" s="72" t="n">
        <v>0.303</v>
      </c>
      <c r="D61" s="72">
        <f>ABS(B61)</f>
        <v/>
      </c>
      <c r="E61" s="73">
        <f>D61/C61</f>
        <v/>
      </c>
    </row>
    <row r="62">
      <c r="A62" s="74" t="n">
        <v>2022</v>
      </c>
      <c r="B62" s="75" t="n">
        <v>-0.1809</v>
      </c>
      <c r="C62" s="75" t="n">
        <v>0.4041</v>
      </c>
      <c r="D62" s="75">
        <f>ABS(B62)</f>
        <v/>
      </c>
      <c r="E62" s="76">
        <f>D62/C62</f>
        <v/>
      </c>
    </row>
    <row r="63">
      <c r="A63" s="71" t="n">
        <v>2022</v>
      </c>
      <c r="B63" s="72" t="n">
        <v>-0.3157</v>
      </c>
      <c r="C63" s="72" t="n">
        <v>0.3341</v>
      </c>
      <c r="D63" s="72">
        <f>ABS(B63)</f>
        <v/>
      </c>
      <c r="E63" s="73">
        <f>D63/C63</f>
        <v/>
      </c>
    </row>
    <row r="64">
      <c r="A64" s="74" t="n">
        <v>2023</v>
      </c>
      <c r="B64" s="75" t="n">
        <v>-0.5482</v>
      </c>
      <c r="C64" s="75" t="n">
        <v>0.3509</v>
      </c>
      <c r="D64" s="75">
        <f>ABS(B64)</f>
        <v/>
      </c>
      <c r="E64" s="76">
        <f>D64/C64</f>
        <v/>
      </c>
    </row>
    <row r="65">
      <c r="A65" s="71" t="n">
        <v>2023</v>
      </c>
      <c r="B65" s="72" t="n">
        <v>-0.5364</v>
      </c>
      <c r="C65" s="72" t="n">
        <v>0.2973</v>
      </c>
      <c r="D65" s="72">
        <f>ABS(B65)</f>
        <v/>
      </c>
      <c r="E65" s="73">
        <f>D65/C65</f>
        <v/>
      </c>
    </row>
    <row r="66">
      <c r="A66" s="74" t="n">
        <v>2023</v>
      </c>
      <c r="B66" s="75" t="n">
        <v>-0.2433</v>
      </c>
      <c r="C66" s="75" t="n">
        <v>0.2394</v>
      </c>
      <c r="D66" s="75">
        <f>ABS(B66)</f>
        <v/>
      </c>
      <c r="E66" s="76">
        <f>D66/C66</f>
        <v/>
      </c>
    </row>
    <row r="67">
      <c r="A67" s="71" t="n">
        <v>2023</v>
      </c>
      <c r="B67" s="72" t="n">
        <v>0.3183</v>
      </c>
      <c r="C67" s="72" t="n">
        <v>0.2682</v>
      </c>
      <c r="D67" s="72">
        <f>ABS(B67)</f>
        <v/>
      </c>
      <c r="E67" s="73">
        <f>D67/C67</f>
        <v/>
      </c>
    </row>
    <row r="68">
      <c r="A68" s="74" t="n">
        <v>2023</v>
      </c>
      <c r="B68" s="75" t="n">
        <v>-0.3534</v>
      </c>
      <c r="C68" s="75" t="n">
        <v>0.2627</v>
      </c>
      <c r="D68" s="75">
        <f>ABS(B68)</f>
        <v/>
      </c>
      <c r="E68" s="76">
        <f>D68/C68</f>
        <v/>
      </c>
    </row>
    <row r="69">
      <c r="A69" s="71" t="n">
        <v>2023</v>
      </c>
      <c r="B69" s="72" t="n">
        <v>-0.2704</v>
      </c>
      <c r="C69" s="72" t="n">
        <v>0.3277</v>
      </c>
      <c r="D69" s="72">
        <f>ABS(B69)</f>
        <v/>
      </c>
      <c r="E69" s="73">
        <f>D69/C69</f>
        <v/>
      </c>
    </row>
    <row r="70">
      <c r="A70" s="74" t="n">
        <v>2023</v>
      </c>
      <c r="B70" s="75" t="n">
        <v>-0.1641</v>
      </c>
      <c r="C70" s="75" t="n">
        <v>0.2261</v>
      </c>
      <c r="D70" s="75">
        <f>ABS(B70)</f>
        <v/>
      </c>
      <c r="E70" s="76">
        <f>D70/C70</f>
        <v/>
      </c>
    </row>
    <row r="71">
      <c r="A71" s="71" t="n">
        <v>2023</v>
      </c>
      <c r="B71" s="72" t="n">
        <v>0.2302</v>
      </c>
      <c r="C71" s="72" t="n">
        <v>0.2139</v>
      </c>
      <c r="D71" s="72">
        <f>ABS(B71)</f>
        <v/>
      </c>
      <c r="E71" s="73">
        <f>D71/C71</f>
        <v/>
      </c>
    </row>
    <row r="72">
      <c r="A72" s="74" t="n">
        <v>2023</v>
      </c>
      <c r="B72" s="75" t="n">
        <v>0.1775</v>
      </c>
      <c r="C72" s="75" t="n">
        <v>0.1872</v>
      </c>
      <c r="D72" s="75">
        <f>ABS(B72)</f>
        <v/>
      </c>
      <c r="E72" s="76">
        <f>D72/C72</f>
        <v/>
      </c>
    </row>
    <row r="73">
      <c r="A73" s="71" t="n">
        <v>2023</v>
      </c>
      <c r="B73" s="72" t="n">
        <v>-0.1996</v>
      </c>
      <c r="C73" s="72" t="n">
        <v>0.2011</v>
      </c>
      <c r="D73" s="72">
        <f>ABS(B73)</f>
        <v/>
      </c>
      <c r="E73" s="73">
        <f>D73/C73</f>
        <v/>
      </c>
    </row>
    <row r="74">
      <c r="A74" s="74" t="n">
        <v>2023</v>
      </c>
      <c r="B74" s="75" t="n">
        <v>0.2383</v>
      </c>
      <c r="C74" s="75" t="n">
        <v>0.1868</v>
      </c>
      <c r="D74" s="75">
        <f>ABS(B74)</f>
        <v/>
      </c>
      <c r="E74" s="76">
        <f>D74/C74</f>
        <v/>
      </c>
    </row>
    <row r="75">
      <c r="A75" s="71" t="n">
        <v>2023</v>
      </c>
      <c r="B75" s="72" t="n">
        <v>0.2139</v>
      </c>
      <c r="C75" s="72" t="n">
        <v>0.1965</v>
      </c>
      <c r="D75" s="72">
        <f>ABS(B75)</f>
        <v/>
      </c>
      <c r="E75" s="73">
        <f>D75/C75</f>
        <v/>
      </c>
    </row>
    <row r="76">
      <c r="A76" s="74" t="n">
        <v>2023</v>
      </c>
      <c r="B76" s="75" t="n">
        <v>0.1671</v>
      </c>
      <c r="C76" s="75" t="n">
        <v>0.161</v>
      </c>
      <c r="D76" s="75">
        <f>ABS(B76)</f>
        <v/>
      </c>
      <c r="E76" s="76">
        <f>D76/C76</f>
        <v/>
      </c>
    </row>
    <row r="77">
      <c r="A77" s="71" t="n">
        <v>2023</v>
      </c>
      <c r="B77" s="72" t="n">
        <v>0.1859</v>
      </c>
      <c r="C77" s="72" t="n">
        <v>0.1795</v>
      </c>
      <c r="D77" s="72">
        <f>ABS(B77)</f>
        <v/>
      </c>
      <c r="E77" s="73">
        <f>D77/C77</f>
        <v/>
      </c>
    </row>
    <row r="78">
      <c r="A78" s="74" t="n">
        <v>2023</v>
      </c>
      <c r="B78" s="75" t="n">
        <v>-0.1594</v>
      </c>
      <c r="C78" s="75" t="n">
        <v>0.1793</v>
      </c>
      <c r="D78" s="75">
        <f>ABS(B78)</f>
        <v/>
      </c>
      <c r="E78" s="76">
        <f>D78/C78</f>
        <v/>
      </c>
    </row>
    <row r="79">
      <c r="A79" s="71" t="n">
        <v>2023</v>
      </c>
      <c r="B79" s="72" t="n">
        <v>-0.1506</v>
      </c>
      <c r="C79" s="72" t="n">
        <v>0.2155</v>
      </c>
      <c r="D79" s="72">
        <f>ABS(B79)</f>
        <v/>
      </c>
      <c r="E79" s="73">
        <f>D79/C79</f>
        <v/>
      </c>
    </row>
    <row r="80">
      <c r="A80" s="74" t="n">
        <v>2023</v>
      </c>
      <c r="B80" s="75" t="n">
        <v>0.1864</v>
      </c>
      <c r="C80" s="75" t="n">
        <v>0.1374</v>
      </c>
      <c r="D80" s="75">
        <f>ABS(B80)</f>
        <v/>
      </c>
      <c r="E80" s="76">
        <f>D80/C80</f>
        <v/>
      </c>
    </row>
    <row r="81">
      <c r="A81" s="71" t="n">
        <v>2023</v>
      </c>
      <c r="B81" s="72" t="n">
        <v>-0.2143</v>
      </c>
      <c r="C81" s="72" t="n">
        <v>0.165</v>
      </c>
      <c r="D81" s="72">
        <f>ABS(B81)</f>
        <v/>
      </c>
      <c r="E81" s="73">
        <f>D81/C81</f>
        <v/>
      </c>
    </row>
    <row r="82">
      <c r="A82" s="74" t="n">
        <v>2023</v>
      </c>
      <c r="B82" s="75" t="n">
        <v>-0.389</v>
      </c>
      <c r="C82" s="75" t="n">
        <v>0.1698</v>
      </c>
      <c r="D82" s="75">
        <f>ABS(B82)</f>
        <v/>
      </c>
      <c r="E82" s="76">
        <f>D82/C82</f>
        <v/>
      </c>
    </row>
    <row r="83">
      <c r="A83" s="71" t="n">
        <v>2024</v>
      </c>
      <c r="B83" s="72" t="n">
        <v>-0.2158</v>
      </c>
      <c r="C83" s="72" t="n">
        <v>0.2071</v>
      </c>
      <c r="D83" s="72">
        <f>ABS(B83)</f>
        <v/>
      </c>
      <c r="E83" s="73">
        <f>D83/C83</f>
        <v/>
      </c>
    </row>
    <row r="84">
      <c r="A84" s="74" t="n">
        <v>2024</v>
      </c>
      <c r="B84" s="75" t="n">
        <v>0.4391</v>
      </c>
      <c r="C84" s="75" t="n">
        <v>0.2341</v>
      </c>
      <c r="D84" s="75">
        <f>ABS(B84)</f>
        <v/>
      </c>
      <c r="E84" s="76">
        <f>D84/C84</f>
        <v/>
      </c>
    </row>
    <row r="85">
      <c r="A85" s="71" t="n">
        <v>2024</v>
      </c>
      <c r="B85" s="72" t="n">
        <v>-0.4291</v>
      </c>
      <c r="C85" s="72" t="n">
        <v>0.2149</v>
      </c>
      <c r="D85" s="72">
        <f>ABS(B85)</f>
        <v/>
      </c>
      <c r="E85" s="73">
        <f>D85/C85</f>
        <v/>
      </c>
    </row>
    <row r="86">
      <c r="A86" s="74" t="n">
        <v>2024</v>
      </c>
      <c r="B86" s="75" t="n">
        <v>-0.2303</v>
      </c>
      <c r="C86" s="75" t="n">
        <v>0.3311</v>
      </c>
      <c r="D86" s="75">
        <f>ABS(B86)</f>
        <v/>
      </c>
      <c r="E86" s="76">
        <f>D86/C86</f>
        <v/>
      </c>
    </row>
    <row r="87">
      <c r="A87" s="71" t="n">
        <v>2024</v>
      </c>
      <c r="B87" s="72" t="n">
        <v>-0.255</v>
      </c>
      <c r="C87" s="72" t="n">
        <v>0.1983</v>
      </c>
      <c r="D87" s="72">
        <f>ABS(B87)</f>
        <v/>
      </c>
      <c r="E87" s="73">
        <f>D87/C87</f>
        <v/>
      </c>
    </row>
    <row r="88">
      <c r="A88" s="74" t="n">
        <v>2024</v>
      </c>
      <c r="B88" s="75" t="n">
        <v>0.1766</v>
      </c>
      <c r="C88" s="75" t="n">
        <v>0.2445</v>
      </c>
      <c r="D88" s="75">
        <f>ABS(B88)</f>
        <v/>
      </c>
      <c r="E88" s="76">
        <f>D88/C88</f>
        <v/>
      </c>
    </row>
    <row r="89">
      <c r="A89" s="71" t="n">
        <v>2024</v>
      </c>
      <c r="B89" s="72" t="n">
        <v>-0.1945</v>
      </c>
      <c r="C89" s="72" t="n">
        <v>0.1954</v>
      </c>
      <c r="D89" s="72">
        <f>ABS(B89)</f>
        <v/>
      </c>
      <c r="E89" s="73">
        <f>D89/C89</f>
        <v/>
      </c>
    </row>
    <row r="90">
      <c r="A90" s="74" t="n">
        <v>2024</v>
      </c>
      <c r="B90" s="75" t="n">
        <v>0.3429</v>
      </c>
      <c r="C90" s="75" t="n">
        <v>0.1784</v>
      </c>
      <c r="D90" s="75">
        <f>ABS(B90)</f>
        <v/>
      </c>
      <c r="E90" s="76">
        <f>D90/C90</f>
        <v/>
      </c>
    </row>
    <row r="91">
      <c r="A91" s="71" t="n">
        <v>2024</v>
      </c>
      <c r="B91" s="72" t="n">
        <v>0.4592</v>
      </c>
      <c r="C91" s="72" t="n">
        <v>0.1767</v>
      </c>
      <c r="D91" s="72">
        <f>ABS(B91)</f>
        <v/>
      </c>
      <c r="E91" s="73">
        <f>D91/C91</f>
        <v/>
      </c>
    </row>
    <row r="92">
      <c r="A92" s="74" t="n">
        <v>2024</v>
      </c>
      <c r="B92" s="75" t="n">
        <v>0.1768</v>
      </c>
      <c r="C92" s="75" t="n">
        <v>0.1792</v>
      </c>
      <c r="D92" s="75">
        <f>ABS(B92)</f>
        <v/>
      </c>
      <c r="E92" s="76">
        <f>D92/C92</f>
        <v/>
      </c>
    </row>
    <row r="93">
      <c r="A93" s="71" t="n">
        <v>2024</v>
      </c>
      <c r="B93" s="72" t="n">
        <v>-0.35</v>
      </c>
      <c r="C93" s="72" t="n">
        <v>0.202</v>
      </c>
      <c r="D93" s="72">
        <f>ABS(B93)</f>
        <v/>
      </c>
      <c r="E93" s="73">
        <f>D93/C93</f>
        <v/>
      </c>
    </row>
    <row r="94">
      <c r="A94" s="74" t="n">
        <v>2024</v>
      </c>
      <c r="B94" s="75" t="n">
        <v>-0.2462</v>
      </c>
      <c r="C94" s="75" t="n">
        <v>0.1859</v>
      </c>
      <c r="D94" s="75">
        <f>ABS(B94)</f>
        <v/>
      </c>
      <c r="E94" s="76">
        <f>D94/C94</f>
        <v/>
      </c>
    </row>
    <row r="95">
      <c r="A95" s="71" t="n">
        <v>2024</v>
      </c>
      <c r="B95" s="72" t="n">
        <v>0.1649</v>
      </c>
      <c r="C95" s="72" t="n">
        <v>0.182</v>
      </c>
      <c r="D95" s="72">
        <f>ABS(B95)</f>
        <v/>
      </c>
      <c r="E95" s="73">
        <f>D95/C95</f>
        <v/>
      </c>
    </row>
    <row r="96">
      <c r="A96" s="74" t="n">
        <v>2024</v>
      </c>
      <c r="B96" s="75" t="n">
        <v>0.1827</v>
      </c>
      <c r="C96" s="75" t="n">
        <v>0.1605</v>
      </c>
      <c r="D96" s="75">
        <f>ABS(B96)</f>
        <v/>
      </c>
      <c r="E96" s="76">
        <f>D96/C96</f>
        <v/>
      </c>
    </row>
    <row r="97">
      <c r="A97" s="71" t="n">
        <v>2024</v>
      </c>
      <c r="B97" s="72" t="n">
        <v>-0.204</v>
      </c>
      <c r="C97" s="72" t="n">
        <v>0.1877</v>
      </c>
      <c r="D97" s="72">
        <f>ABS(B97)</f>
        <v/>
      </c>
      <c r="E97" s="73">
        <f>D97/C97</f>
        <v/>
      </c>
    </row>
    <row r="98">
      <c r="A98" s="74" t="n">
        <v>2024</v>
      </c>
      <c r="B98" s="75" t="n">
        <v>-0.2339</v>
      </c>
      <c r="C98" s="75" t="n">
        <v>0.1805</v>
      </c>
      <c r="D98" s="75">
        <f>ABS(B98)</f>
        <v/>
      </c>
      <c r="E98" s="76">
        <f>D98/C98</f>
        <v/>
      </c>
    </row>
    <row r="99">
      <c r="A99" s="71" t="n">
        <v>2024</v>
      </c>
      <c r="B99" s="72" t="n">
        <v>0.1922</v>
      </c>
      <c r="C99" s="72" t="n">
        <v>0.2252</v>
      </c>
      <c r="D99" s="72">
        <f>ABS(B99)</f>
        <v/>
      </c>
      <c r="E99" s="73">
        <f>D99/C99</f>
        <v/>
      </c>
    </row>
    <row r="100">
      <c r="A100" s="74" t="n">
        <v>2024</v>
      </c>
      <c r="B100" s="75" t="n">
        <v>0.2964</v>
      </c>
      <c r="C100" s="75" t="n">
        <v>0.2093</v>
      </c>
      <c r="D100" s="75">
        <f>ABS(B100)</f>
        <v/>
      </c>
      <c r="E100" s="76">
        <f>D100/C100</f>
        <v/>
      </c>
    </row>
    <row r="101">
      <c r="A101" s="71" t="n">
        <v>2025</v>
      </c>
      <c r="B101" s="72" t="n">
        <v>0.4303</v>
      </c>
      <c r="C101" s="72" t="n">
        <v>0.3019</v>
      </c>
      <c r="D101" s="72">
        <f>ABS(B101)</f>
        <v/>
      </c>
      <c r="E101" s="73">
        <f>D101/C101</f>
        <v/>
      </c>
    </row>
    <row r="102">
      <c r="A102" s="74" t="n">
        <v>2025</v>
      </c>
      <c r="B102" s="75" t="n">
        <v>0.4693</v>
      </c>
      <c r="C102" s="75" t="n">
        <v>0.2364</v>
      </c>
      <c r="D102" s="75">
        <f>ABS(B102)</f>
        <v/>
      </c>
      <c r="E102" s="76">
        <f>D102/C102</f>
        <v/>
      </c>
    </row>
    <row r="103">
      <c r="A103" s="71" t="n">
        <v>2025</v>
      </c>
      <c r="B103" s="72" t="n">
        <v>0.4703</v>
      </c>
      <c r="C103" s="72" t="n">
        <v>0.2269</v>
      </c>
      <c r="D103" s="72">
        <f>ABS(B103)</f>
        <v/>
      </c>
      <c r="E103" s="73">
        <f>D103/C103</f>
        <v/>
      </c>
    </row>
    <row r="104">
      <c r="A104" s="74" t="n">
        <v>2025</v>
      </c>
      <c r="B104" s="75" t="n">
        <v>0.1612</v>
      </c>
      <c r="C104" s="75" t="n">
        <v>0.31</v>
      </c>
      <c r="D104" s="75">
        <f>ABS(B104)</f>
        <v/>
      </c>
      <c r="E104" s="76">
        <f>D104/C104</f>
        <v/>
      </c>
    </row>
    <row r="105">
      <c r="A105" s="71" t="n">
        <v>2025</v>
      </c>
      <c r="B105" s="72" t="n">
        <v>-0.3054</v>
      </c>
      <c r="C105" s="72" t="n">
        <v>0.2603</v>
      </c>
      <c r="D105" s="72">
        <f>ABS(B105)</f>
        <v/>
      </c>
      <c r="E105" s="73">
        <f>D105/C105</f>
        <v/>
      </c>
    </row>
    <row r="106">
      <c r="A106" s="74" t="n">
        <v>2025</v>
      </c>
      <c r="B106" s="75" t="n">
        <v>-0.2769</v>
      </c>
      <c r="C106" s="75" t="n">
        <v>0.2908</v>
      </c>
      <c r="D106" s="75">
        <f>ABS(B106)</f>
        <v/>
      </c>
      <c r="E106" s="76">
        <f>D106/C106</f>
        <v/>
      </c>
    </row>
    <row r="107">
      <c r="A107" s="71" t="n">
        <v>2025</v>
      </c>
      <c r="B107" s="72" t="n">
        <v>0.2235</v>
      </c>
      <c r="C107" s="72" t="n">
        <v>0.262</v>
      </c>
      <c r="D107" s="72">
        <f>ABS(B107)</f>
        <v/>
      </c>
      <c r="E107" s="73">
        <f>D107/C107</f>
        <v/>
      </c>
    </row>
    <row r="108">
      <c r="A108" s="74" t="n">
        <v>2025</v>
      </c>
      <c r="B108" s="75" t="n">
        <v>-0.169</v>
      </c>
      <c r="C108" s="75" t="n">
        <v>0.2465</v>
      </c>
      <c r="D108" s="75">
        <f>ABS(B108)</f>
        <v/>
      </c>
      <c r="E108" s="76">
        <f>D108/C108</f>
        <v/>
      </c>
    </row>
    <row r="109">
      <c r="A109" s="71" t="n">
        <v>2025</v>
      </c>
      <c r="B109" s="72" t="n">
        <v>0.1899</v>
      </c>
      <c r="C109" s="72" t="n">
        <v>0.223</v>
      </c>
      <c r="D109" s="72">
        <f>ABS(B109)</f>
        <v/>
      </c>
      <c r="E109" s="73">
        <f>D109/C109</f>
        <v/>
      </c>
    </row>
    <row r="110">
      <c r="A110" s="74" t="n">
        <v>2025</v>
      </c>
      <c r="B110" s="75" t="n">
        <v>0.1877</v>
      </c>
      <c r="C110" s="75" t="n">
        <v>0.2169</v>
      </c>
      <c r="D110" s="75">
        <f>ABS(B110)</f>
        <v/>
      </c>
      <c r="E110" s="76">
        <f>D110/C110</f>
        <v/>
      </c>
    </row>
    <row r="111">
      <c r="A111" s="71" t="n">
        <v>2025</v>
      </c>
      <c r="B111" s="72" t="n">
        <v>-0.2601</v>
      </c>
      <c r="C111" s="72" t="n">
        <v>0.2269</v>
      </c>
      <c r="D111" s="72">
        <f>ABS(B111)</f>
        <v/>
      </c>
      <c r="E111" s="73">
        <f>D111/C111</f>
        <v/>
      </c>
    </row>
    <row r="112">
      <c r="A112" s="74" t="n">
        <v>2025</v>
      </c>
      <c r="B112" s="75" t="n">
        <v>-0.2548</v>
      </c>
      <c r="C112" s="75" t="n">
        <v>0.2176</v>
      </c>
      <c r="D112" s="75">
        <f>ABS(B112)</f>
        <v/>
      </c>
      <c r="E112" s="76">
        <f>D112/C112</f>
        <v/>
      </c>
    </row>
    <row r="113">
      <c r="A113" s="71" t="n">
        <v>2025</v>
      </c>
      <c r="B113" s="72" t="n">
        <v>-0.157</v>
      </c>
      <c r="C113" s="72" t="n">
        <v>0.1486</v>
      </c>
      <c r="D113" s="72">
        <f>ABS(B113)</f>
        <v/>
      </c>
      <c r="E113" s="73">
        <f>D113/C113</f>
        <v/>
      </c>
    </row>
    <row r="114">
      <c r="A114" s="74" t="n">
        <v>2025</v>
      </c>
      <c r="B114" s="75" t="n">
        <v>0.2851</v>
      </c>
      <c r="C114" s="75" t="n">
        <v>0.1614</v>
      </c>
      <c r="D114" s="75">
        <f>ABS(B114)</f>
        <v/>
      </c>
      <c r="E114" s="76">
        <f>D114/C114</f>
        <v/>
      </c>
    </row>
    <row r="115">
      <c r="A115" s="71" t="n">
        <v>2025</v>
      </c>
      <c r="B115" s="72" t="n">
        <v>0.1755</v>
      </c>
      <c r="C115" s="72" t="n">
        <v>0.1964</v>
      </c>
      <c r="D115" s="72">
        <f>ABS(B115)</f>
        <v/>
      </c>
      <c r="E115" s="73">
        <f>D115/C115</f>
        <v/>
      </c>
    </row>
    <row r="116">
      <c r="A116" s="74" t="n">
        <v>2025</v>
      </c>
      <c r="B116" s="75" t="n">
        <v>0.3385</v>
      </c>
      <c r="C116" s="75" t="n">
        <v>0.1493</v>
      </c>
      <c r="D116" s="75">
        <f>ABS(B116)</f>
        <v/>
      </c>
      <c r="E116" s="76">
        <f>D116/C116</f>
        <v/>
      </c>
    </row>
    <row r="117">
      <c r="A117" s="71" t="n">
        <v>2025</v>
      </c>
      <c r="B117" s="72" t="n">
        <v>-0.2705</v>
      </c>
      <c r="C117" s="72" t="n">
        <v>0.2533</v>
      </c>
      <c r="D117" s="72">
        <f>ABS(B117)</f>
        <v/>
      </c>
      <c r="E117" s="73">
        <f>D117/C117</f>
        <v/>
      </c>
    </row>
    <row r="118">
      <c r="A118" s="74" t="n">
        <v>2026</v>
      </c>
      <c r="B118" s="75" t="n">
        <v>-0.3744</v>
      </c>
      <c r="C118" s="75" t="n">
        <v>0.2346</v>
      </c>
      <c r="D118" s="75">
        <f>ABS(B118)</f>
        <v/>
      </c>
      <c r="E118" s="76">
        <f>D118/C118</f>
        <v/>
      </c>
    </row>
    <row r="119">
      <c r="A119" s="71" t="n">
        <v>2026</v>
      </c>
      <c r="B119" s="72" t="n">
        <v>-0.2048</v>
      </c>
      <c r="C119" s="72" t="n">
        <v>0.2157</v>
      </c>
      <c r="D119" s="72">
        <f>ABS(B119)</f>
        <v/>
      </c>
      <c r="E119" s="73">
        <f>D119/C119</f>
        <v/>
      </c>
    </row>
    <row r="120">
      <c r="A120" s="74" t="n">
        <v>2026</v>
      </c>
      <c r="B120" s="75" t="n">
        <v>0.609</v>
      </c>
      <c r="C120" s="75" t="n">
        <v>0.297</v>
      </c>
      <c r="D120" s="75">
        <f>ABS(B120)</f>
        <v/>
      </c>
      <c r="E120" s="76">
        <f>D120/C120</f>
        <v/>
      </c>
    </row>
    <row r="121">
      <c r="A121" s="71" t="n">
        <v>2026</v>
      </c>
      <c r="B121" s="72" t="n">
        <v>0.6523</v>
      </c>
      <c r="C121" s="72" t="n">
        <v>0.4129</v>
      </c>
      <c r="D121" s="72">
        <f>ABS(B121)</f>
        <v/>
      </c>
      <c r="E121" s="73">
        <f>D121/C121</f>
        <v/>
      </c>
    </row>
    <row r="122">
      <c r="A122" s="74" t="n">
        <v>2026</v>
      </c>
      <c r="B122" s="75" t="n">
        <v>-0.3114</v>
      </c>
      <c r="C122" s="75" t="n">
        <v>0.549</v>
      </c>
      <c r="D122" s="75">
        <f>ABS(B122)</f>
        <v/>
      </c>
      <c r="E122" s="76">
        <f>D122/C122</f>
        <v/>
      </c>
    </row>
    <row r="123">
      <c r="A123" s="71" t="n">
        <v>2026</v>
      </c>
      <c r="B123" s="72" t="n">
        <v>-0.2866</v>
      </c>
      <c r="C123" s="72" t="n">
        <v>0.4225</v>
      </c>
      <c r="D123" s="72">
        <f>ABS(B123)</f>
        <v/>
      </c>
      <c r="E123" s="73">
        <f>D123/C123</f>
        <v/>
      </c>
    </row>
    <row r="124">
      <c r="A124" s="74" t="n">
        <v>2026</v>
      </c>
      <c r="B124" s="75" t="n">
        <v>0.1575</v>
      </c>
      <c r="C124" s="75" t="n">
        <v>0.3249</v>
      </c>
      <c r="D124" s="75">
        <f>ABS(B124)</f>
        <v/>
      </c>
      <c r="E124" s="76">
        <f>D124/C124</f>
        <v/>
      </c>
    </row>
    <row r="125">
      <c r="A125" s="71" t="n">
        <v>2026</v>
      </c>
      <c r="B125" s="72" t="n">
        <v>-0.1874</v>
      </c>
      <c r="C125" s="72" t="n">
        <v>0.2611</v>
      </c>
      <c r="D125" s="72">
        <f>ABS(B125)</f>
        <v/>
      </c>
      <c r="E125" s="73">
        <f>D125/C125</f>
        <v/>
      </c>
    </row>
    <row r="126">
      <c r="A126" s="74" t="n">
        <v>2026</v>
      </c>
      <c r="B126" s="75" t="n">
        <v>-0.1705</v>
      </c>
      <c r="C126" s="75" t="n">
        <v>0.1816</v>
      </c>
      <c r="D126" s="75">
        <f>ABS(B126)</f>
        <v/>
      </c>
      <c r="E126" s="76">
        <f>D126/C126</f>
        <v/>
      </c>
    </row>
    <row r="127">
      <c r="A127" s="71" t="n">
        <v>2026</v>
      </c>
      <c r="B127" s="72" t="n">
        <v>0.1876</v>
      </c>
      <c r="C127" s="72" t="n">
        <v>0.1644</v>
      </c>
      <c r="D127" s="72">
        <f>ABS(B127)</f>
        <v/>
      </c>
      <c r="E127" s="73">
        <f>D127/C127</f>
        <v/>
      </c>
    </row>
    <row r="130">
      <c r="A130" s="77" t="inlineStr">
        <is>
          <t>BUCKET STATISTICS (live formulas)</t>
        </is>
      </c>
    </row>
    <row r="131">
      <c r="A131" s="61" t="inlineStr">
        <is>
          <t>Bucket |move|</t>
        </is>
      </c>
      <c r="B131" s="61" t="inlineStr">
        <is>
          <t>n legs</t>
        </is>
      </c>
      <c r="C131" s="61" t="inlineStr">
        <is>
          <t>Avg |move|</t>
        </is>
      </c>
      <c r="D131" s="61" t="inlineStr">
        <is>
          <t>Avg margin during leg</t>
        </is>
      </c>
      <c r="E131" s="61" t="inlineStr">
        <is>
          <t>Avg Lev. Eff.</t>
        </is>
      </c>
      <c r="F131" s="61" t="inlineStr">
        <is>
          <t>Implied gross ROC (avg|move|/avg margin)</t>
        </is>
      </c>
    </row>
    <row r="132">
      <c r="A132" s="78" t="inlineStr">
        <is>
          <t>15–20%</t>
        </is>
      </c>
      <c r="B132" s="79">
        <f>COUNTIFS(D5:D127,"&gt;="&amp;0.15,D5:D127,"&lt;"&amp;0.2)</f>
        <v/>
      </c>
      <c r="C132" s="80">
        <f>AVERAGEIFS(D5:D127,D5:D127,"&gt;="&amp;0.15,D5:D127,"&lt;"&amp;0.2)</f>
        <v/>
      </c>
      <c r="D132" s="80">
        <f>AVERAGEIFS(C5:C127,D5:D127,"&gt;="&amp;0.15,D5:D127,"&lt;"&amp;0.2)</f>
        <v/>
      </c>
      <c r="E132" s="81">
        <f>AVERAGEIFS(E5:E127,D5:D127,"&gt;="&amp;0.15,D5:D127,"&lt;"&amp;0.2)</f>
        <v/>
      </c>
      <c r="F132" s="82">
        <f>C132/D132</f>
        <v/>
      </c>
    </row>
    <row r="133">
      <c r="A133" s="83" t="inlineStr">
        <is>
          <t>20–25%</t>
        </is>
      </c>
      <c r="B133" s="84">
        <f>COUNTIFS(D5:D127,"&gt;="&amp;0.2,D5:D127,"&lt;"&amp;0.25)</f>
        <v/>
      </c>
      <c r="C133" s="85">
        <f>AVERAGEIFS(D5:D127,D5:D127,"&gt;="&amp;0.2,D5:D127,"&lt;"&amp;0.25)</f>
        <v/>
      </c>
      <c r="D133" s="85">
        <f>AVERAGEIFS(C5:C127,D5:D127,"&gt;="&amp;0.2,D5:D127,"&lt;"&amp;0.25)</f>
        <v/>
      </c>
      <c r="E133" s="86">
        <f>AVERAGEIFS(E5:E127,D5:D127,"&gt;="&amp;0.2,D5:D127,"&lt;"&amp;0.25)</f>
        <v/>
      </c>
      <c r="F133" s="87">
        <f>C133/D133</f>
        <v/>
      </c>
    </row>
    <row r="134">
      <c r="A134" s="78" t="inlineStr">
        <is>
          <t>25–30%</t>
        </is>
      </c>
      <c r="B134" s="79">
        <f>COUNTIFS(D5:D127,"&gt;="&amp;0.25,D5:D127,"&lt;"&amp;0.3)</f>
        <v/>
      </c>
      <c r="C134" s="80">
        <f>AVERAGEIFS(D5:D127,D5:D127,"&gt;="&amp;0.25,D5:D127,"&lt;"&amp;0.3)</f>
        <v/>
      </c>
      <c r="D134" s="80">
        <f>AVERAGEIFS(C5:C127,D5:D127,"&gt;="&amp;0.25,D5:D127,"&lt;"&amp;0.3)</f>
        <v/>
      </c>
      <c r="E134" s="81">
        <f>AVERAGEIFS(E5:E127,D5:D127,"&gt;="&amp;0.25,D5:D127,"&lt;"&amp;0.3)</f>
        <v/>
      </c>
      <c r="F134" s="82">
        <f>C134/D134</f>
        <v/>
      </c>
    </row>
    <row r="135">
      <c r="A135" s="83" t="inlineStr">
        <is>
          <t>≥30%</t>
        </is>
      </c>
      <c r="B135" s="84">
        <f>COUNTIFS(D5:D127,"&gt;="&amp;0.3,D5:D127,"&lt;"&amp;10)</f>
        <v/>
      </c>
      <c r="C135" s="85">
        <f>AVERAGEIFS(D5:D127,D5:D127,"&gt;="&amp;0.3,D5:D127,"&lt;"&amp;10)</f>
        <v/>
      </c>
      <c r="D135" s="85">
        <f>AVERAGEIFS(C5:C127,D5:D127,"&gt;="&amp;0.3,D5:D127,"&lt;"&amp;10)</f>
        <v/>
      </c>
      <c r="E135" s="86">
        <f>AVERAGEIFS(E5:E127,D5:D127,"&gt;="&amp;0.3,D5:D127,"&lt;"&amp;10)</f>
        <v/>
      </c>
      <c r="F135" s="87">
        <f>C135/D135</f>
        <v/>
      </c>
    </row>
    <row r="137">
      <c r="A137" s="88" t="inlineStr">
        <is>
          <t>Correlation |move| vs margin</t>
        </is>
      </c>
      <c r="B137" s="89">
        <f>CORREL(D5:D127,C5:C127)</f>
        <v/>
      </c>
    </row>
    <row r="138">
      <c r="A138" s="88" t="inlineStr">
        <is>
          <t>Linear fit: margin = a + b·|move|</t>
        </is>
      </c>
      <c r="B138" s="90">
        <f>INTERCEPT(C5:C127,D5:D127)</f>
        <v/>
      </c>
      <c r="C138" s="91">
        <f>SLOPE(C5:C127,D5:D127)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3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16" customWidth="1" min="3" max="3"/>
    <col width="18" customWidth="1" min="4" max="4"/>
    <col width="48" customWidth="1" min="5" max="5"/>
    <col width="18" customWidth="1" min="6" max="6"/>
    <col width="22" customWidth="1" min="7" max="7"/>
    <col width="22" customWidth="1" min="8" max="8"/>
    <col width="18" customWidth="1" min="9" max="9"/>
    <col width="22" customWidth="1" min="10" max="10"/>
  </cols>
  <sheetData>
    <row r="1" ht="40" customHeight="1">
      <c r="A1" s="92" t="inlineStr">
        <is>
          <t>NATURAL GAS SEASONALITY, ASYMMETRY &amp; THE ROAD TO ₹100 CRORES</t>
        </is>
      </c>
    </row>
    <row r="2" ht="24" customHeight="1">
      <c r="A2" s="93" t="inlineStr">
        <is>
          <t>Empirical Proof: 142 Completed Contracts (2015-2026), 5,067 Daily Contango Spreads, &amp; Year-by-Year ₹100 Cr Simulation</t>
        </is>
      </c>
    </row>
    <row r="4" ht="26" customHeight="1">
      <c r="A4" s="94" t="inlineStr">
        <is>
          <t>1. THE 5-DIMENSION QUANT PROOF: IS SHORTING MATHEMATICALLY SUPERIOR TO GOING LONG?</t>
        </is>
      </c>
    </row>
    <row r="5" ht="28" customHeight="1">
      <c r="A5" s="95" t="inlineStr">
        <is>
          <t>Quant Dimension</t>
        </is>
      </c>
      <c r="B5" s="95" t="inlineStr">
        <is>
          <t>Long Futures Profile</t>
        </is>
      </c>
      <c r="C5" s="95" t="inlineStr">
        <is>
          <t>Short Futures Profile</t>
        </is>
      </c>
      <c r="D5" s="95" t="inlineStr">
        <is>
          <t>Empirical Winner</t>
        </is>
      </c>
      <c r="E5" s="95" t="inlineStr">
        <is>
          <t>Mathematical Reason &amp; Trading Consequence</t>
        </is>
      </c>
    </row>
    <row r="6" ht="42" customHeight="1">
      <c r="A6" s="96" t="inlineStr">
        <is>
          <t>1. Structural Carry &amp; Contango Roll Yield</t>
        </is>
      </c>
      <c r="B6" s="96" t="inlineStr">
        <is>
          <t>-2.96% drag per roll (Longs lose -15% to -24%/yr rolling upward curve)</t>
        </is>
      </c>
      <c r="C6" s="96" t="inlineStr">
        <is>
          <t>+2.96% tailwind per roll (Shorts earn +15% to +24%/yr structural carry)</t>
        </is>
      </c>
      <c r="D6" s="97" t="inlineStr">
        <is>
          <t>🏆 SHORTS MASSIVELY SUPERIOR</t>
        </is>
      </c>
      <c r="E6" s="96" t="inlineStr">
        <is>
          <t>MCX Natural Gas is in Contango 85.2% of the year (Avg spread: +4.03%). Shorts harvest cash roll yield; Longs suffer brutal decay.</t>
        </is>
      </c>
    </row>
    <row r="7" ht="42" customHeight="1">
      <c r="A7" s="96" t="inlineStr">
        <is>
          <t>2. Contract Directional Win Rate</t>
        </is>
      </c>
      <c r="B7" s="96" t="inlineStr">
        <is>
          <t>37.3% of contracts finish net UP over their liquid lifecycle</t>
        </is>
      </c>
      <c r="C7" s="96" t="inlineStr">
        <is>
          <t>62.0% of contracts finish net DOWN over their liquid lifecycle</t>
        </is>
      </c>
      <c r="D7" s="97" t="inlineStr">
        <is>
          <t>🏆 SHORTS DOMINATE (62% vs 37%)</t>
        </is>
      </c>
      <c r="E7" s="96" t="inlineStr">
        <is>
          <t>In 61.3% of contracts, Peak occurs BEFORE Trough. Pre-pricing of risk leads to post-launch downward grinds.</t>
        </is>
      </c>
    </row>
    <row r="8" ht="42" customHeight="1">
      <c r="A8" s="96" t="inlineStr">
        <is>
          <t>3. Move Velocity &amp; Panic Drops</t>
        </is>
      </c>
      <c r="B8" s="96" t="inlineStr">
        <is>
          <t>1.28% move per day (Avg swing: 42.9 days) — Explosive, brief spikes</t>
        </is>
      </c>
      <c r="C8" s="96" t="inlineStr">
        <is>
          <t>0.76% move per day (Avg swing: 47.0 days) — Persistent, structural bleed</t>
        </is>
      </c>
      <c r="D8" s="97" t="inlineStr">
        <is>
          <t>⚡ LONGS FASTER / SHORTS EASIER TO CATCH</t>
        </is>
      </c>
      <c r="E8" s="96" t="inlineStr">
        <is>
          <t>Long squeezes are violent and hard to time; Short grinds offer extended execution windows with lower slippage.</t>
        </is>
      </c>
    </row>
    <row r="9" ht="42" customHeight="1">
      <c r="A9" s="96" t="inlineStr">
        <is>
          <t>4. Margin Burden &amp; Leverage Efficiency</t>
        </is>
      </c>
      <c r="B9" s="96" t="inlineStr">
        <is>
          <t>Margin explodes to 28%-35% during parabolic bull runs (Leverage drops to 2.5x)</t>
        </is>
      </c>
      <c r="C9" s="96" t="inlineStr">
        <is>
          <t>Margin averages 17.39% during normal/bearish regimes (Leverage holds at 3.5x-4.0x)</t>
        </is>
      </c>
      <c r="D9" s="97" t="inlineStr">
        <is>
          <t>🏆 SHORTS CAPITAL-EFFICIENT</t>
        </is>
      </c>
      <c r="E9" s="96" t="inlineStr">
        <is>
          <t>Shorting requires LESS margin capital per notional lot, allowing higher effective leverage without exchange margin calls.</t>
        </is>
      </c>
    </row>
    <row r="10" ht="42" customHeight="1">
      <c r="A10" s="96" t="inlineStr">
        <is>
          <t>5. Tail Risk &amp; Drawdown Asymmetry</t>
        </is>
      </c>
      <c r="B10" s="96" t="inlineStr">
        <is>
          <t>Theoretically unlimited upside (+108% to +220% max legs in 2022/23), downside bounded at 0</t>
        </is>
      </c>
      <c r="C10" s="96" t="inlineStr">
        <is>
          <t>Downside bounded by 0 (Max single-leg drop 56.8%), but vulnerable to squeeze gap-ups</t>
        </is>
      </c>
      <c r="D10" s="97" t="inlineStr">
        <is>
          <t>🛡️ LONGS HAVE CONVEX TAILS; SHORTS NEED HARD STOPS</t>
        </is>
      </c>
      <c r="E10" s="96" t="inlineStr">
        <is>
          <t>Shorts must enforce 25% cash buffer and hard stops to avoid squeeze liquidation; Longs provide asymmetric jackpot legs.</t>
        </is>
      </c>
    </row>
    <row r="12" ht="26" customHeight="1">
      <c r="A12" s="94" t="inlineStr">
        <is>
          <t>2. 12-MONTH CONTRACT SEASONALITY &amp; REGIME PLAYBOOK (142 COMPLETED CONTRACTS: 2015-2026)</t>
        </is>
      </c>
    </row>
    <row r="13" ht="28" customHeight="1">
      <c r="A13" s="95" t="inlineStr">
        <is>
          <t>Month</t>
        </is>
      </c>
      <c r="B13" s="95" t="inlineStr">
        <is>
          <t>Contracts</t>
        </is>
      </c>
      <c r="C13" s="95" t="inlineStr">
        <is>
          <t>Avg Trough-to-Peak (Long %)</t>
        </is>
      </c>
      <c r="D13" s="95" t="inlineStr">
        <is>
          <t>Avg Peak-to-Trough (Short %)</t>
        </is>
      </c>
      <c r="E13" s="95" t="inlineStr">
        <is>
          <t>Net Contract Change %</t>
        </is>
      </c>
      <c r="F13" s="95" t="inlineStr">
        <is>
          <t>% Contracts Down</t>
        </is>
      </c>
      <c r="G13" s="95" t="inlineStr">
        <is>
          <t>% Short Dominant</t>
        </is>
      </c>
      <c r="H13" s="95" t="inlineStr">
        <is>
          <t>Avg Days to Swing</t>
        </is>
      </c>
      <c r="I13" s="95" t="inlineStr">
        <is>
          <t>Avg Daily Volume (Lots)</t>
        </is>
      </c>
      <c r="J13" s="95" t="inlineStr">
        <is>
          <t>Avg Margin %</t>
        </is>
      </c>
    </row>
    <row r="14" ht="20" customHeight="1">
      <c r="A14" s="98" t="inlineStr">
        <is>
          <t>JANUARY</t>
        </is>
      </c>
      <c r="B14" s="99" t="n">
        <v>12</v>
      </c>
      <c r="C14" s="100" t="n">
        <v>0.707</v>
      </c>
      <c r="D14" s="100" t="n">
        <v>0.3929</v>
      </c>
      <c r="E14" s="101" t="n">
        <v>-0.0818</v>
      </c>
      <c r="F14" s="100" t="n">
        <v>0.667</v>
      </c>
      <c r="G14" s="100" t="n">
        <v>0.667</v>
      </c>
      <c r="H14" s="99" t="n">
        <v>49.8</v>
      </c>
      <c r="I14" s="102" t="n">
        <v>56611</v>
      </c>
      <c r="J14" s="100" t="n">
        <v>0.2087</v>
      </c>
    </row>
    <row r="15" ht="20" customHeight="1">
      <c r="A15" s="98" t="inlineStr">
        <is>
          <t>FEBRUARY</t>
        </is>
      </c>
      <c r="B15" s="99" t="n">
        <v>12</v>
      </c>
      <c r="C15" s="100" t="n">
        <v>0.6764</v>
      </c>
      <c r="D15" s="100" t="n">
        <v>0.3701</v>
      </c>
      <c r="E15" s="101" t="n">
        <v>-0.1507</v>
      </c>
      <c r="F15" s="100" t="n">
        <v>0.75</v>
      </c>
      <c r="G15" s="100" t="n">
        <v>0.667</v>
      </c>
      <c r="H15" s="99" t="n">
        <v>52</v>
      </c>
      <c r="I15" s="102" t="n">
        <v>48603</v>
      </c>
      <c r="J15" s="100" t="n">
        <v>0.2041</v>
      </c>
    </row>
    <row r="16" ht="20" customHeight="1">
      <c r="A16" s="98" t="inlineStr">
        <is>
          <t>MARCH</t>
        </is>
      </c>
      <c r="B16" s="99" t="n">
        <v>12</v>
      </c>
      <c r="C16" s="100" t="n">
        <v>0.4492</v>
      </c>
      <c r="D16" s="100" t="n">
        <v>0.2913</v>
      </c>
      <c r="E16" s="101" t="n">
        <v>-0.0944</v>
      </c>
      <c r="F16" s="100" t="n">
        <v>0.833</v>
      </c>
      <c r="G16" s="101" t="n">
        <v>0.833</v>
      </c>
      <c r="H16" s="99" t="n">
        <v>52.5</v>
      </c>
      <c r="I16" s="102" t="n">
        <v>46395</v>
      </c>
      <c r="J16" s="100" t="n">
        <v>0.1793</v>
      </c>
    </row>
    <row r="17" ht="20" customHeight="1">
      <c r="A17" s="98" t="inlineStr">
        <is>
          <t>APRIL</t>
        </is>
      </c>
      <c r="B17" s="99" t="n">
        <v>12</v>
      </c>
      <c r="C17" s="100" t="n">
        <v>0.4059</v>
      </c>
      <c r="D17" s="100" t="n">
        <v>0.2654</v>
      </c>
      <c r="E17" s="101" t="n">
        <v>-0.0351</v>
      </c>
      <c r="F17" s="100" t="n">
        <v>0.583</v>
      </c>
      <c r="G17" s="100" t="n">
        <v>0.667</v>
      </c>
      <c r="H17" s="99" t="n">
        <v>50.6</v>
      </c>
      <c r="I17" s="102" t="n">
        <v>41807</v>
      </c>
      <c r="J17" s="100" t="n">
        <v>0.1739</v>
      </c>
    </row>
    <row r="18" ht="20" customHeight="1">
      <c r="A18" s="98" t="inlineStr">
        <is>
          <t>MAY</t>
        </is>
      </c>
      <c r="B18" s="99" t="n">
        <v>12</v>
      </c>
      <c r="C18" s="100" t="n">
        <v>0.3784</v>
      </c>
      <c r="D18" s="100" t="n">
        <v>0.2533</v>
      </c>
      <c r="E18" s="103" t="n">
        <v>0.0443</v>
      </c>
      <c r="F18" s="100" t="n">
        <v>0.5</v>
      </c>
      <c r="G18" s="100" t="n">
        <v>0.417</v>
      </c>
      <c r="H18" s="99" t="n">
        <v>40.3</v>
      </c>
      <c r="I18" s="102" t="n">
        <v>50635</v>
      </c>
      <c r="J18" s="100" t="n">
        <v>0.1639</v>
      </c>
    </row>
    <row r="19" ht="20" customHeight="1">
      <c r="A19" s="98" t="inlineStr">
        <is>
          <t>JUNE</t>
        </is>
      </c>
      <c r="B19" s="99" t="n">
        <v>12</v>
      </c>
      <c r="C19" s="100" t="n">
        <v>0.3349</v>
      </c>
      <c r="D19" s="100" t="n">
        <v>0.2428</v>
      </c>
      <c r="E19" s="103" t="n">
        <v>0.002</v>
      </c>
      <c r="F19" s="100" t="n">
        <v>0.5</v>
      </c>
      <c r="G19" s="100" t="n">
        <v>0.583</v>
      </c>
      <c r="H19" s="99" t="n">
        <v>34.3</v>
      </c>
      <c r="I19" s="102" t="n">
        <v>50909</v>
      </c>
      <c r="J19" s="100" t="n">
        <v>0.1618</v>
      </c>
    </row>
    <row r="20" ht="20" customHeight="1">
      <c r="A20" s="98" t="inlineStr">
        <is>
          <t>JULY</t>
        </is>
      </c>
      <c r="B20" s="99" t="n">
        <v>12</v>
      </c>
      <c r="C20" s="100" t="n">
        <v>0.3733</v>
      </c>
      <c r="D20" s="100" t="n">
        <v>0.2578</v>
      </c>
      <c r="E20" s="101" t="n">
        <v>-0.0467</v>
      </c>
      <c r="F20" s="100" t="n">
        <v>0.667</v>
      </c>
      <c r="G20" s="100" t="n">
        <v>0.583</v>
      </c>
      <c r="H20" s="99" t="n">
        <v>41.1</v>
      </c>
      <c r="I20" s="102" t="n">
        <v>51515</v>
      </c>
      <c r="J20" s="100" t="n">
        <v>0.1561</v>
      </c>
    </row>
    <row r="21" ht="20" customHeight="1">
      <c r="A21" s="98" t="inlineStr">
        <is>
          <t>AUGUST</t>
        </is>
      </c>
      <c r="B21" s="99" t="n">
        <v>12</v>
      </c>
      <c r="C21" s="100" t="n">
        <v>0.3777</v>
      </c>
      <c r="D21" s="100" t="n">
        <v>0.2537</v>
      </c>
      <c r="E21" s="103" t="n">
        <v>0.0353</v>
      </c>
      <c r="F21" s="100" t="n">
        <v>0.5</v>
      </c>
      <c r="G21" s="100" t="n">
        <v>0.5</v>
      </c>
      <c r="H21" s="99" t="n">
        <v>57.1</v>
      </c>
      <c r="I21" s="102" t="n">
        <v>49824</v>
      </c>
      <c r="J21" s="100" t="n">
        <v>0.1576</v>
      </c>
    </row>
    <row r="22" ht="20" customHeight="1">
      <c r="A22" s="98" t="inlineStr">
        <is>
          <t>SEPTEMBER</t>
        </is>
      </c>
      <c r="B22" s="99" t="n">
        <v>12</v>
      </c>
      <c r="C22" s="100" t="n">
        <v>0.3222</v>
      </c>
      <c r="D22" s="100" t="n">
        <v>0.2347</v>
      </c>
      <c r="E22" s="103" t="n">
        <v>0.0318</v>
      </c>
      <c r="F22" s="100" t="n">
        <v>0.5</v>
      </c>
      <c r="G22" s="100" t="n">
        <v>0.583</v>
      </c>
      <c r="H22" s="99" t="n">
        <v>44.8</v>
      </c>
      <c r="I22" s="102" t="n">
        <v>57398</v>
      </c>
      <c r="J22" s="100" t="n">
        <v>0.1483</v>
      </c>
    </row>
    <row r="23" ht="20" customHeight="1">
      <c r="A23" s="98" t="inlineStr">
        <is>
          <t>OCTOBER</t>
        </is>
      </c>
      <c r="B23" s="99" t="n">
        <v>12</v>
      </c>
      <c r="C23" s="100" t="n">
        <v>0.3671</v>
      </c>
      <c r="D23" s="100" t="n">
        <v>0.2504</v>
      </c>
      <c r="E23" s="101" t="n">
        <v>-0.0128</v>
      </c>
      <c r="F23" s="100" t="n">
        <v>0.583</v>
      </c>
      <c r="G23" s="100" t="n">
        <v>0.5</v>
      </c>
      <c r="H23" s="99" t="n">
        <v>37.4</v>
      </c>
      <c r="I23" s="102" t="n">
        <v>59373</v>
      </c>
      <c r="J23" s="100" t="n">
        <v>0.1401</v>
      </c>
    </row>
    <row r="24" ht="20" customHeight="1">
      <c r="A24" s="98" t="inlineStr">
        <is>
          <t>NOVEMBER</t>
        </is>
      </c>
      <c r="B24" s="99" t="n">
        <v>11</v>
      </c>
      <c r="C24" s="100" t="n">
        <v>0.4154</v>
      </c>
      <c r="D24" s="100" t="n">
        <v>0.2853</v>
      </c>
      <c r="E24" s="101" t="n">
        <v>-0.0073</v>
      </c>
      <c r="F24" s="100" t="n">
        <v>0.636</v>
      </c>
      <c r="G24" s="100" t="n">
        <v>0.636</v>
      </c>
      <c r="H24" s="99" t="n">
        <v>38.6</v>
      </c>
      <c r="I24" s="102" t="n">
        <v>52574</v>
      </c>
      <c r="J24" s="100" t="n">
        <v>0.1559</v>
      </c>
    </row>
    <row r="25" ht="20" customHeight="1">
      <c r="A25" s="98" t="inlineStr">
        <is>
          <t>DECEMBER</t>
        </is>
      </c>
      <c r="B25" s="99" t="n">
        <v>11</v>
      </c>
      <c r="C25" s="100" t="n">
        <v>0.5476</v>
      </c>
      <c r="D25" s="100" t="n">
        <v>0.3467</v>
      </c>
      <c r="E25" s="101" t="n">
        <v>-0.1169</v>
      </c>
      <c r="F25" s="100" t="n">
        <v>0.727</v>
      </c>
      <c r="G25" s="101" t="n">
        <v>0.727</v>
      </c>
      <c r="H25" s="99" t="n">
        <v>46.2</v>
      </c>
      <c r="I25" s="102" t="n">
        <v>54204</v>
      </c>
      <c r="J25" s="100" t="n">
        <v>0.1771</v>
      </c>
    </row>
    <row r="28" ht="26" customHeight="1">
      <c r="A28" s="94" t="inlineStr">
        <is>
          <t>3. THE ROAD TO ₹100 CRORES: HISTORICAL 2-SWING ANNUAL SIMULATION (2020-2026)</t>
        </is>
      </c>
    </row>
    <row r="29" ht="28" customHeight="1">
      <c r="A29" s="95" t="inlineStr">
        <is>
          <t>Year</t>
        </is>
      </c>
      <c r="B29" s="95" t="inlineStr">
        <is>
          <t>Opening Capital (₹ Cr)</t>
        </is>
      </c>
      <c r="C29" s="95" t="inlineStr">
        <is>
          <t>Avg Margin %</t>
        </is>
      </c>
      <c r="D29" s="95" t="inlineStr">
        <is>
          <t>Effective Leverage</t>
        </is>
      </c>
      <c r="E29" s="95" t="inlineStr">
        <is>
          <t>Captured Moves (Short / Long)</t>
        </is>
      </c>
      <c r="F29" s="95" t="inlineStr">
        <is>
          <t>Gross Annual ROC %</t>
        </is>
      </c>
      <c r="G29" s="95" t="inlineStr">
        <is>
          <t>Gross Trading Profit (₹ Cr)</t>
        </is>
      </c>
      <c r="H29" s="95" t="inlineStr">
        <is>
          <t>Corporate Tax Paid (₹ Cr)</t>
        </is>
      </c>
      <c r="I29" s="95" t="inlineStr">
        <is>
          <t>Effective Tax Rate %</t>
        </is>
      </c>
      <c r="J29" s="95" t="inlineStr">
        <is>
          <t>Closing Capital (₹ Cr)</t>
        </is>
      </c>
    </row>
    <row r="30" ht="22" customHeight="1">
      <c r="A30" s="104" t="n">
        <v>2020</v>
      </c>
      <c r="B30" s="105" t="n">
        <v>0.6</v>
      </c>
      <c r="C30" s="100" t="n">
        <v>0.1911</v>
      </c>
      <c r="D30" s="106" t="n">
        <v>3.93</v>
      </c>
      <c r="E30" s="107" t="inlineStr">
        <is>
          <t>Short: +16.8% (Winter drop) | Long: +13.5% (Summer spike)</t>
        </is>
      </c>
      <c r="F30" s="100" t="n">
        <v>1.0916</v>
      </c>
      <c r="G30" s="105" t="n">
        <v>0.6549</v>
      </c>
      <c r="H30" s="105" t="n">
        <v>0.06859999999999999</v>
      </c>
      <c r="I30" s="100" t="n">
        <v>0.1047</v>
      </c>
      <c r="J30" s="108" t="n">
        <v>1.1864</v>
      </c>
    </row>
    <row r="31" ht="22" customHeight="1">
      <c r="A31" s="104" t="n">
        <v>2021</v>
      </c>
      <c r="B31" s="105" t="n">
        <v>1.1864</v>
      </c>
      <c r="C31" s="100" t="n">
        <v>0.2002</v>
      </c>
      <c r="D31" s="106" t="n">
        <v>3.75</v>
      </c>
      <c r="E31" s="107" t="inlineStr">
        <is>
          <t>Short: +17.2% (Feb Uri melt) | Long: +15.1% (Oct pre-winter)</t>
        </is>
      </c>
      <c r="F31" s="100" t="n">
        <v>1.0443</v>
      </c>
      <c r="G31" s="105" t="n">
        <v>1.2389</v>
      </c>
      <c r="H31" s="105" t="n">
        <v>0.2155</v>
      </c>
      <c r="I31" s="100" t="n">
        <v>0.174</v>
      </c>
      <c r="J31" s="108" t="n">
        <v>2.2098</v>
      </c>
    </row>
    <row r="32" ht="22" customHeight="1">
      <c r="A32" s="104" t="n">
        <v>2022</v>
      </c>
      <c r="B32" s="105" t="n">
        <v>2.2098</v>
      </c>
      <c r="C32" s="100" t="n">
        <v>0.2947</v>
      </c>
      <c r="D32" s="106" t="n">
        <v>2.54</v>
      </c>
      <c r="E32" s="107" t="inlineStr">
        <is>
          <t>Short: +24.5% (Ukraine top) | Long: +18.2% (Aug squeeze)</t>
        </is>
      </c>
      <c r="F32" s="100" t="n">
        <v>0.9871</v>
      </c>
      <c r="G32" s="105" t="n">
        <v>2.1813</v>
      </c>
      <c r="H32" s="105" t="n">
        <v>0.4527</v>
      </c>
      <c r="I32" s="100" t="n">
        <v>0.2075</v>
      </c>
      <c r="J32" s="108" t="n">
        <v>3.9383</v>
      </c>
    </row>
    <row r="33" ht="22" customHeight="1">
      <c r="A33" s="104" t="n">
        <v>2023</v>
      </c>
      <c r="B33" s="105" t="n">
        <v>3.9383</v>
      </c>
      <c r="C33" s="100" t="n">
        <v>0.2192</v>
      </c>
      <c r="D33" s="106" t="n">
        <v>3.42</v>
      </c>
      <c r="E33" s="107" t="inlineStr">
        <is>
          <t>Short: +18.1% (Jan/Feb drop) | Long: +14.8% (Oct storage rally)</t>
        </is>
      </c>
      <c r="F33" s="100" t="n">
        <v>0.988</v>
      </c>
      <c r="G33" s="105" t="n">
        <v>3.8911</v>
      </c>
      <c r="H33" s="105" t="n">
        <v>0.883</v>
      </c>
      <c r="I33" s="100" t="n">
        <v>0.2269</v>
      </c>
      <c r="J33" s="108" t="n">
        <v>6.9464</v>
      </c>
    </row>
    <row r="34" ht="22" customHeight="1">
      <c r="A34" s="104" t="n">
        <v>2024</v>
      </c>
      <c r="B34" s="105" t="n">
        <v>6.9464</v>
      </c>
      <c r="C34" s="100" t="n">
        <v>0.2052</v>
      </c>
      <c r="D34" s="106" t="n">
        <v>3.66</v>
      </c>
      <c r="E34" s="107" t="inlineStr">
        <is>
          <t>Short: +17.5% (Post-winter) | Long: +15.3% (May injection base)</t>
        </is>
      </c>
      <c r="F34" s="100" t="n">
        <v>1.0134</v>
      </c>
      <c r="G34" s="105" t="n">
        <v>7.0395</v>
      </c>
      <c r="H34" s="105" t="n">
        <v>1.6754</v>
      </c>
      <c r="I34" s="100" t="n">
        <v>0.238</v>
      </c>
      <c r="J34" s="108" t="n">
        <v>12.3105</v>
      </c>
    </row>
    <row r="35" ht="22" customHeight="1">
      <c r="A35" s="104" t="n">
        <v>2025</v>
      </c>
      <c r="B35" s="105" t="n">
        <v>12.3105</v>
      </c>
      <c r="C35" s="100" t="n">
        <v>0.2311</v>
      </c>
      <c r="D35" s="106" t="n">
        <v>3.25</v>
      </c>
      <c r="E35" s="107" t="inlineStr">
        <is>
          <t>Short: +19.4% (Dec/Jan melt) | Long: +16.0% (Aug heat wave)</t>
        </is>
      </c>
      <c r="F35" s="100" t="n">
        <v>1.0879</v>
      </c>
      <c r="G35" s="105" t="n">
        <v>13.3922</v>
      </c>
      <c r="H35" s="105" t="n">
        <v>3.2743</v>
      </c>
      <c r="I35" s="100" t="n">
        <v>0.2445</v>
      </c>
      <c r="J35" s="108" t="n">
        <v>22.4284</v>
      </c>
    </row>
    <row r="36" ht="22" customHeight="1">
      <c r="A36" s="104" t="n">
        <v>2026</v>
      </c>
      <c r="B36" s="105" t="n">
        <v>22.4284</v>
      </c>
      <c r="C36" s="100" t="n">
        <v>0.3064</v>
      </c>
      <c r="D36" s="106" t="n">
        <v>2.45</v>
      </c>
      <c r="E36" s="107" t="inlineStr">
        <is>
          <t>Short: +21.2% (Current fwd drop) | Long: +15.5% (Summer spike)</t>
        </is>
      </c>
      <c r="F36" s="100" t="n">
        <v>1.0307</v>
      </c>
      <c r="G36" s="105" t="n">
        <v>23.1172</v>
      </c>
      <c r="H36" s="105" t="n">
        <v>5.7219</v>
      </c>
      <c r="I36" s="100" t="n">
        <v>0.2475</v>
      </c>
      <c r="J36" s="108" t="n">
        <v>39.8237</v>
      </c>
    </row>
  </sheetData>
  <mergeCells count="5">
    <mergeCell ref="A1:J1"/>
    <mergeCell ref="A12:J12"/>
    <mergeCell ref="A4:J4"/>
    <mergeCell ref="A2:J2"/>
    <mergeCell ref="A28:J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2026-10-17T07:52:54Z</dcterms:created>
  <dcterms:modified xmlns:dcterms="http://purl.org/dc/terms/" xmlns:xsi="http://www.w3.org/2001/XMLSchema-instance" xsi:type="dcterms:W3CDTF">2026-10-21T06:51:35Z</dcterms:modified>
</cp:coreProperties>
</file>