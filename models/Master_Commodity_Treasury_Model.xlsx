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ve Dashboard" sheetId="1" state="visible" r:id="rId1"/>
    <sheet xmlns:r="http://schemas.openxmlformats.org/officeDocument/2006/relationships" name="50% Annual" sheetId="2" state="visible" r:id="rId2"/>
    <sheet xmlns:r="http://schemas.openxmlformats.org/officeDocument/2006/relationships" name="75% Annual" sheetId="3" state="visible" r:id="rId3"/>
    <sheet xmlns:r="http://schemas.openxmlformats.org/officeDocument/2006/relationships" name="80% Annual" sheetId="4" state="visible" r:id="rId4"/>
    <sheet xmlns:r="http://schemas.openxmlformats.org/officeDocument/2006/relationships" name="85% Annual" sheetId="5" state="visible" r:id="rId5"/>
    <sheet xmlns:r="http://schemas.openxmlformats.org/officeDocument/2006/relationships" name="100% Annual" sheetId="6" state="visible" r:id="rId6"/>
    <sheet xmlns:r="http://schemas.openxmlformats.org/officeDocument/2006/relationships" name="120% Annual" sheetId="7" state="visible" r:id="rId7"/>
    <sheet xmlns:r="http://schemas.openxmlformats.org/officeDocument/2006/relationships" name="GIFT City CME Bridge" sheetId="8" state="visible" r:id="rId8"/>
    <sheet xmlns:r="http://schemas.openxmlformats.org/officeDocument/2006/relationships" name="3-Employee Legal Framework" sheetId="9" state="visible" r:id="rId9"/>
    <sheet xmlns:r="http://schemas.openxmlformats.org/officeDocument/2006/relationships" name="NG Risk and Sizing" sheetId="10" state="visible" r:id="rId10"/>
    <sheet xmlns:r="http://schemas.openxmlformats.org/officeDocument/2006/relationships" name="NG Inputs" sheetId="11" state="visible" r:id="rId11"/>
    <sheet xmlns:r="http://schemas.openxmlformats.org/officeDocument/2006/relationships" name="NG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₹#,##0.00 &quot;Cr&quot;"/>
    <numFmt numFmtId="165" formatCode="₹#,##0"/>
    <numFmt numFmtId="166" formatCode="0.000%"/>
    <numFmt numFmtId="167" formatCode="0.00&quot;×&quot;"/>
    <numFmt numFmtId="168" formatCode="0.0"/>
    <numFmt numFmtId="169" formatCode="0.000"/>
    <numFmt numFmtId="170" formatCode="0.0%"/>
    <numFmt numFmtId="171" formatCode="0.0000"/>
    <numFmt numFmtId="172" formatCode="\₹#\,##\,##\,##\,##0"/>
    <numFmt numFmtId="173" formatCode="\₹#\,##\,##\,##0"/>
    <numFmt numFmtId="174" formatCode="0.00\x"/>
  </numFmts>
  <fonts count="30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55555"/>
      <sz val="9"/>
    </font>
    <font>
      <name val="Segoe UI"/>
      <b val="1"/>
      <color rgb="001B365D"/>
      <sz val="11"/>
    </font>
    <font>
      <name val="Segoe UI"/>
      <b val="1"/>
      <color rgb="00000000"/>
      <sz val="9"/>
    </font>
    <font>
      <name val="Segoe UI"/>
      <b val="1"/>
      <color rgb="00805B00"/>
      <sz val="10"/>
    </font>
    <font>
      <name val="Segoe UI"/>
      <color rgb="00000000"/>
      <sz val="9"/>
    </font>
    <font>
      <name val="Segoe UI"/>
      <b val="1"/>
      <color rgb="00274E13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9C0006"/>
      <sz val="9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</font>
    <font>
      <name val="Calibri"/>
      <color rgb="001A1A2E"/>
    </font>
    <font>
      <name val="Calibri"/>
      <b val="1"/>
      <color rgb="000000C0"/>
    </font>
    <font>
      <name val="Calibri"/>
      <b val="1"/>
      <color rgb="00006100"/>
    </font>
    <font>
      <name val="Calibri"/>
      <b val="1"/>
      <color rgb="001E6B3A"/>
    </font>
    <font>
      <name val="Calibri"/>
      <b val="1"/>
      <color rgb="001F4E79"/>
    </font>
    <font>
      <name val="Calibri"/>
      <b val="1"/>
      <color rgb="00C00000"/>
    </font>
    <font>
      <name val="Calibri"/>
      <charset val="1"/>
      <family val="2"/>
      <b val="1"/>
      <color rgb="FFFFFFFF"/>
      <sz val="15"/>
    </font>
    <font>
      <name val="Calibri"/>
      <charset val="1"/>
      <family val="2"/>
      <i val="1"/>
      <color rgb="FFDCE6F2"/>
      <sz val="9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color rgb="FF1A1A2E"/>
      <sz val="10"/>
    </font>
    <font>
      <name val="Calibri"/>
      <charset val="1"/>
      <family val="2"/>
      <b val="1"/>
      <color rgb="FF0000C0"/>
      <sz val="10"/>
    </font>
    <font>
      <name val="Calibri"/>
      <charset val="1"/>
      <family val="2"/>
      <i val="1"/>
      <color rgb="FF595959"/>
      <sz val="8"/>
    </font>
    <font>
      <name val="Calibri"/>
      <charset val="1"/>
      <family val="2"/>
      <color rgb="FF1A1A2E"/>
      <sz val="9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A1A2E"/>
      <sz val="10"/>
    </font>
    <font>
      <name val="Calibri"/>
      <charset val="1"/>
      <family val="2"/>
      <b val="1"/>
      <color rgb="FF1F4E79"/>
      <sz val="10"/>
    </font>
  </fonts>
  <fills count="2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4F8"/>
        <bgColor rgb="00F2F4F8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2E5B88"/>
        <bgColor rgb="002E5B88"/>
      </patternFill>
    </fill>
    <fill>
      <patternFill patternType="solid">
        <fgColor rgb="00FFC7CE"/>
        <bgColor rgb="00FFC7CE"/>
      </patternFill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F7F7F9"/>
      </patternFill>
    </fill>
    <fill>
      <patternFill patternType="solid">
        <fgColor rgb="00FBF3D5"/>
      </patternFill>
    </fill>
    <fill>
      <patternFill patternType="solid">
        <fgColor rgb="00E2F0D9"/>
      </patternFill>
    </fill>
    <fill>
      <patternFill patternType="solid">
        <fgColor rgb="00F4F8E8"/>
      </patternFill>
    </fill>
    <fill>
      <patternFill patternType="solid">
        <fgColor rgb="00EDF3FB"/>
      </patternFill>
    </fill>
    <fill>
      <patternFill patternType="solid">
        <fgColor rgb="002F5597"/>
      </patternFill>
    </fill>
    <fill>
      <patternFill patternType="solid">
        <fgColor rgb="FF1F3864"/>
        <bgColor rgb="FF33373D"/>
      </patternFill>
    </fill>
    <fill>
      <patternFill patternType="solid">
        <fgColor rgb="FF2E4D7B"/>
        <bgColor rgb="FF1F4E79"/>
      </patternFill>
    </fill>
    <fill>
      <patternFill patternType="solid">
        <fgColor rgb="FFFBF3D5"/>
        <bgColor rgb="FFFFF2CC"/>
      </patternFill>
    </fill>
    <fill>
      <patternFill patternType="solid">
        <fgColor rgb="FFFFFFFF"/>
        <bgColor rgb="FFF4F8E8"/>
      </patternFill>
    </fill>
    <fill>
      <patternFill patternType="solid">
        <fgColor rgb="FFEAEEF4"/>
        <bgColor rgb="FFEDF3FB"/>
      </patternFill>
    </fill>
    <fill>
      <patternFill patternType="solid">
        <fgColor rgb="FFC9A227"/>
        <bgColor rgb="FF99CC00"/>
      </patternFill>
    </fill>
    <fill>
      <patternFill patternType="solid">
        <fgColor rgb="FFEDF3FB"/>
        <bgColor rgb="FFEAEEF4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4" fillId="3" borderId="1" pivotButton="0" quotePrefix="0" xfId="0"/>
    <xf numFmtId="164" fontId="7" fillId="4" borderId="1" applyAlignment="1" pivotButton="0" quotePrefix="0" xfId="0">
      <alignment horizontal="right" vertical="center"/>
    </xf>
    <xf numFmtId="0" fontId="6" fillId="0" borderId="1" pivotButton="0" quotePrefix="0" xfId="0"/>
    <xf numFmtId="10" fontId="5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164" fontId="5" fillId="2" borderId="0" pivotButton="0" quotePrefix="0" xfId="0"/>
    <xf numFmtId="10" fontId="5" fillId="2" borderId="0" pivotButton="0" quotePrefix="0" xfId="0"/>
    <xf numFmtId="164" fontId="4" fillId="4" borderId="1" pivotButton="0" quotePrefix="0" xfId="0"/>
    <xf numFmtId="164" fontId="4" fillId="0" borderId="1" pivotButton="0" quotePrefix="0" xfId="0"/>
    <xf numFmtId="0" fontId="4" fillId="0" borderId="1" pivotButton="0" quotePrefix="0" xfId="0"/>
    <xf numFmtId="1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165" fontId="7" fillId="4" borderId="2" applyAlignment="1" pivotButton="0" quotePrefix="0" xfId="0">
      <alignment horizontal="right" vertical="center"/>
    </xf>
    <xf numFmtId="0" fontId="11" fillId="9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4" fillId="11" borderId="3" pivotButton="0" quotePrefix="0" xfId="0"/>
    <xf numFmtId="10" fontId="15" fillId="12" borderId="3" pivotButton="0" quotePrefix="0" xfId="0"/>
    <xf numFmtId="0" fontId="12" fillId="0" borderId="0" pivotButton="0" quotePrefix="0" xfId="0"/>
    <xf numFmtId="2" fontId="15" fillId="12" borderId="3" pivotButton="0" quotePrefix="0" xfId="0"/>
    <xf numFmtId="166" fontId="16" fillId="13" borderId="3" pivotButton="0" quotePrefix="0" xfId="0"/>
    <xf numFmtId="10" fontId="16" fillId="13" borderId="3" pivotButton="0" quotePrefix="0" xfId="0"/>
    <xf numFmtId="10" fontId="17" fillId="14" borderId="3" pivotButton="0" quotePrefix="0" xfId="0"/>
    <xf numFmtId="167" fontId="17" fillId="14" borderId="3" pivotButton="0" quotePrefix="0" xfId="0"/>
    <xf numFmtId="1" fontId="15" fillId="12" borderId="3" pivotButton="0" quotePrefix="0" xfId="0"/>
    <xf numFmtId="168" fontId="15" fillId="12" borderId="3" pivotButton="0" quotePrefix="0" xfId="0"/>
    <xf numFmtId="10" fontId="18" fillId="15" borderId="3" pivotButton="0" quotePrefix="0" xfId="0"/>
    <xf numFmtId="166" fontId="17" fillId="14" borderId="3" pivotButton="0" quotePrefix="0" xfId="0"/>
    <xf numFmtId="9" fontId="15" fillId="12" borderId="3" pivotButton="0" quotePrefix="0" xfId="0"/>
    <xf numFmtId="169" fontId="17" fillId="14" borderId="3" pivotButton="0" quotePrefix="0" xfId="0"/>
    <xf numFmtId="170" fontId="17" fillId="14" borderId="3" pivotButton="0" quotePrefix="0" xfId="0"/>
    <xf numFmtId="171" fontId="17" fillId="14" borderId="3" pivotButton="0" quotePrefix="0" xfId="0"/>
    <xf numFmtId="0" fontId="19" fillId="0" borderId="3" pivotButton="0" quotePrefix="0" xfId="0"/>
    <xf numFmtId="0" fontId="13" fillId="9" borderId="0" applyAlignment="1" pivotButton="0" quotePrefix="0" xfId="0">
      <alignment vertical="center"/>
    </xf>
    <xf numFmtId="0" fontId="13" fillId="16" borderId="3" applyAlignment="1" pivotButton="0" quotePrefix="0" xfId="0">
      <alignment horizontal="center" vertical="center" wrapText="1"/>
    </xf>
    <xf numFmtId="9" fontId="13" fillId="16" borderId="3" applyAlignment="1" pivotButton="0" quotePrefix="0" xfId="0">
      <alignment horizontal="center" vertical="center" wrapText="1"/>
    </xf>
    <xf numFmtId="2" fontId="14" fillId="0" borderId="3" pivotButton="0" quotePrefix="0" xfId="0"/>
    <xf numFmtId="0" fontId="20" fillId="17" borderId="0" applyAlignment="1" pivotButton="0" quotePrefix="0" xfId="0">
      <alignment vertical="center" indent="1"/>
    </xf>
    <xf numFmtId="0" fontId="21" fillId="18" borderId="0" applyAlignment="1" pivotButton="0" quotePrefix="0" xfId="0">
      <alignment vertical="center" indent="1"/>
    </xf>
    <xf numFmtId="0" fontId="22" fillId="17" borderId="4" applyAlignment="1" pivotButton="0" quotePrefix="0" xfId="0">
      <alignment horizontal="center" vertical="center" wrapText="1"/>
    </xf>
    <xf numFmtId="0" fontId="23" fillId="0" borderId="0" pivotButton="0" quotePrefix="0" xfId="0"/>
    <xf numFmtId="166" fontId="24" fillId="19" borderId="4" applyAlignment="1" pivotButton="0" quotePrefix="0" xfId="0">
      <alignment horizontal="right" indent="1"/>
    </xf>
    <xf numFmtId="0" fontId="25" fillId="0" borderId="0" pivotButton="0" quotePrefix="0" xfId="0"/>
    <xf numFmtId="10" fontId="24" fillId="19" borderId="4" applyAlignment="1" pivotButton="0" quotePrefix="0" xfId="0">
      <alignment horizontal="right" indent="1"/>
    </xf>
    <xf numFmtId="172" fontId="24" fillId="19" borderId="4" applyAlignment="1" pivotButton="0" quotePrefix="0" xfId="0">
      <alignment horizontal="right" indent="1"/>
    </xf>
    <xf numFmtId="170" fontId="24" fillId="19" borderId="4" applyAlignment="1" pivotButton="0" quotePrefix="0" xfId="0">
      <alignment horizontal="right" indent="1"/>
    </xf>
    <xf numFmtId="173" fontId="24" fillId="19" borderId="4" applyAlignment="1" pivotButton="0" quotePrefix="0" xfId="0">
      <alignment horizontal="right" indent="1"/>
    </xf>
    <xf numFmtId="0" fontId="13" fillId="10" borderId="0" pivotButton="0" quotePrefix="0" xfId="0"/>
    <xf numFmtId="9" fontId="18" fillId="15" borderId="3" pivotButton="0" quotePrefix="0" xfId="0"/>
    <xf numFmtId="0" fontId="26" fillId="20" borderId="4" applyAlignment="1" pivotButton="0" quotePrefix="0" xfId="0">
      <alignment vertical="center" indent="1"/>
    </xf>
    <xf numFmtId="10" fontId="26" fillId="20" borderId="4" applyAlignment="1" pivotButton="0" quotePrefix="0" xfId="0">
      <alignment horizontal="right" vertical="center" indent="1"/>
    </xf>
    <xf numFmtId="174" fontId="26" fillId="20" borderId="4" applyAlignment="1" pivotButton="0" quotePrefix="0" xfId="0">
      <alignment horizontal="right" vertical="center" indent="1"/>
    </xf>
    <xf numFmtId="0" fontId="26" fillId="21" borderId="4" applyAlignment="1" pivotButton="0" quotePrefix="0" xfId="0">
      <alignment vertical="center" indent="1"/>
    </xf>
    <xf numFmtId="10" fontId="26" fillId="21" borderId="4" applyAlignment="1" pivotButton="0" quotePrefix="0" xfId="0">
      <alignment horizontal="right" vertical="center" indent="1"/>
    </xf>
    <xf numFmtId="174" fontId="26" fillId="21" borderId="4" applyAlignment="1" pivotButton="0" quotePrefix="0" xfId="0">
      <alignment horizontal="right" vertical="center" indent="1"/>
    </xf>
    <xf numFmtId="0" fontId="27" fillId="22" borderId="0" applyAlignment="1" pivotButton="0" quotePrefix="0" xfId="0">
      <alignment vertical="center" indent="1"/>
    </xf>
    <xf numFmtId="0" fontId="26" fillId="20" borderId="4" applyAlignment="1" pivotButton="0" quotePrefix="0" xfId="0">
      <alignment horizontal="center" indent="1"/>
    </xf>
    <xf numFmtId="0" fontId="26" fillId="20" borderId="4" applyAlignment="1" pivotButton="0" quotePrefix="0" xfId="0">
      <alignment horizontal="right" indent="1"/>
    </xf>
    <xf numFmtId="10" fontId="26" fillId="20" borderId="4" applyAlignment="1" pivotButton="0" quotePrefix="0" xfId="0">
      <alignment horizontal="right" indent="1"/>
    </xf>
    <xf numFmtId="174" fontId="26" fillId="20" borderId="4" applyAlignment="1" pivotButton="0" quotePrefix="0" xfId="0">
      <alignment horizontal="right" indent="1"/>
    </xf>
    <xf numFmtId="170" fontId="26" fillId="20" borderId="4" applyAlignment="1" pivotButton="0" quotePrefix="0" xfId="0">
      <alignment horizontal="right" indent="1"/>
    </xf>
    <xf numFmtId="0" fontId="26" fillId="21" borderId="4" applyAlignment="1" pivotButton="0" quotePrefix="0" xfId="0">
      <alignment horizontal="center" indent="1"/>
    </xf>
    <xf numFmtId="0" fontId="26" fillId="21" borderId="4" applyAlignment="1" pivotButton="0" quotePrefix="0" xfId="0">
      <alignment horizontal="right" indent="1"/>
    </xf>
    <xf numFmtId="10" fontId="26" fillId="21" borderId="4" applyAlignment="1" pivotButton="0" quotePrefix="0" xfId="0">
      <alignment horizontal="right" indent="1"/>
    </xf>
    <xf numFmtId="174" fontId="26" fillId="21" borderId="4" applyAlignment="1" pivotButton="0" quotePrefix="0" xfId="0">
      <alignment horizontal="right" indent="1"/>
    </xf>
    <xf numFmtId="170" fontId="26" fillId="21" borderId="4" applyAlignment="1" pivotButton="0" quotePrefix="0" xfId="0">
      <alignment horizontal="right" indent="1"/>
    </xf>
    <xf numFmtId="0" fontId="28" fillId="22" borderId="0" applyAlignment="1" pivotButton="0" quotePrefix="0" xfId="0">
      <alignment vertical="center" indent="1"/>
    </xf>
    <xf numFmtId="2" fontId="29" fillId="23" borderId="4" applyAlignment="1" pivotButton="0" quotePrefix="0" xfId="0">
      <alignment horizontal="right" indent="1"/>
    </xf>
    <xf numFmtId="10" fontId="29" fillId="23" borderId="4" applyAlignment="1" pivotButton="0" quotePrefix="0" xfId="0">
      <alignment horizontal="right" indent="1"/>
    </xf>
    <xf numFmtId="169" fontId="29" fillId="23" borderId="4" applyAlignment="1" pivotButton="0" quotePrefix="0" xfId="0">
      <alignment horizontal="righ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showGridLines="1" workbookViewId="0">
      <selection activeCell="A1" sqref="A1"/>
    </sheetView>
  </sheetViews>
  <sheetFormatPr baseColWidth="8" defaultRowHeight="15"/>
  <cols>
    <col width="143" customWidth="1" min="1" max="1"/>
    <col width="22" customWidth="1" min="2" max="2"/>
    <col width="64" customWidth="1" min="3" max="3"/>
    <col width="20" customWidth="1" min="4" max="4"/>
    <col width="46" customWidth="1" min="5" max="5"/>
    <col width="34" customWidth="1" min="6" max="6"/>
    <col width="58" customWidth="1" min="7" max="7"/>
    <col width="26" customWidth="1" min="8" max="8"/>
    <col width="33" customWidth="1" min="9" max="9"/>
    <col width="28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MASTER COMMODITY TREASURY ENGINE  ·  INTERACTIVE SCENARIO EXPLORER</t>
        </is>
      </c>
    </row>
    <row r="2">
      <c r="A2" s="2" t="inlineStr">
        <is>
          <t>Enter any return % in cell B4 (e.g. 75%, 80%, 85%, 100%, 120%) or adjust starting capital/employees. All 20-year cycles dynamically reprice.</t>
        </is>
      </c>
    </row>
    <row r="4">
      <c r="A4" s="3" t="inlineStr">
        <is>
          <t>LIVE MODEL CONTROLS</t>
        </is>
      </c>
      <c r="E4" s="3" t="inlineStr">
        <is>
          <t>EXECUTIVE SUMMARY METRICS (20-YEAR HORIZON)</t>
        </is>
      </c>
    </row>
    <row r="5">
      <c r="A5" s="4" t="inlineStr">
        <is>
          <t>Starting Capital (₹ Cr)</t>
        </is>
      </c>
      <c r="B5" s="5" t="n">
        <v>0.6</v>
      </c>
      <c r="C5" s="6" t="inlineStr">
        <is>
          <t>Level 0 opening equity pool (₹60.00 Lakhs)</t>
        </is>
      </c>
      <c r="E5" s="7" t="inlineStr">
        <is>
          <t>Capital at Year 5 (3 Staff)</t>
        </is>
      </c>
      <c r="F5" s="8">
        <f>F23</f>
        <v/>
      </c>
      <c r="G5" s="9" t="inlineStr">
        <is>
          <t>Company + 3 staff capital in Year 5</t>
        </is>
      </c>
    </row>
    <row r="6">
      <c r="A6" s="4" t="inlineStr">
        <is>
          <t>Annual Gross Return</t>
        </is>
      </c>
      <c r="B6" s="10" t="n">
        <v>0.85</v>
      </c>
      <c r="C6" s="6" t="inlineStr">
        <is>
          <t>◄ EDIT HERE: Enter 75%, 80%, 85%, 100%, 120% or any %</t>
        </is>
      </c>
      <c r="E6" s="7" t="inlineStr">
        <is>
          <t>Capital at Year 10 (3 Staff)</t>
        </is>
      </c>
      <c r="F6" s="8">
        <f>F28</f>
        <v/>
      </c>
      <c r="G6" s="9" t="inlineStr">
        <is>
          <t>Company + 3 staff capital in Year 10</t>
        </is>
      </c>
    </row>
    <row r="7">
      <c r="A7" s="4" t="inlineStr">
        <is>
          <t>Corporate Tax Rate (u/s 115BAA)</t>
        </is>
      </c>
      <c r="B7" s="10" t="n">
        <v>0.25168</v>
      </c>
      <c r="C7" s="6" t="inlineStr">
        <is>
          <t>Flat 22% base + 10% surcharge + 4% cess</t>
        </is>
      </c>
      <c r="E7" s="7" t="inlineStr">
        <is>
          <t>Capital at Year 20 (MCX Solo)</t>
        </is>
      </c>
      <c r="F7" s="8">
        <f>C38</f>
        <v/>
      </c>
      <c r="G7" s="9" t="inlineStr">
        <is>
          <t>Capital at Year 20 without salary tax shield</t>
        </is>
      </c>
    </row>
    <row r="8">
      <c r="A8" s="4" t="inlineStr">
        <is>
          <t>Number of Family Employees</t>
        </is>
      </c>
      <c r="B8" s="11" t="n">
        <v>3</v>
      </c>
      <c r="C8" s="6" t="inlineStr">
        <is>
          <t>1, 2, or 3 employees on payroll (Mother, Gran, 3rd relative)</t>
        </is>
      </c>
      <c r="E8" s="7" t="inlineStr">
        <is>
          <t>Capital at Year 20 (3 Staff on MCX)</t>
        </is>
      </c>
      <c r="F8" s="8">
        <f>F38</f>
        <v/>
      </c>
      <c r="G8" s="9" t="inlineStr">
        <is>
          <t>Capital at Year 20 with 3 family employees</t>
        </is>
      </c>
    </row>
    <row r="9">
      <c r="A9" s="4" t="inlineStr">
        <is>
          <t>Salary per Employee (₹ Cr)</t>
        </is>
      </c>
      <c r="B9" s="5" t="n">
        <v>0.1275</v>
      </c>
      <c r="C9" s="6" t="inlineStr">
        <is>
          <t>₹12.75 Lakhs gross (Zero personal tax u/s 87A)</t>
        </is>
      </c>
      <c r="E9" s="7" t="inlineStr">
        <is>
          <t>Total 20-Yr Tax Shield Benefit</t>
        </is>
      </c>
      <c r="F9" s="8">
        <f>G38</f>
        <v/>
      </c>
      <c r="G9" s="9" t="inlineStr">
        <is>
          <t>Net extra wealth created purely via 3-employee loanback</t>
        </is>
      </c>
    </row>
    <row r="10">
      <c r="A10" s="4" t="inlineStr">
        <is>
          <t>Loanback Share</t>
        </is>
      </c>
      <c r="B10" s="10" t="n">
        <v>0.9</v>
      </c>
      <c r="C10" s="6" t="inlineStr">
        <is>
          <t>90% of net salary loaned back to company u/r 2(1)(c)(viii)</t>
        </is>
      </c>
      <c r="E10" s="7" t="inlineStr">
        <is>
          <t>Cumulative Family Loan Debt</t>
        </is>
      </c>
      <c r="F10" s="8">
        <f>H38</f>
        <v/>
      </c>
      <c r="G10" s="9" t="inlineStr">
        <is>
          <t>Tax-free personal wealth accumulated in family names</t>
        </is>
      </c>
    </row>
    <row r="11">
      <c r="A11" s="4" t="inlineStr">
        <is>
          <t>Salary Cap (% of Trading Profit)</t>
        </is>
      </c>
      <c r="B11" s="10" t="n">
        <v>0.4</v>
      </c>
      <c r="C11" s="6" t="inlineStr">
        <is>
          <t>Salary deduction capped at 40% of net trading gains</t>
        </is>
      </c>
      <c r="E11" s="7" t="inlineStr">
        <is>
          <t>Level 4 GIFT City CME Potential</t>
        </is>
      </c>
      <c r="F11" s="8">
        <f>I38</f>
        <v/>
      </c>
      <c r="G11" s="9" t="inlineStr">
        <is>
          <t>Global unconstrained capital pool at 0.00% tax</t>
        </is>
      </c>
    </row>
    <row r="12">
      <c r="A12" s="4" t="inlineStr">
        <is>
          <t>Company Annual Overhead (₹ Cr)</t>
        </is>
      </c>
      <c r="B12" s="5" t="n">
        <v>0.01</v>
      </c>
      <c r="C12" s="6" t="inlineStr">
        <is>
          <t>Statutory audit, MCA filings, ROC compliance (~₹1.0L)</t>
        </is>
      </c>
    </row>
    <row r="13">
      <c r="A13" s="4" t="inlineStr">
        <is>
          <t>MCX Deployable Ceiling (₹ Cr)</t>
        </is>
      </c>
      <c r="B13" s="5" t="n">
        <v>103.0917</v>
      </c>
      <c r="C13" s="6" t="inlineStr">
        <is>
          <t>SEBI 4,800-lot / ADV liquidity capacity ceiling</t>
        </is>
      </c>
    </row>
    <row r="14">
      <c r="A14" s="4" t="inlineStr">
        <is>
          <t>Idle Yield on Cash Reserve</t>
        </is>
      </c>
      <c r="B14" s="10" t="n">
        <v>0.065</v>
      </c>
      <c r="C14" s="6" t="inlineStr">
        <is>
          <t>Overnight repo / liquid fund yield on unallocated cash</t>
        </is>
      </c>
    </row>
    <row r="15">
      <c r="A15" s="4" t="inlineStr">
        <is>
          <t>GIFT City Activation Net Worth (₹ Cr)</t>
        </is>
      </c>
      <c r="B15" s="5" t="n">
        <v>25</v>
      </c>
      <c r="C15" s="6" t="inlineStr">
        <is>
          <t>Level 4 activation threshold (unlocks 400% RBI ODI = ₹100 Cr)</t>
        </is>
      </c>
    </row>
    <row r="16">
      <c r="A16" s="3" t="inlineStr">
        <is>
          <t>20-YEAR CYCLE PROGRESSION COMPARISON  (₹ Crores)</t>
        </is>
      </c>
    </row>
    <row r="17">
      <c r="A17" s="12" t="inlineStr">
        <is>
          <t>Year</t>
        </is>
      </c>
      <c r="B17" s="12" t="inlineStr">
        <is>
          <t>Personal (39% Slab)</t>
        </is>
      </c>
      <c r="C17" s="12" t="inlineStr">
        <is>
          <t>Company Solo (25.17%)</t>
        </is>
      </c>
      <c r="D17" s="12" t="inlineStr">
        <is>
          <t>Company + 1 Staff</t>
        </is>
      </c>
      <c r="E17" s="12" t="inlineStr">
        <is>
          <t>Company + 2 Staff</t>
        </is>
      </c>
      <c r="F17" s="12" t="inlineStr">
        <is>
          <t>Company + 3 Staff (Recommended)</t>
        </is>
      </c>
      <c r="G17" s="12" t="inlineStr">
        <is>
          <t>3 Staff Advantage vs Solo</t>
        </is>
      </c>
      <c r="H17" s="12" t="inlineStr">
        <is>
          <t>Cumulative Family Loans</t>
        </is>
      </c>
      <c r="I17" s="12" t="inlineStr">
        <is>
          <t>Level 4 GIFT City CME (0% Tax)</t>
        </is>
      </c>
      <c r="J17" s="12" t="inlineStr">
        <is>
          <t>GIFT City Edge vs MCX Cap</t>
        </is>
      </c>
    </row>
    <row r="18">
      <c r="A18" s="13" t="n">
        <v>0</v>
      </c>
      <c r="B18" s="14">
        <f>$B$5</f>
        <v/>
      </c>
      <c r="C18" s="14">
        <f>$B$5</f>
        <v/>
      </c>
      <c r="D18" s="14">
        <f>$B$5</f>
        <v/>
      </c>
      <c r="E18" s="14">
        <f>$B$5</f>
        <v/>
      </c>
      <c r="F18" s="14">
        <f>$B$5</f>
        <v/>
      </c>
      <c r="G18" s="15" t="n">
        <v>0</v>
      </c>
      <c r="H18" s="15" t="n">
        <v>0</v>
      </c>
      <c r="I18" s="15">
        <f>$B$5</f>
        <v/>
      </c>
      <c r="J18" s="15" t="n">
        <v>0</v>
      </c>
    </row>
    <row r="19">
      <c r="A19" s="13" t="n">
        <v>1</v>
      </c>
      <c r="B19" s="14">
        <f>M47</f>
        <v/>
      </c>
      <c r="C19" s="14">
        <f>M72</f>
        <v/>
      </c>
      <c r="D19" s="14">
        <f>M97</f>
        <v/>
      </c>
      <c r="E19" s="14">
        <f>M122</f>
        <v/>
      </c>
      <c r="F19" s="16">
        <f>M147</f>
        <v/>
      </c>
      <c r="G19" s="17">
        <f>F19-C19</f>
        <v/>
      </c>
      <c r="H19" s="14">
        <f>L147</f>
        <v/>
      </c>
      <c r="I19" s="18">
        <f>M172</f>
        <v/>
      </c>
      <c r="J19" s="17">
        <f>I19-F19</f>
        <v/>
      </c>
    </row>
    <row r="20">
      <c r="A20" s="13" t="n">
        <v>2</v>
      </c>
      <c r="B20" s="14">
        <f>M48</f>
        <v/>
      </c>
      <c r="C20" s="14">
        <f>M73</f>
        <v/>
      </c>
      <c r="D20" s="14">
        <f>M98</f>
        <v/>
      </c>
      <c r="E20" s="14">
        <f>M123</f>
        <v/>
      </c>
      <c r="F20" s="16">
        <f>M148</f>
        <v/>
      </c>
      <c r="G20" s="17">
        <f>F20-C20</f>
        <v/>
      </c>
      <c r="H20" s="14">
        <f>L148</f>
        <v/>
      </c>
      <c r="I20" s="18">
        <f>M173</f>
        <v/>
      </c>
      <c r="J20" s="17">
        <f>I20-F20</f>
        <v/>
      </c>
    </row>
    <row r="21">
      <c r="A21" s="13" t="n">
        <v>3</v>
      </c>
      <c r="B21" s="14">
        <f>M49</f>
        <v/>
      </c>
      <c r="C21" s="14">
        <f>M74</f>
        <v/>
      </c>
      <c r="D21" s="14">
        <f>M99</f>
        <v/>
      </c>
      <c r="E21" s="14">
        <f>M124</f>
        <v/>
      </c>
      <c r="F21" s="16">
        <f>M149</f>
        <v/>
      </c>
      <c r="G21" s="17">
        <f>F21-C21</f>
        <v/>
      </c>
      <c r="H21" s="14">
        <f>L149</f>
        <v/>
      </c>
      <c r="I21" s="18">
        <f>M174</f>
        <v/>
      </c>
      <c r="J21" s="17">
        <f>I21-F21</f>
        <v/>
      </c>
    </row>
    <row r="22">
      <c r="A22" s="13" t="n">
        <v>4</v>
      </c>
      <c r="B22" s="14">
        <f>M50</f>
        <v/>
      </c>
      <c r="C22" s="14">
        <f>M75</f>
        <v/>
      </c>
      <c r="D22" s="14">
        <f>M100</f>
        <v/>
      </c>
      <c r="E22" s="14">
        <f>M125</f>
        <v/>
      </c>
      <c r="F22" s="16">
        <f>M150</f>
        <v/>
      </c>
      <c r="G22" s="17">
        <f>F22-C22</f>
        <v/>
      </c>
      <c r="H22" s="14">
        <f>L150</f>
        <v/>
      </c>
      <c r="I22" s="18">
        <f>M175</f>
        <v/>
      </c>
      <c r="J22" s="17">
        <f>I22-F22</f>
        <v/>
      </c>
    </row>
    <row r="23">
      <c r="A23" s="13" t="n">
        <v>5</v>
      </c>
      <c r="B23" s="14">
        <f>M51</f>
        <v/>
      </c>
      <c r="C23" s="14">
        <f>M76</f>
        <v/>
      </c>
      <c r="D23" s="14">
        <f>M101</f>
        <v/>
      </c>
      <c r="E23" s="14">
        <f>M126</f>
        <v/>
      </c>
      <c r="F23" s="16">
        <f>M151</f>
        <v/>
      </c>
      <c r="G23" s="17">
        <f>F23-C23</f>
        <v/>
      </c>
      <c r="H23" s="14">
        <f>L151</f>
        <v/>
      </c>
      <c r="I23" s="18">
        <f>M176</f>
        <v/>
      </c>
      <c r="J23" s="17">
        <f>I23-F23</f>
        <v/>
      </c>
    </row>
    <row r="24">
      <c r="A24" s="13" t="n">
        <v>6</v>
      </c>
      <c r="B24" s="14">
        <f>M52</f>
        <v/>
      </c>
      <c r="C24" s="14">
        <f>M77</f>
        <v/>
      </c>
      <c r="D24" s="14">
        <f>M102</f>
        <v/>
      </c>
      <c r="E24" s="14">
        <f>M127</f>
        <v/>
      </c>
      <c r="F24" s="16">
        <f>M152</f>
        <v/>
      </c>
      <c r="G24" s="17">
        <f>F24-C24</f>
        <v/>
      </c>
      <c r="H24" s="14">
        <f>L152</f>
        <v/>
      </c>
      <c r="I24" s="18">
        <f>M177</f>
        <v/>
      </c>
      <c r="J24" s="17">
        <f>I24-F24</f>
        <v/>
      </c>
    </row>
    <row r="25">
      <c r="A25" s="13" t="n">
        <v>7</v>
      </c>
      <c r="B25" s="14">
        <f>M53</f>
        <v/>
      </c>
      <c r="C25" s="14">
        <f>M78</f>
        <v/>
      </c>
      <c r="D25" s="14">
        <f>M103</f>
        <v/>
      </c>
      <c r="E25" s="14">
        <f>M128</f>
        <v/>
      </c>
      <c r="F25" s="16">
        <f>M153</f>
        <v/>
      </c>
      <c r="G25" s="17">
        <f>F25-C25</f>
        <v/>
      </c>
      <c r="H25" s="14">
        <f>L153</f>
        <v/>
      </c>
      <c r="I25" s="18">
        <f>M178</f>
        <v/>
      </c>
      <c r="J25" s="17">
        <f>I25-F25</f>
        <v/>
      </c>
    </row>
    <row r="26">
      <c r="A26" s="13" t="n">
        <v>8</v>
      </c>
      <c r="B26" s="14">
        <f>M54</f>
        <v/>
      </c>
      <c r="C26" s="14">
        <f>M79</f>
        <v/>
      </c>
      <c r="D26" s="14">
        <f>M104</f>
        <v/>
      </c>
      <c r="E26" s="14">
        <f>M129</f>
        <v/>
      </c>
      <c r="F26" s="16">
        <f>M154</f>
        <v/>
      </c>
      <c r="G26" s="17">
        <f>F26-C26</f>
        <v/>
      </c>
      <c r="H26" s="14">
        <f>L154</f>
        <v/>
      </c>
      <c r="I26" s="18">
        <f>M179</f>
        <v/>
      </c>
      <c r="J26" s="17">
        <f>I26-F26</f>
        <v/>
      </c>
    </row>
    <row r="27">
      <c r="A27" s="13" t="n">
        <v>9</v>
      </c>
      <c r="B27" s="14">
        <f>M55</f>
        <v/>
      </c>
      <c r="C27" s="14">
        <f>M80</f>
        <v/>
      </c>
      <c r="D27" s="14">
        <f>M105</f>
        <v/>
      </c>
      <c r="E27" s="14">
        <f>M130</f>
        <v/>
      </c>
      <c r="F27" s="16">
        <f>M155</f>
        <v/>
      </c>
      <c r="G27" s="17">
        <f>F27-C27</f>
        <v/>
      </c>
      <c r="H27" s="14">
        <f>L155</f>
        <v/>
      </c>
      <c r="I27" s="18">
        <f>M180</f>
        <v/>
      </c>
      <c r="J27" s="17">
        <f>I27-F27</f>
        <v/>
      </c>
    </row>
    <row r="28">
      <c r="A28" s="13" t="n">
        <v>10</v>
      </c>
      <c r="B28" s="14">
        <f>M56</f>
        <v/>
      </c>
      <c r="C28" s="14">
        <f>M81</f>
        <v/>
      </c>
      <c r="D28" s="14">
        <f>M106</f>
        <v/>
      </c>
      <c r="E28" s="14">
        <f>M131</f>
        <v/>
      </c>
      <c r="F28" s="16">
        <f>M156</f>
        <v/>
      </c>
      <c r="G28" s="17">
        <f>F28-C28</f>
        <v/>
      </c>
      <c r="H28" s="14">
        <f>L156</f>
        <v/>
      </c>
      <c r="I28" s="18">
        <f>M181</f>
        <v/>
      </c>
      <c r="J28" s="17">
        <f>I28-F28</f>
        <v/>
      </c>
    </row>
    <row r="29">
      <c r="A29" s="13" t="n">
        <v>11</v>
      </c>
      <c r="B29" s="14">
        <f>M57</f>
        <v/>
      </c>
      <c r="C29" s="14">
        <f>M82</f>
        <v/>
      </c>
      <c r="D29" s="14">
        <f>M107</f>
        <v/>
      </c>
      <c r="E29" s="14">
        <f>M132</f>
        <v/>
      </c>
      <c r="F29" s="16">
        <f>M157</f>
        <v/>
      </c>
      <c r="G29" s="17">
        <f>F29-C29</f>
        <v/>
      </c>
      <c r="H29" s="14">
        <f>L157</f>
        <v/>
      </c>
      <c r="I29" s="18">
        <f>M182</f>
        <v/>
      </c>
      <c r="J29" s="17">
        <f>I29-F29</f>
        <v/>
      </c>
    </row>
    <row r="30">
      <c r="A30" s="13" t="n">
        <v>12</v>
      </c>
      <c r="B30" s="14">
        <f>M58</f>
        <v/>
      </c>
      <c r="C30" s="14">
        <f>M83</f>
        <v/>
      </c>
      <c r="D30" s="14">
        <f>M108</f>
        <v/>
      </c>
      <c r="E30" s="14">
        <f>M133</f>
        <v/>
      </c>
      <c r="F30" s="16">
        <f>M158</f>
        <v/>
      </c>
      <c r="G30" s="17">
        <f>F30-C30</f>
        <v/>
      </c>
      <c r="H30" s="14">
        <f>L158</f>
        <v/>
      </c>
      <c r="I30" s="18">
        <f>M183</f>
        <v/>
      </c>
      <c r="J30" s="17">
        <f>I30-F30</f>
        <v/>
      </c>
    </row>
    <row r="31">
      <c r="A31" s="13" t="n">
        <v>13</v>
      </c>
      <c r="B31" s="14">
        <f>M59</f>
        <v/>
      </c>
      <c r="C31" s="14">
        <f>M84</f>
        <v/>
      </c>
      <c r="D31" s="14">
        <f>M109</f>
        <v/>
      </c>
      <c r="E31" s="14">
        <f>M134</f>
        <v/>
      </c>
      <c r="F31" s="16">
        <f>M159</f>
        <v/>
      </c>
      <c r="G31" s="17">
        <f>F31-C31</f>
        <v/>
      </c>
      <c r="H31" s="14">
        <f>L159</f>
        <v/>
      </c>
      <c r="I31" s="18">
        <f>M184</f>
        <v/>
      </c>
      <c r="J31" s="17">
        <f>I31-F31</f>
        <v/>
      </c>
    </row>
    <row r="32">
      <c r="A32" s="13" t="n">
        <v>14</v>
      </c>
      <c r="B32" s="14">
        <f>M60</f>
        <v/>
      </c>
      <c r="C32" s="14">
        <f>M85</f>
        <v/>
      </c>
      <c r="D32" s="14">
        <f>M110</f>
        <v/>
      </c>
      <c r="E32" s="14">
        <f>M135</f>
        <v/>
      </c>
      <c r="F32" s="16">
        <f>M160</f>
        <v/>
      </c>
      <c r="G32" s="17">
        <f>F32-C32</f>
        <v/>
      </c>
      <c r="H32" s="14">
        <f>L160</f>
        <v/>
      </c>
      <c r="I32" s="18">
        <f>M185</f>
        <v/>
      </c>
      <c r="J32" s="17">
        <f>I32-F32</f>
        <v/>
      </c>
    </row>
    <row r="33">
      <c r="A33" s="13" t="n">
        <v>15</v>
      </c>
      <c r="B33" s="14">
        <f>M61</f>
        <v/>
      </c>
      <c r="C33" s="14">
        <f>M86</f>
        <v/>
      </c>
      <c r="D33" s="14">
        <f>M111</f>
        <v/>
      </c>
      <c r="E33" s="14">
        <f>M136</f>
        <v/>
      </c>
      <c r="F33" s="16">
        <f>M161</f>
        <v/>
      </c>
      <c r="G33" s="17">
        <f>F33-C33</f>
        <v/>
      </c>
      <c r="H33" s="14">
        <f>L161</f>
        <v/>
      </c>
      <c r="I33" s="18">
        <f>M186</f>
        <v/>
      </c>
      <c r="J33" s="17">
        <f>I33-F33</f>
        <v/>
      </c>
    </row>
    <row r="34">
      <c r="A34" s="13" t="n">
        <v>16</v>
      </c>
      <c r="B34" s="14">
        <f>M62</f>
        <v/>
      </c>
      <c r="C34" s="14">
        <f>M87</f>
        <v/>
      </c>
      <c r="D34" s="14">
        <f>M112</f>
        <v/>
      </c>
      <c r="E34" s="14">
        <f>M137</f>
        <v/>
      </c>
      <c r="F34" s="16">
        <f>M162</f>
        <v/>
      </c>
      <c r="G34" s="17">
        <f>F34-C34</f>
        <v/>
      </c>
      <c r="H34" s="14">
        <f>L162</f>
        <v/>
      </c>
      <c r="I34" s="18">
        <f>M187</f>
        <v/>
      </c>
      <c r="J34" s="17">
        <f>I34-F34</f>
        <v/>
      </c>
    </row>
    <row r="35">
      <c r="A35" s="13" t="n">
        <v>17</v>
      </c>
      <c r="B35" s="14">
        <f>M63</f>
        <v/>
      </c>
      <c r="C35" s="14">
        <f>M88</f>
        <v/>
      </c>
      <c r="D35" s="14">
        <f>M113</f>
        <v/>
      </c>
      <c r="E35" s="14">
        <f>M138</f>
        <v/>
      </c>
      <c r="F35" s="16">
        <f>M163</f>
        <v/>
      </c>
      <c r="G35" s="17">
        <f>F35-C35</f>
        <v/>
      </c>
      <c r="H35" s="14">
        <f>L163</f>
        <v/>
      </c>
      <c r="I35" s="18">
        <f>M188</f>
        <v/>
      </c>
      <c r="J35" s="17">
        <f>I35-F35</f>
        <v/>
      </c>
    </row>
    <row r="36">
      <c r="A36" s="13" t="n">
        <v>18</v>
      </c>
      <c r="B36" s="14">
        <f>M64</f>
        <v/>
      </c>
      <c r="C36" s="14">
        <f>M89</f>
        <v/>
      </c>
      <c r="D36" s="14">
        <f>M114</f>
        <v/>
      </c>
      <c r="E36" s="14">
        <f>M139</f>
        <v/>
      </c>
      <c r="F36" s="16">
        <f>M164</f>
        <v/>
      </c>
      <c r="G36" s="17">
        <f>F36-C36</f>
        <v/>
      </c>
      <c r="H36" s="14">
        <f>L164</f>
        <v/>
      </c>
      <c r="I36" s="18">
        <f>M189</f>
        <v/>
      </c>
      <c r="J36" s="17">
        <f>I36-F36</f>
        <v/>
      </c>
    </row>
    <row r="37">
      <c r="A37" s="13" t="n">
        <v>19</v>
      </c>
      <c r="B37" s="14">
        <f>M65</f>
        <v/>
      </c>
      <c r="C37" s="14">
        <f>M90</f>
        <v/>
      </c>
      <c r="D37" s="14">
        <f>M115</f>
        <v/>
      </c>
      <c r="E37" s="14">
        <f>M140</f>
        <v/>
      </c>
      <c r="F37" s="16">
        <f>M165</f>
        <v/>
      </c>
      <c r="G37" s="17">
        <f>F37-C37</f>
        <v/>
      </c>
      <c r="H37" s="14">
        <f>L165</f>
        <v/>
      </c>
      <c r="I37" s="18">
        <f>M190</f>
        <v/>
      </c>
      <c r="J37" s="17">
        <f>I37-F37</f>
        <v/>
      </c>
    </row>
    <row r="38">
      <c r="A38" s="13" t="n">
        <v>20</v>
      </c>
      <c r="B38" s="14">
        <f>M66</f>
        <v/>
      </c>
      <c r="C38" s="14">
        <f>M91</f>
        <v/>
      </c>
      <c r="D38" s="14">
        <f>M116</f>
        <v/>
      </c>
      <c r="E38" s="14">
        <f>M141</f>
        <v/>
      </c>
      <c r="F38" s="16">
        <f>M166</f>
        <v/>
      </c>
      <c r="G38" s="17">
        <f>F38-C38</f>
        <v/>
      </c>
      <c r="H38" s="14">
        <f>L166</f>
        <v/>
      </c>
      <c r="I38" s="18">
        <f>M191</f>
        <v/>
      </c>
      <c r="J38" s="17">
        <f>I38-F38</f>
        <v/>
      </c>
    </row>
    <row r="44">
      <c r="A44" s="3" t="inlineStr">
        <is>
          <t>CALCULATION ENGINE 1: PERSONAL ROUTE (SLAB TAXES)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CALCULATION ENGINE 2: COMPANY SOLO (25.168% FLAT TAX)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CALCULATION ENGINE 3: COMPANY + 1 EMPLOYEE (MOTHER)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CALCULATION ENGINE 4: COMPANY + 2 EMPLOYEES (MOTHER + GRANDMOTHER)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CALCULATION ENGINE 5: COMPANY + 3 EMPLOYEES (MOTHER + GRAN + 3RD RELATIVE)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  <row r="169">
      <c r="A169" s="3" t="inlineStr">
        <is>
          <t>CALCULATION ENGINE 6: LEVEL 4 GIFT CITY CME HYBRID (0% TAX U/S 80LA)</t>
        </is>
      </c>
    </row>
    <row r="170">
      <c r="A170" s="19" t="inlineStr">
        <is>
          <t>Year</t>
        </is>
      </c>
      <c r="B170" s="19" t="inlineStr">
        <is>
          <t>Opening</t>
        </is>
      </c>
      <c r="C170" s="19" t="inlineStr">
        <is>
          <t>Deployed</t>
        </is>
      </c>
      <c r="D170" s="19" t="inlineStr">
        <is>
          <t>Idle</t>
        </is>
      </c>
      <c r="E170" s="19" t="inlineStr">
        <is>
          <t>Profit</t>
        </is>
      </c>
      <c r="F170" s="19" t="inlineStr">
        <is>
          <t>Overhead</t>
        </is>
      </c>
      <c r="G170" s="19" t="inlineStr">
        <is>
          <t>Salary Paid</t>
        </is>
      </c>
      <c r="H170" s="19" t="inlineStr">
        <is>
          <t>Taxable Profit</t>
        </is>
      </c>
      <c r="I170" s="19" t="inlineStr">
        <is>
          <t>Income Tax</t>
        </is>
      </c>
      <c r="J170" s="19" t="inlineStr">
        <is>
          <t>Not Lent Back</t>
        </is>
      </c>
      <c r="K170" s="19" t="inlineStr">
        <is>
          <t>New Loan</t>
        </is>
      </c>
      <c r="L170" s="19" t="inlineStr">
        <is>
          <t>Loans Outstanding</t>
        </is>
      </c>
      <c r="M170" s="19" t="inlineStr">
        <is>
          <t>Closing Capital</t>
        </is>
      </c>
      <c r="N170" s="19" t="inlineStr">
        <is>
          <t>Net Equity (Closing - Loans)</t>
        </is>
      </c>
    </row>
    <row r="171">
      <c r="A171" s="20" t="n">
        <v>0</v>
      </c>
      <c r="B171" s="15">
        <f>$B$5</f>
        <v/>
      </c>
      <c r="C171" s="21" t="n">
        <v>0</v>
      </c>
      <c r="D171" s="21" t="n">
        <v>0</v>
      </c>
      <c r="E171" s="21" t="n">
        <v>0</v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15">
        <f>$B$5</f>
        <v/>
      </c>
      <c r="N171" s="15">
        <f>$B$5</f>
        <v/>
      </c>
    </row>
    <row r="172">
      <c r="A172" s="20" t="n">
        <v>1</v>
      </c>
      <c r="B172" s="15">
        <f>M171</f>
        <v/>
      </c>
      <c r="C172" s="15">
        <f>MIN(B172, 4000)</f>
        <v/>
      </c>
      <c r="D172" s="15">
        <f>MAX(B172-C172, 0)</f>
        <v/>
      </c>
      <c r="E172" s="15">
        <f>C172*$B$6 + D172*$B$14</f>
        <v/>
      </c>
      <c r="F172" s="15" t="n">
        <v>0.35</v>
      </c>
      <c r="G172" s="21" t="n">
        <v>0</v>
      </c>
      <c r="H172" s="15">
        <f>MAX(E172-F172, 0)</f>
        <v/>
      </c>
      <c r="I172" s="15">
        <f>IF(A172&lt;=10, 0, H172*$B$7)</f>
        <v/>
      </c>
      <c r="J172" s="21" t="n">
        <v>0</v>
      </c>
      <c r="K172" s="21" t="n">
        <v>0</v>
      </c>
      <c r="L172" s="21" t="n">
        <v>0</v>
      </c>
      <c r="M172" s="15">
        <f>B172+E172-F172-I172</f>
        <v/>
      </c>
      <c r="N172" s="15">
        <f>M172</f>
        <v/>
      </c>
    </row>
    <row r="173">
      <c r="A173" s="20" t="n">
        <v>2</v>
      </c>
      <c r="B173" s="15">
        <f>M172</f>
        <v/>
      </c>
      <c r="C173" s="15">
        <f>MIN(B173, 4000)</f>
        <v/>
      </c>
      <c r="D173" s="15">
        <f>MAX(B173-C173, 0)</f>
        <v/>
      </c>
      <c r="E173" s="15">
        <f>C173*$B$6 + D173*$B$14</f>
        <v/>
      </c>
      <c r="F173" s="15" t="n">
        <v>0.35</v>
      </c>
      <c r="G173" s="21" t="n">
        <v>0</v>
      </c>
      <c r="H173" s="15">
        <f>MAX(E173-F173, 0)</f>
        <v/>
      </c>
      <c r="I173" s="15">
        <f>IF(A173&lt;=10, 0, H173*$B$7)</f>
        <v/>
      </c>
      <c r="J173" s="21" t="n">
        <v>0</v>
      </c>
      <c r="K173" s="21" t="n">
        <v>0</v>
      </c>
      <c r="L173" s="21" t="n">
        <v>0</v>
      </c>
      <c r="M173" s="15">
        <f>B173+E173-F173-I173</f>
        <v/>
      </c>
      <c r="N173" s="15">
        <f>M173</f>
        <v/>
      </c>
    </row>
    <row r="174">
      <c r="A174" s="20" t="n">
        <v>3</v>
      </c>
      <c r="B174" s="15">
        <f>M173</f>
        <v/>
      </c>
      <c r="C174" s="15">
        <f>MIN(B174, 4000)</f>
        <v/>
      </c>
      <c r="D174" s="15">
        <f>MAX(B174-C174, 0)</f>
        <v/>
      </c>
      <c r="E174" s="15">
        <f>C174*$B$6 + D174*$B$14</f>
        <v/>
      </c>
      <c r="F174" s="15" t="n">
        <v>0.35</v>
      </c>
      <c r="G174" s="21" t="n">
        <v>0</v>
      </c>
      <c r="H174" s="15">
        <f>MAX(E174-F174, 0)</f>
        <v/>
      </c>
      <c r="I174" s="15">
        <f>IF(A174&lt;=10, 0, H174*$B$7)</f>
        <v/>
      </c>
      <c r="J174" s="21" t="n">
        <v>0</v>
      </c>
      <c r="K174" s="21" t="n">
        <v>0</v>
      </c>
      <c r="L174" s="21" t="n">
        <v>0</v>
      </c>
      <c r="M174" s="15">
        <f>B174+E174-F174-I174</f>
        <v/>
      </c>
      <c r="N174" s="15">
        <f>M174</f>
        <v/>
      </c>
    </row>
    <row r="175">
      <c r="A175" s="20" t="n">
        <v>4</v>
      </c>
      <c r="B175" s="15">
        <f>M174</f>
        <v/>
      </c>
      <c r="C175" s="15">
        <f>MIN(B175, 4000)</f>
        <v/>
      </c>
      <c r="D175" s="15">
        <f>MAX(B175-C175, 0)</f>
        <v/>
      </c>
      <c r="E175" s="15">
        <f>C175*$B$6 + D175*$B$14</f>
        <v/>
      </c>
      <c r="F175" s="15" t="n">
        <v>0.35</v>
      </c>
      <c r="G175" s="21" t="n">
        <v>0</v>
      </c>
      <c r="H175" s="15">
        <f>MAX(E175-F175, 0)</f>
        <v/>
      </c>
      <c r="I175" s="15">
        <f>IF(A175&lt;=10, 0, H175*$B$7)</f>
        <v/>
      </c>
      <c r="J175" s="21" t="n">
        <v>0</v>
      </c>
      <c r="K175" s="21" t="n">
        <v>0</v>
      </c>
      <c r="L175" s="21" t="n">
        <v>0</v>
      </c>
      <c r="M175" s="15">
        <f>B175+E175-F175-I175</f>
        <v/>
      </c>
      <c r="N175" s="15">
        <f>M175</f>
        <v/>
      </c>
    </row>
    <row r="176">
      <c r="A176" s="20" t="n">
        <v>5</v>
      </c>
      <c r="B176" s="15">
        <f>M175</f>
        <v/>
      </c>
      <c r="C176" s="15">
        <f>MIN(B176, 4000)</f>
        <v/>
      </c>
      <c r="D176" s="15">
        <f>MAX(B176-C176, 0)</f>
        <v/>
      </c>
      <c r="E176" s="15">
        <f>C176*$B$6 + D176*$B$14</f>
        <v/>
      </c>
      <c r="F176" s="15" t="n">
        <v>0.35</v>
      </c>
      <c r="G176" s="21" t="n">
        <v>0</v>
      </c>
      <c r="H176" s="15">
        <f>MAX(E176-F176, 0)</f>
        <v/>
      </c>
      <c r="I176" s="15">
        <f>IF(A176&lt;=10, 0, H176*$B$7)</f>
        <v/>
      </c>
      <c r="J176" s="21" t="n">
        <v>0</v>
      </c>
      <c r="K176" s="21" t="n">
        <v>0</v>
      </c>
      <c r="L176" s="21" t="n">
        <v>0</v>
      </c>
      <c r="M176" s="15">
        <f>B176+E176-F176-I176</f>
        <v/>
      </c>
      <c r="N176" s="15">
        <f>M176</f>
        <v/>
      </c>
    </row>
    <row r="177">
      <c r="A177" s="20" t="n">
        <v>6</v>
      </c>
      <c r="B177" s="15">
        <f>M176</f>
        <v/>
      </c>
      <c r="C177" s="15">
        <f>MIN(B177, 4000)</f>
        <v/>
      </c>
      <c r="D177" s="15">
        <f>MAX(B177-C177, 0)</f>
        <v/>
      </c>
      <c r="E177" s="15">
        <f>C177*$B$6 + D177*$B$14</f>
        <v/>
      </c>
      <c r="F177" s="15" t="n">
        <v>0.35</v>
      </c>
      <c r="G177" s="21" t="n">
        <v>0</v>
      </c>
      <c r="H177" s="15">
        <f>MAX(E177-F177, 0)</f>
        <v/>
      </c>
      <c r="I177" s="15">
        <f>IF(A177&lt;=10, 0, H177*$B$7)</f>
        <v/>
      </c>
      <c r="J177" s="21" t="n">
        <v>0</v>
      </c>
      <c r="K177" s="21" t="n">
        <v>0</v>
      </c>
      <c r="L177" s="21" t="n">
        <v>0</v>
      </c>
      <c r="M177" s="15">
        <f>B177+E177-F177-I177</f>
        <v/>
      </c>
      <c r="N177" s="15">
        <f>M177</f>
        <v/>
      </c>
    </row>
    <row r="178">
      <c r="A178" s="20" t="n">
        <v>7</v>
      </c>
      <c r="B178" s="15">
        <f>M177</f>
        <v/>
      </c>
      <c r="C178" s="15">
        <f>MIN(B178, 4000)</f>
        <v/>
      </c>
      <c r="D178" s="15">
        <f>MAX(B178-C178, 0)</f>
        <v/>
      </c>
      <c r="E178" s="15">
        <f>C178*$B$6 + D178*$B$14</f>
        <v/>
      </c>
      <c r="F178" s="15" t="n">
        <v>0.35</v>
      </c>
      <c r="G178" s="21" t="n">
        <v>0</v>
      </c>
      <c r="H178" s="15">
        <f>MAX(E178-F178, 0)</f>
        <v/>
      </c>
      <c r="I178" s="15">
        <f>IF(A178&lt;=10, 0, H178*$B$7)</f>
        <v/>
      </c>
      <c r="J178" s="21" t="n">
        <v>0</v>
      </c>
      <c r="K178" s="21" t="n">
        <v>0</v>
      </c>
      <c r="L178" s="21" t="n">
        <v>0</v>
      </c>
      <c r="M178" s="15">
        <f>B178+E178-F178-I178</f>
        <v/>
      </c>
      <c r="N178" s="15">
        <f>M178</f>
        <v/>
      </c>
    </row>
    <row r="179">
      <c r="A179" s="20" t="n">
        <v>8</v>
      </c>
      <c r="B179" s="15">
        <f>M178</f>
        <v/>
      </c>
      <c r="C179" s="15">
        <f>MIN(B179, 4000)</f>
        <v/>
      </c>
      <c r="D179" s="15">
        <f>MAX(B179-C179, 0)</f>
        <v/>
      </c>
      <c r="E179" s="15">
        <f>C179*$B$6 + D179*$B$14</f>
        <v/>
      </c>
      <c r="F179" s="15" t="n">
        <v>0.35</v>
      </c>
      <c r="G179" s="21" t="n">
        <v>0</v>
      </c>
      <c r="H179" s="15">
        <f>MAX(E179-F179, 0)</f>
        <v/>
      </c>
      <c r="I179" s="15">
        <f>IF(A179&lt;=10, 0, H179*$B$7)</f>
        <v/>
      </c>
      <c r="J179" s="21" t="n">
        <v>0</v>
      </c>
      <c r="K179" s="21" t="n">
        <v>0</v>
      </c>
      <c r="L179" s="21" t="n">
        <v>0</v>
      </c>
      <c r="M179" s="15">
        <f>B179+E179-F179-I179</f>
        <v/>
      </c>
      <c r="N179" s="15">
        <f>M179</f>
        <v/>
      </c>
    </row>
    <row r="180">
      <c r="A180" s="20" t="n">
        <v>9</v>
      </c>
      <c r="B180" s="15">
        <f>M179</f>
        <v/>
      </c>
      <c r="C180" s="15">
        <f>MIN(B180, 4000)</f>
        <v/>
      </c>
      <c r="D180" s="15">
        <f>MAX(B180-C180, 0)</f>
        <v/>
      </c>
      <c r="E180" s="15">
        <f>C180*$B$6 + D180*$B$14</f>
        <v/>
      </c>
      <c r="F180" s="15" t="n">
        <v>0.35</v>
      </c>
      <c r="G180" s="21" t="n">
        <v>0</v>
      </c>
      <c r="H180" s="15">
        <f>MAX(E180-F180, 0)</f>
        <v/>
      </c>
      <c r="I180" s="15">
        <f>IF(A180&lt;=10, 0, H180*$B$7)</f>
        <v/>
      </c>
      <c r="J180" s="21" t="n">
        <v>0</v>
      </c>
      <c r="K180" s="21" t="n">
        <v>0</v>
      </c>
      <c r="L180" s="21" t="n">
        <v>0</v>
      </c>
      <c r="M180" s="15">
        <f>B180+E180-F180-I180</f>
        <v/>
      </c>
      <c r="N180" s="15">
        <f>M180</f>
        <v/>
      </c>
    </row>
    <row r="181">
      <c r="A181" s="20" t="n">
        <v>10</v>
      </c>
      <c r="B181" s="15">
        <f>M180</f>
        <v/>
      </c>
      <c r="C181" s="15">
        <f>MIN(B181, 4000)</f>
        <v/>
      </c>
      <c r="D181" s="15">
        <f>MAX(B181-C181, 0)</f>
        <v/>
      </c>
      <c r="E181" s="15">
        <f>C181*$B$6 + D181*$B$14</f>
        <v/>
      </c>
      <c r="F181" s="15" t="n">
        <v>0.35</v>
      </c>
      <c r="G181" s="21" t="n">
        <v>0</v>
      </c>
      <c r="H181" s="15">
        <f>MAX(E181-F181, 0)</f>
        <v/>
      </c>
      <c r="I181" s="15">
        <f>IF(A181&lt;=10, 0, H181*$B$7)</f>
        <v/>
      </c>
      <c r="J181" s="21" t="n">
        <v>0</v>
      </c>
      <c r="K181" s="21" t="n">
        <v>0</v>
      </c>
      <c r="L181" s="21" t="n">
        <v>0</v>
      </c>
      <c r="M181" s="15">
        <f>B181+E181-F181-I181</f>
        <v/>
      </c>
      <c r="N181" s="15">
        <f>M181</f>
        <v/>
      </c>
    </row>
    <row r="182">
      <c r="A182" s="20" t="n">
        <v>11</v>
      </c>
      <c r="B182" s="15">
        <f>M181</f>
        <v/>
      </c>
      <c r="C182" s="15">
        <f>MIN(B182, 4000)</f>
        <v/>
      </c>
      <c r="D182" s="15">
        <f>MAX(B182-C182, 0)</f>
        <v/>
      </c>
      <c r="E182" s="15">
        <f>C182*$B$6 + D182*$B$14</f>
        <v/>
      </c>
      <c r="F182" s="15" t="n">
        <v>0.35</v>
      </c>
      <c r="G182" s="21" t="n">
        <v>0</v>
      </c>
      <c r="H182" s="15">
        <f>MAX(E182-F182, 0)</f>
        <v/>
      </c>
      <c r="I182" s="15">
        <f>IF(A182&lt;=10, 0, H182*$B$7)</f>
        <v/>
      </c>
      <c r="J182" s="21" t="n">
        <v>0</v>
      </c>
      <c r="K182" s="21" t="n">
        <v>0</v>
      </c>
      <c r="L182" s="21" t="n">
        <v>0</v>
      </c>
      <c r="M182" s="15">
        <f>B182+E182-F182-I182</f>
        <v/>
      </c>
      <c r="N182" s="15">
        <f>M182</f>
        <v/>
      </c>
    </row>
    <row r="183">
      <c r="A183" s="20" t="n">
        <v>12</v>
      </c>
      <c r="B183" s="15">
        <f>M182</f>
        <v/>
      </c>
      <c r="C183" s="15">
        <f>MIN(B183, 4000)</f>
        <v/>
      </c>
      <c r="D183" s="15">
        <f>MAX(B183-C183, 0)</f>
        <v/>
      </c>
      <c r="E183" s="15">
        <f>C183*$B$6 + D183*$B$14</f>
        <v/>
      </c>
      <c r="F183" s="15" t="n">
        <v>0.35</v>
      </c>
      <c r="G183" s="21" t="n">
        <v>0</v>
      </c>
      <c r="H183" s="15">
        <f>MAX(E183-F183, 0)</f>
        <v/>
      </c>
      <c r="I183" s="15">
        <f>IF(A183&lt;=10, 0, H183*$B$7)</f>
        <v/>
      </c>
      <c r="J183" s="21" t="n">
        <v>0</v>
      </c>
      <c r="K183" s="21" t="n">
        <v>0</v>
      </c>
      <c r="L183" s="21" t="n">
        <v>0</v>
      </c>
      <c r="M183" s="15">
        <f>B183+E183-F183-I183</f>
        <v/>
      </c>
      <c r="N183" s="15">
        <f>M183</f>
        <v/>
      </c>
    </row>
    <row r="184">
      <c r="A184" s="20" t="n">
        <v>13</v>
      </c>
      <c r="B184" s="15">
        <f>M183</f>
        <v/>
      </c>
      <c r="C184" s="15">
        <f>MIN(B184, 4000)</f>
        <v/>
      </c>
      <c r="D184" s="15">
        <f>MAX(B184-C184, 0)</f>
        <v/>
      </c>
      <c r="E184" s="15">
        <f>C184*$B$6 + D184*$B$14</f>
        <v/>
      </c>
      <c r="F184" s="15" t="n">
        <v>0.35</v>
      </c>
      <c r="G184" s="21" t="n">
        <v>0</v>
      </c>
      <c r="H184" s="15">
        <f>MAX(E184-F184, 0)</f>
        <v/>
      </c>
      <c r="I184" s="15">
        <f>IF(A184&lt;=10, 0, H184*$B$7)</f>
        <v/>
      </c>
      <c r="J184" s="21" t="n">
        <v>0</v>
      </c>
      <c r="K184" s="21" t="n">
        <v>0</v>
      </c>
      <c r="L184" s="21" t="n">
        <v>0</v>
      </c>
      <c r="M184" s="15">
        <f>B184+E184-F184-I184</f>
        <v/>
      </c>
      <c r="N184" s="15">
        <f>M184</f>
        <v/>
      </c>
    </row>
    <row r="185">
      <c r="A185" s="20" t="n">
        <v>14</v>
      </c>
      <c r="B185" s="15">
        <f>M184</f>
        <v/>
      </c>
      <c r="C185" s="15">
        <f>MIN(B185, 4000)</f>
        <v/>
      </c>
      <c r="D185" s="15">
        <f>MAX(B185-C185, 0)</f>
        <v/>
      </c>
      <c r="E185" s="15">
        <f>C185*$B$6 + D185*$B$14</f>
        <v/>
      </c>
      <c r="F185" s="15" t="n">
        <v>0.35</v>
      </c>
      <c r="G185" s="21" t="n">
        <v>0</v>
      </c>
      <c r="H185" s="15">
        <f>MAX(E185-F185, 0)</f>
        <v/>
      </c>
      <c r="I185" s="15">
        <f>IF(A185&lt;=10, 0, H185*$B$7)</f>
        <v/>
      </c>
      <c r="J185" s="21" t="n">
        <v>0</v>
      </c>
      <c r="K185" s="21" t="n">
        <v>0</v>
      </c>
      <c r="L185" s="21" t="n">
        <v>0</v>
      </c>
      <c r="M185" s="15">
        <f>B185+E185-F185-I185</f>
        <v/>
      </c>
      <c r="N185" s="15">
        <f>M185</f>
        <v/>
      </c>
    </row>
    <row r="186">
      <c r="A186" s="20" t="n">
        <v>15</v>
      </c>
      <c r="B186" s="15">
        <f>M185</f>
        <v/>
      </c>
      <c r="C186" s="15">
        <f>MIN(B186, 4000)</f>
        <v/>
      </c>
      <c r="D186" s="15">
        <f>MAX(B186-C186, 0)</f>
        <v/>
      </c>
      <c r="E186" s="15">
        <f>C186*$B$6 + D186*$B$14</f>
        <v/>
      </c>
      <c r="F186" s="15" t="n">
        <v>0.35</v>
      </c>
      <c r="G186" s="21" t="n">
        <v>0</v>
      </c>
      <c r="H186" s="15">
        <f>MAX(E186-F186, 0)</f>
        <v/>
      </c>
      <c r="I186" s="15">
        <f>IF(A186&lt;=10, 0, H186*$B$7)</f>
        <v/>
      </c>
      <c r="J186" s="21" t="n">
        <v>0</v>
      </c>
      <c r="K186" s="21" t="n">
        <v>0</v>
      </c>
      <c r="L186" s="21" t="n">
        <v>0</v>
      </c>
      <c r="M186" s="15">
        <f>B186+E186-F186-I186</f>
        <v/>
      </c>
      <c r="N186" s="15">
        <f>M186</f>
        <v/>
      </c>
    </row>
    <row r="187">
      <c r="A187" s="20" t="n">
        <v>16</v>
      </c>
      <c r="B187" s="15">
        <f>M186</f>
        <v/>
      </c>
      <c r="C187" s="15">
        <f>MIN(B187, 4000)</f>
        <v/>
      </c>
      <c r="D187" s="15">
        <f>MAX(B187-C187, 0)</f>
        <v/>
      </c>
      <c r="E187" s="15">
        <f>C187*$B$6 + D187*$B$14</f>
        <v/>
      </c>
      <c r="F187" s="15" t="n">
        <v>0.35</v>
      </c>
      <c r="G187" s="21" t="n">
        <v>0</v>
      </c>
      <c r="H187" s="15">
        <f>MAX(E187-F187, 0)</f>
        <v/>
      </c>
      <c r="I187" s="15">
        <f>IF(A187&lt;=10, 0, H187*$B$7)</f>
        <v/>
      </c>
      <c r="J187" s="21" t="n">
        <v>0</v>
      </c>
      <c r="K187" s="21" t="n">
        <v>0</v>
      </c>
      <c r="L187" s="21" t="n">
        <v>0</v>
      </c>
      <c r="M187" s="15">
        <f>B187+E187-F187-I187</f>
        <v/>
      </c>
      <c r="N187" s="15">
        <f>M187</f>
        <v/>
      </c>
    </row>
    <row r="188">
      <c r="A188" s="20" t="n">
        <v>17</v>
      </c>
      <c r="B188" s="15">
        <f>M187</f>
        <v/>
      </c>
      <c r="C188" s="15">
        <f>MIN(B188, 4000)</f>
        <v/>
      </c>
      <c r="D188" s="15">
        <f>MAX(B188-C188, 0)</f>
        <v/>
      </c>
      <c r="E188" s="15">
        <f>C188*$B$6 + D188*$B$14</f>
        <v/>
      </c>
      <c r="F188" s="15" t="n">
        <v>0.35</v>
      </c>
      <c r="G188" s="21" t="n">
        <v>0</v>
      </c>
      <c r="H188" s="15">
        <f>MAX(E188-F188, 0)</f>
        <v/>
      </c>
      <c r="I188" s="15">
        <f>IF(A188&lt;=10, 0, H188*$B$7)</f>
        <v/>
      </c>
      <c r="J188" s="21" t="n">
        <v>0</v>
      </c>
      <c r="K188" s="21" t="n">
        <v>0</v>
      </c>
      <c r="L188" s="21" t="n">
        <v>0</v>
      </c>
      <c r="M188" s="15">
        <f>B188+E188-F188-I188</f>
        <v/>
      </c>
      <c r="N188" s="15">
        <f>M188</f>
        <v/>
      </c>
    </row>
    <row r="189">
      <c r="A189" s="20" t="n">
        <v>18</v>
      </c>
      <c r="B189" s="15">
        <f>M188</f>
        <v/>
      </c>
      <c r="C189" s="15">
        <f>MIN(B189, 4000)</f>
        <v/>
      </c>
      <c r="D189" s="15">
        <f>MAX(B189-C189, 0)</f>
        <v/>
      </c>
      <c r="E189" s="15">
        <f>C189*$B$6 + D189*$B$14</f>
        <v/>
      </c>
      <c r="F189" s="15" t="n">
        <v>0.35</v>
      </c>
      <c r="G189" s="21" t="n">
        <v>0</v>
      </c>
      <c r="H189" s="15">
        <f>MAX(E189-F189, 0)</f>
        <v/>
      </c>
      <c r="I189" s="15">
        <f>IF(A189&lt;=10, 0, H189*$B$7)</f>
        <v/>
      </c>
      <c r="J189" s="21" t="n">
        <v>0</v>
      </c>
      <c r="K189" s="21" t="n">
        <v>0</v>
      </c>
      <c r="L189" s="21" t="n">
        <v>0</v>
      </c>
      <c r="M189" s="15">
        <f>B189+E189-F189-I189</f>
        <v/>
      </c>
      <c r="N189" s="15">
        <f>M189</f>
        <v/>
      </c>
    </row>
    <row r="190">
      <c r="A190" s="20" t="n">
        <v>19</v>
      </c>
      <c r="B190" s="15">
        <f>M189</f>
        <v/>
      </c>
      <c r="C190" s="15">
        <f>MIN(B190, 4000)</f>
        <v/>
      </c>
      <c r="D190" s="15">
        <f>MAX(B190-C190, 0)</f>
        <v/>
      </c>
      <c r="E190" s="15">
        <f>C190*$B$6 + D190*$B$14</f>
        <v/>
      </c>
      <c r="F190" s="15" t="n">
        <v>0.35</v>
      </c>
      <c r="G190" s="21" t="n">
        <v>0</v>
      </c>
      <c r="H190" s="15">
        <f>MAX(E190-F190, 0)</f>
        <v/>
      </c>
      <c r="I190" s="15">
        <f>IF(A190&lt;=10, 0, H190*$B$7)</f>
        <v/>
      </c>
      <c r="J190" s="21" t="n">
        <v>0</v>
      </c>
      <c r="K190" s="21" t="n">
        <v>0</v>
      </c>
      <c r="L190" s="21" t="n">
        <v>0</v>
      </c>
      <c r="M190" s="15">
        <f>B190+E190-F190-I190</f>
        <v/>
      </c>
      <c r="N190" s="15">
        <f>M190</f>
        <v/>
      </c>
    </row>
    <row r="191">
      <c r="A191" s="20" t="n">
        <v>20</v>
      </c>
      <c r="B191" s="15">
        <f>M190</f>
        <v/>
      </c>
      <c r="C191" s="15">
        <f>MIN(B191, 4000)</f>
        <v/>
      </c>
      <c r="D191" s="15">
        <f>MAX(B191-C191, 0)</f>
        <v/>
      </c>
      <c r="E191" s="15">
        <f>C191*$B$6 + D191*$B$14</f>
        <v/>
      </c>
      <c r="F191" s="15" t="n">
        <v>0.35</v>
      </c>
      <c r="G191" s="21" t="n">
        <v>0</v>
      </c>
      <c r="H191" s="15">
        <f>MAX(E191-F191, 0)</f>
        <v/>
      </c>
      <c r="I191" s="15">
        <f>IF(A191&lt;=10, 0, H191*$B$7)</f>
        <v/>
      </c>
      <c r="J191" s="21" t="n">
        <v>0</v>
      </c>
      <c r="K191" s="21" t="n">
        <v>0</v>
      </c>
      <c r="L191" s="21" t="n">
        <v>0</v>
      </c>
      <c r="M191" s="15">
        <f>B191+E191-F191-I191</f>
        <v/>
      </c>
      <c r="N191" s="15">
        <f>M191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MCX COMMODITY TREASURY MODEL  ·  50% ANNUAL</t>
        </is>
      </c>
    </row>
    <row r="2">
      <c r="A2" s="2" t="inlineStr">
        <is>
          <t>Conservative Growth Tier (50% Return) · Live inputs: cream cells. All 20-year cycles dynamically evaluate.</t>
        </is>
      </c>
    </row>
    <row r="4">
      <c r="A4" s="3" t="inlineStr">
        <is>
          <t>MODEL INPUTS</t>
        </is>
      </c>
    </row>
    <row r="5">
      <c r="A5" s="22" t="inlineStr">
        <is>
          <t>Starting Capital (₹ Cr)</t>
        </is>
      </c>
      <c r="B5" s="23" t="n">
        <v>0.6</v>
      </c>
    </row>
    <row r="6">
      <c r="A6" s="22" t="inlineStr">
        <is>
          <t>Annual Return</t>
        </is>
      </c>
      <c r="B6" s="24" t="n">
        <v>0.5</v>
      </c>
    </row>
    <row r="7">
      <c r="A7" s="22" t="inlineStr">
        <is>
          <t>Company Tax Rate</t>
        </is>
      </c>
      <c r="B7" s="24" t="n">
        <v>0.25168</v>
      </c>
    </row>
    <row r="8">
      <c r="A8" s="22" t="inlineStr">
        <is>
          <t>Loanback Share</t>
        </is>
      </c>
      <c r="B8" s="24" t="n">
        <v>0.9</v>
      </c>
    </row>
    <row r="9">
      <c r="A9" s="22" t="inlineStr">
        <is>
          <t>Salary Ceiling / Employee (₹ Cr)</t>
        </is>
      </c>
      <c r="B9" s="23" t="n">
        <v>0.1275</v>
      </c>
    </row>
    <row r="10">
      <c r="A10" s="22" t="inlineStr">
        <is>
          <t>Salary Profit Fraction Cap</t>
        </is>
      </c>
      <c r="B10" s="24" t="n">
        <v>0.4</v>
      </c>
    </row>
    <row r="11">
      <c r="A11" s="22" t="inlineStr">
        <is>
          <t>Company Annual Costs (₹ Cr)</t>
        </is>
      </c>
      <c r="B11" s="23" t="n">
        <v>0.01</v>
      </c>
    </row>
    <row r="12">
      <c r="A12" s="22" t="inlineStr">
        <is>
          <t>Deployable Ceiling (₹ Cr)</t>
        </is>
      </c>
      <c r="B12" s="23" t="n">
        <v>103.0917</v>
      </c>
    </row>
    <row r="13">
      <c r="A13" s="22" t="inlineStr">
        <is>
          <t>Idle Cash Yield</t>
        </is>
      </c>
      <c r="B13" s="24" t="n">
        <v>0.065</v>
      </c>
    </row>
    <row r="15">
      <c r="A15" s="3" t="inlineStr">
        <is>
          <t>CLOSING TRADING CAPITAL — ALL ROUTES, CYCLE 0–20 (₹ Cr)  [75% Annual]</t>
        </is>
      </c>
    </row>
    <row r="16">
      <c r="A16" s="12" t="inlineStr">
        <is>
          <t>Year</t>
        </is>
      </c>
      <c r="B16" s="12" t="inlineStr">
        <is>
          <t>Personal</t>
        </is>
      </c>
      <c r="C16" s="12" t="inlineStr">
        <is>
          <t>Company Solo</t>
        </is>
      </c>
      <c r="D16" s="12" t="inlineStr">
        <is>
          <t>Company + 1 Staff</t>
        </is>
      </c>
      <c r="E16" s="12" t="inlineStr">
        <is>
          <t>Company + 2 Staff</t>
        </is>
      </c>
      <c r="F16" s="12" t="inlineStr">
        <is>
          <t>Company + 3 Staff</t>
        </is>
      </c>
      <c r="G16" s="12" t="inlineStr">
        <is>
          <t>3 Staff Advantage</t>
        </is>
      </c>
      <c r="H16" s="12" t="inlineStr">
        <is>
          <t>3 Staff Loan Debt</t>
        </is>
      </c>
      <c r="I16" s="12" t="inlineStr">
        <is>
          <t>Net Equity (Capital - Loans)</t>
        </is>
      </c>
    </row>
    <row r="17">
      <c r="A17" s="13" t="n">
        <v>0</v>
      </c>
      <c r="B17" s="15">
        <f>$B$5</f>
        <v/>
      </c>
      <c r="C17" s="15">
        <f>$B$5</f>
        <v/>
      </c>
      <c r="D17" s="15">
        <f>$B$5</f>
        <v/>
      </c>
      <c r="E17" s="15">
        <f>$B$5</f>
        <v/>
      </c>
      <c r="F17" s="15">
        <f>$B$5</f>
        <v/>
      </c>
      <c r="G17" s="15" t="n">
        <v>0</v>
      </c>
      <c r="H17" s="15" t="n">
        <v>0</v>
      </c>
      <c r="I17" s="15">
        <f>$B$5</f>
        <v/>
      </c>
    </row>
    <row r="18">
      <c r="A18" s="13" t="n">
        <v>1</v>
      </c>
      <c r="B18" s="15">
        <f>M47</f>
        <v/>
      </c>
      <c r="C18" s="15">
        <f>M72</f>
        <v/>
      </c>
      <c r="D18" s="15">
        <f>M97</f>
        <v/>
      </c>
      <c r="E18" s="15">
        <f>M122</f>
        <v/>
      </c>
      <c r="F18" s="25">
        <f>M147</f>
        <v/>
      </c>
      <c r="G18" s="26">
        <f>F18-C18</f>
        <v/>
      </c>
      <c r="H18" s="15">
        <f>L147</f>
        <v/>
      </c>
      <c r="I18" s="15">
        <f>N147</f>
        <v/>
      </c>
    </row>
    <row r="19">
      <c r="A19" s="13" t="n">
        <v>2</v>
      </c>
      <c r="B19" s="15">
        <f>M48</f>
        <v/>
      </c>
      <c r="C19" s="15">
        <f>M73</f>
        <v/>
      </c>
      <c r="D19" s="15">
        <f>M98</f>
        <v/>
      </c>
      <c r="E19" s="15">
        <f>M123</f>
        <v/>
      </c>
      <c r="F19" s="25">
        <f>M148</f>
        <v/>
      </c>
      <c r="G19" s="26">
        <f>F19-C19</f>
        <v/>
      </c>
      <c r="H19" s="15">
        <f>L148</f>
        <v/>
      </c>
      <c r="I19" s="15">
        <f>N148</f>
        <v/>
      </c>
    </row>
    <row r="20">
      <c r="A20" s="13" t="n">
        <v>3</v>
      </c>
      <c r="B20" s="15">
        <f>M49</f>
        <v/>
      </c>
      <c r="C20" s="15">
        <f>M74</f>
        <v/>
      </c>
      <c r="D20" s="15">
        <f>M99</f>
        <v/>
      </c>
      <c r="E20" s="15">
        <f>M124</f>
        <v/>
      </c>
      <c r="F20" s="25">
        <f>M149</f>
        <v/>
      </c>
      <c r="G20" s="26">
        <f>F20-C20</f>
        <v/>
      </c>
      <c r="H20" s="15">
        <f>L149</f>
        <v/>
      </c>
      <c r="I20" s="15">
        <f>N149</f>
        <v/>
      </c>
    </row>
    <row r="21">
      <c r="A21" s="13" t="n">
        <v>4</v>
      </c>
      <c r="B21" s="15">
        <f>M50</f>
        <v/>
      </c>
      <c r="C21" s="15">
        <f>M75</f>
        <v/>
      </c>
      <c r="D21" s="15">
        <f>M100</f>
        <v/>
      </c>
      <c r="E21" s="15">
        <f>M125</f>
        <v/>
      </c>
      <c r="F21" s="25">
        <f>M150</f>
        <v/>
      </c>
      <c r="G21" s="26">
        <f>F21-C21</f>
        <v/>
      </c>
      <c r="H21" s="15">
        <f>L150</f>
        <v/>
      </c>
      <c r="I21" s="15">
        <f>N150</f>
        <v/>
      </c>
    </row>
    <row r="22">
      <c r="A22" s="13" t="n">
        <v>5</v>
      </c>
      <c r="B22" s="15">
        <f>M51</f>
        <v/>
      </c>
      <c r="C22" s="15">
        <f>M76</f>
        <v/>
      </c>
      <c r="D22" s="15">
        <f>M101</f>
        <v/>
      </c>
      <c r="E22" s="15">
        <f>M126</f>
        <v/>
      </c>
      <c r="F22" s="25">
        <f>M151</f>
        <v/>
      </c>
      <c r="G22" s="26">
        <f>F22-C22</f>
        <v/>
      </c>
      <c r="H22" s="15">
        <f>L151</f>
        <v/>
      </c>
      <c r="I22" s="15">
        <f>N151</f>
        <v/>
      </c>
    </row>
    <row r="23">
      <c r="A23" s="13" t="n">
        <v>6</v>
      </c>
      <c r="B23" s="15">
        <f>M52</f>
        <v/>
      </c>
      <c r="C23" s="15">
        <f>M77</f>
        <v/>
      </c>
      <c r="D23" s="15">
        <f>M102</f>
        <v/>
      </c>
      <c r="E23" s="15">
        <f>M127</f>
        <v/>
      </c>
      <c r="F23" s="25">
        <f>M152</f>
        <v/>
      </c>
      <c r="G23" s="26">
        <f>F23-C23</f>
        <v/>
      </c>
      <c r="H23" s="15">
        <f>L152</f>
        <v/>
      </c>
      <c r="I23" s="15">
        <f>N152</f>
        <v/>
      </c>
    </row>
    <row r="24">
      <c r="A24" s="13" t="n">
        <v>7</v>
      </c>
      <c r="B24" s="15">
        <f>M53</f>
        <v/>
      </c>
      <c r="C24" s="15">
        <f>M78</f>
        <v/>
      </c>
      <c r="D24" s="15">
        <f>M103</f>
        <v/>
      </c>
      <c r="E24" s="15">
        <f>M128</f>
        <v/>
      </c>
      <c r="F24" s="25">
        <f>M153</f>
        <v/>
      </c>
      <c r="G24" s="26">
        <f>F24-C24</f>
        <v/>
      </c>
      <c r="H24" s="15">
        <f>L153</f>
        <v/>
      </c>
      <c r="I24" s="15">
        <f>N153</f>
        <v/>
      </c>
    </row>
    <row r="25">
      <c r="A25" s="13" t="n">
        <v>8</v>
      </c>
      <c r="B25" s="15">
        <f>M54</f>
        <v/>
      </c>
      <c r="C25" s="15">
        <f>M79</f>
        <v/>
      </c>
      <c r="D25" s="15">
        <f>M104</f>
        <v/>
      </c>
      <c r="E25" s="15">
        <f>M129</f>
        <v/>
      </c>
      <c r="F25" s="25">
        <f>M154</f>
        <v/>
      </c>
      <c r="G25" s="26">
        <f>F25-C25</f>
        <v/>
      </c>
      <c r="H25" s="15">
        <f>L154</f>
        <v/>
      </c>
      <c r="I25" s="15">
        <f>N154</f>
        <v/>
      </c>
    </row>
    <row r="26">
      <c r="A26" s="13" t="n">
        <v>9</v>
      </c>
      <c r="B26" s="15">
        <f>M55</f>
        <v/>
      </c>
      <c r="C26" s="15">
        <f>M80</f>
        <v/>
      </c>
      <c r="D26" s="15">
        <f>M105</f>
        <v/>
      </c>
      <c r="E26" s="15">
        <f>M130</f>
        <v/>
      </c>
      <c r="F26" s="25">
        <f>M155</f>
        <v/>
      </c>
      <c r="G26" s="26">
        <f>F26-C26</f>
        <v/>
      </c>
      <c r="H26" s="15">
        <f>L155</f>
        <v/>
      </c>
      <c r="I26" s="15">
        <f>N155</f>
        <v/>
      </c>
    </row>
    <row r="27">
      <c r="A27" s="13" t="n">
        <v>10</v>
      </c>
      <c r="B27" s="15">
        <f>M56</f>
        <v/>
      </c>
      <c r="C27" s="15">
        <f>M81</f>
        <v/>
      </c>
      <c r="D27" s="15">
        <f>M106</f>
        <v/>
      </c>
      <c r="E27" s="15">
        <f>M131</f>
        <v/>
      </c>
      <c r="F27" s="25">
        <f>M156</f>
        <v/>
      </c>
      <c r="G27" s="26">
        <f>F27-C27</f>
        <v/>
      </c>
      <c r="H27" s="15">
        <f>L156</f>
        <v/>
      </c>
      <c r="I27" s="15">
        <f>N156</f>
        <v/>
      </c>
    </row>
    <row r="28">
      <c r="A28" s="13" t="n">
        <v>11</v>
      </c>
      <c r="B28" s="15">
        <f>M57</f>
        <v/>
      </c>
      <c r="C28" s="15">
        <f>M82</f>
        <v/>
      </c>
      <c r="D28" s="15">
        <f>M107</f>
        <v/>
      </c>
      <c r="E28" s="15">
        <f>M132</f>
        <v/>
      </c>
      <c r="F28" s="25">
        <f>M157</f>
        <v/>
      </c>
      <c r="G28" s="26">
        <f>F28-C28</f>
        <v/>
      </c>
      <c r="H28" s="15">
        <f>L157</f>
        <v/>
      </c>
      <c r="I28" s="15">
        <f>N157</f>
        <v/>
      </c>
    </row>
    <row r="29">
      <c r="A29" s="13" t="n">
        <v>12</v>
      </c>
      <c r="B29" s="15">
        <f>M58</f>
        <v/>
      </c>
      <c r="C29" s="15">
        <f>M83</f>
        <v/>
      </c>
      <c r="D29" s="15">
        <f>M108</f>
        <v/>
      </c>
      <c r="E29" s="15">
        <f>M133</f>
        <v/>
      </c>
      <c r="F29" s="25">
        <f>M158</f>
        <v/>
      </c>
      <c r="G29" s="26">
        <f>F29-C29</f>
        <v/>
      </c>
      <c r="H29" s="15">
        <f>L158</f>
        <v/>
      </c>
      <c r="I29" s="15">
        <f>N158</f>
        <v/>
      </c>
    </row>
    <row r="30">
      <c r="A30" s="13" t="n">
        <v>13</v>
      </c>
      <c r="B30" s="15">
        <f>M59</f>
        <v/>
      </c>
      <c r="C30" s="15">
        <f>M84</f>
        <v/>
      </c>
      <c r="D30" s="15">
        <f>M109</f>
        <v/>
      </c>
      <c r="E30" s="15">
        <f>M134</f>
        <v/>
      </c>
      <c r="F30" s="25">
        <f>M159</f>
        <v/>
      </c>
      <c r="G30" s="26">
        <f>F30-C30</f>
        <v/>
      </c>
      <c r="H30" s="15">
        <f>L159</f>
        <v/>
      </c>
      <c r="I30" s="15">
        <f>N159</f>
        <v/>
      </c>
    </row>
    <row r="31">
      <c r="A31" s="13" t="n">
        <v>14</v>
      </c>
      <c r="B31" s="15">
        <f>M60</f>
        <v/>
      </c>
      <c r="C31" s="15">
        <f>M85</f>
        <v/>
      </c>
      <c r="D31" s="15">
        <f>M110</f>
        <v/>
      </c>
      <c r="E31" s="15">
        <f>M135</f>
        <v/>
      </c>
      <c r="F31" s="25">
        <f>M160</f>
        <v/>
      </c>
      <c r="G31" s="26">
        <f>F31-C31</f>
        <v/>
      </c>
      <c r="H31" s="15">
        <f>L160</f>
        <v/>
      </c>
      <c r="I31" s="15">
        <f>N160</f>
        <v/>
      </c>
    </row>
    <row r="32">
      <c r="A32" s="13" t="n">
        <v>15</v>
      </c>
      <c r="B32" s="15">
        <f>M61</f>
        <v/>
      </c>
      <c r="C32" s="15">
        <f>M86</f>
        <v/>
      </c>
      <c r="D32" s="15">
        <f>M111</f>
        <v/>
      </c>
      <c r="E32" s="15">
        <f>M136</f>
        <v/>
      </c>
      <c r="F32" s="25">
        <f>M161</f>
        <v/>
      </c>
      <c r="G32" s="26">
        <f>F32-C32</f>
        <v/>
      </c>
      <c r="H32" s="15">
        <f>L161</f>
        <v/>
      </c>
      <c r="I32" s="15">
        <f>N161</f>
        <v/>
      </c>
    </row>
    <row r="33">
      <c r="A33" s="13" t="n">
        <v>16</v>
      </c>
      <c r="B33" s="15">
        <f>M62</f>
        <v/>
      </c>
      <c r="C33" s="15">
        <f>M87</f>
        <v/>
      </c>
      <c r="D33" s="15">
        <f>M112</f>
        <v/>
      </c>
      <c r="E33" s="15">
        <f>M137</f>
        <v/>
      </c>
      <c r="F33" s="25">
        <f>M162</f>
        <v/>
      </c>
      <c r="G33" s="26">
        <f>F33-C33</f>
        <v/>
      </c>
      <c r="H33" s="15">
        <f>L162</f>
        <v/>
      </c>
      <c r="I33" s="15">
        <f>N162</f>
        <v/>
      </c>
    </row>
    <row r="34">
      <c r="A34" s="13" t="n">
        <v>17</v>
      </c>
      <c r="B34" s="15">
        <f>M63</f>
        <v/>
      </c>
      <c r="C34" s="15">
        <f>M88</f>
        <v/>
      </c>
      <c r="D34" s="15">
        <f>M113</f>
        <v/>
      </c>
      <c r="E34" s="15">
        <f>M138</f>
        <v/>
      </c>
      <c r="F34" s="25">
        <f>M163</f>
        <v/>
      </c>
      <c r="G34" s="26">
        <f>F34-C34</f>
        <v/>
      </c>
      <c r="H34" s="15">
        <f>L163</f>
        <v/>
      </c>
      <c r="I34" s="15">
        <f>N163</f>
        <v/>
      </c>
    </row>
    <row r="35">
      <c r="A35" s="13" t="n">
        <v>18</v>
      </c>
      <c r="B35" s="15">
        <f>M64</f>
        <v/>
      </c>
      <c r="C35" s="15">
        <f>M89</f>
        <v/>
      </c>
      <c r="D35" s="15">
        <f>M114</f>
        <v/>
      </c>
      <c r="E35" s="15">
        <f>M139</f>
        <v/>
      </c>
      <c r="F35" s="25">
        <f>M164</f>
        <v/>
      </c>
      <c r="G35" s="26">
        <f>F35-C35</f>
        <v/>
      </c>
      <c r="H35" s="15">
        <f>L164</f>
        <v/>
      </c>
      <c r="I35" s="15">
        <f>N164</f>
        <v/>
      </c>
    </row>
    <row r="36">
      <c r="A36" s="13" t="n">
        <v>19</v>
      </c>
      <c r="B36" s="15">
        <f>M65</f>
        <v/>
      </c>
      <c r="C36" s="15">
        <f>M90</f>
        <v/>
      </c>
      <c r="D36" s="15">
        <f>M115</f>
        <v/>
      </c>
      <c r="E36" s="15">
        <f>M140</f>
        <v/>
      </c>
      <c r="F36" s="25">
        <f>M165</f>
        <v/>
      </c>
      <c r="G36" s="26">
        <f>F36-C36</f>
        <v/>
      </c>
      <c r="H36" s="15">
        <f>L165</f>
        <v/>
      </c>
      <c r="I36" s="15">
        <f>N165</f>
        <v/>
      </c>
    </row>
    <row r="37">
      <c r="A37" s="13" t="n">
        <v>20</v>
      </c>
      <c r="B37" s="15">
        <f>M66</f>
        <v/>
      </c>
      <c r="C37" s="15">
        <f>M91</f>
        <v/>
      </c>
      <c r="D37" s="15">
        <f>M116</f>
        <v/>
      </c>
      <c r="E37" s="15">
        <f>M141</f>
        <v/>
      </c>
      <c r="F37" s="25">
        <f>M166</f>
        <v/>
      </c>
      <c r="G37" s="26">
        <f>F37-C37</f>
        <v/>
      </c>
      <c r="H37" s="15">
        <f>L166</f>
        <v/>
      </c>
      <c r="I37" s="15">
        <f>N166</f>
        <v/>
      </c>
    </row>
    <row r="44">
      <c r="A44" s="3" t="inlineStr">
        <is>
          <t>PERSONAL TRADING ROUTE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COMPANY SOLO ROUTE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COMPANY + 1 EMPLOYEE ROUTE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COMPANY + 2 EMPLOYEES ROUTE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COMPANY + 3 EMPLOYEES ROUTE (RECOMMENDED)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MCX COMMODITY TREASURY MODEL  ·  75% ANNUAL</t>
        </is>
      </c>
    </row>
    <row r="2">
      <c r="A2" s="2" t="inlineStr">
        <is>
          <t>Conservative Baseline (75% Return) · Live inputs: cream cells. All 20-year cycles dynamically evaluate.</t>
        </is>
      </c>
    </row>
    <row r="4">
      <c r="A4" s="3" t="inlineStr">
        <is>
          <t>MODEL INPUTS</t>
        </is>
      </c>
    </row>
    <row r="5">
      <c r="A5" s="22" t="inlineStr">
        <is>
          <t>Starting Capital (₹ Cr)</t>
        </is>
      </c>
      <c r="B5" s="23" t="n">
        <v>0.6</v>
      </c>
    </row>
    <row r="6">
      <c r="A6" s="22" t="inlineStr">
        <is>
          <t>Annual Return</t>
        </is>
      </c>
      <c r="B6" s="24" t="n">
        <v>0.75</v>
      </c>
    </row>
    <row r="7">
      <c r="A7" s="22" t="inlineStr">
        <is>
          <t>Company Tax Rate</t>
        </is>
      </c>
      <c r="B7" s="24" t="n">
        <v>0.25168</v>
      </c>
    </row>
    <row r="8">
      <c r="A8" s="22" t="inlineStr">
        <is>
          <t>Loanback Share</t>
        </is>
      </c>
      <c r="B8" s="24" t="n">
        <v>0.9</v>
      </c>
    </row>
    <row r="9">
      <c r="A9" s="22" t="inlineStr">
        <is>
          <t>Salary Ceiling / Employee (₹ Cr)</t>
        </is>
      </c>
      <c r="B9" s="23" t="n">
        <v>0.1275</v>
      </c>
    </row>
    <row r="10">
      <c r="A10" s="22" t="inlineStr">
        <is>
          <t>Salary Profit Fraction Cap</t>
        </is>
      </c>
      <c r="B10" s="24" t="n">
        <v>0.4</v>
      </c>
    </row>
    <row r="11">
      <c r="A11" s="22" t="inlineStr">
        <is>
          <t>Company Annual Costs (₹ Cr)</t>
        </is>
      </c>
      <c r="B11" s="23" t="n">
        <v>0.01</v>
      </c>
    </row>
    <row r="12">
      <c r="A12" s="22" t="inlineStr">
        <is>
          <t>Deployable Ceiling (₹ Cr)</t>
        </is>
      </c>
      <c r="B12" s="23" t="n">
        <v>103.0917</v>
      </c>
    </row>
    <row r="13">
      <c r="A13" s="22" t="inlineStr">
        <is>
          <t>Idle Cash Yield</t>
        </is>
      </c>
      <c r="B13" s="24" t="n">
        <v>0.065</v>
      </c>
    </row>
    <row r="15">
      <c r="A15" s="3" t="inlineStr">
        <is>
          <t>CLOSING TRADING CAPITAL — ALL ROUTES, CYCLE 0–20 (₹ Cr)  [75% Annual]</t>
        </is>
      </c>
    </row>
    <row r="16">
      <c r="A16" s="12" t="inlineStr">
        <is>
          <t>Year</t>
        </is>
      </c>
      <c r="B16" s="12" t="inlineStr">
        <is>
          <t>Personal</t>
        </is>
      </c>
      <c r="C16" s="12" t="inlineStr">
        <is>
          <t>Company Solo</t>
        </is>
      </c>
      <c r="D16" s="12" t="inlineStr">
        <is>
          <t>Company + 1 Staff</t>
        </is>
      </c>
      <c r="E16" s="12" t="inlineStr">
        <is>
          <t>Company + 2 Staff</t>
        </is>
      </c>
      <c r="F16" s="12" t="inlineStr">
        <is>
          <t>Company + 3 Staff</t>
        </is>
      </c>
      <c r="G16" s="12" t="inlineStr">
        <is>
          <t>3 Staff Advantage</t>
        </is>
      </c>
      <c r="H16" s="12" t="inlineStr">
        <is>
          <t>3 Staff Loan Debt</t>
        </is>
      </c>
      <c r="I16" s="12" t="inlineStr">
        <is>
          <t>Net Equity (Capital - Loans)</t>
        </is>
      </c>
    </row>
    <row r="17">
      <c r="A17" s="13" t="n">
        <v>0</v>
      </c>
      <c r="B17" s="15">
        <f>$B$5</f>
        <v/>
      </c>
      <c r="C17" s="15">
        <f>$B$5</f>
        <v/>
      </c>
      <c r="D17" s="15">
        <f>$B$5</f>
        <v/>
      </c>
      <c r="E17" s="15">
        <f>$B$5</f>
        <v/>
      </c>
      <c r="F17" s="15">
        <f>$B$5</f>
        <v/>
      </c>
      <c r="G17" s="15" t="n">
        <v>0</v>
      </c>
      <c r="H17" s="15" t="n">
        <v>0</v>
      </c>
      <c r="I17" s="15">
        <f>$B$5</f>
        <v/>
      </c>
    </row>
    <row r="18">
      <c r="A18" s="13" t="n">
        <v>1</v>
      </c>
      <c r="B18" s="15">
        <f>M47</f>
        <v/>
      </c>
      <c r="C18" s="15">
        <f>M72</f>
        <v/>
      </c>
      <c r="D18" s="15">
        <f>M97</f>
        <v/>
      </c>
      <c r="E18" s="15">
        <f>M122</f>
        <v/>
      </c>
      <c r="F18" s="25">
        <f>M147</f>
        <v/>
      </c>
      <c r="G18" s="26">
        <f>F18-C18</f>
        <v/>
      </c>
      <c r="H18" s="15">
        <f>L147</f>
        <v/>
      </c>
      <c r="I18" s="15">
        <f>N147</f>
        <v/>
      </c>
    </row>
    <row r="19">
      <c r="A19" s="13" t="n">
        <v>2</v>
      </c>
      <c r="B19" s="15">
        <f>M48</f>
        <v/>
      </c>
      <c r="C19" s="15">
        <f>M73</f>
        <v/>
      </c>
      <c r="D19" s="15">
        <f>M98</f>
        <v/>
      </c>
      <c r="E19" s="15">
        <f>M123</f>
        <v/>
      </c>
      <c r="F19" s="25">
        <f>M148</f>
        <v/>
      </c>
      <c r="G19" s="26">
        <f>F19-C19</f>
        <v/>
      </c>
      <c r="H19" s="15">
        <f>L148</f>
        <v/>
      </c>
      <c r="I19" s="15">
        <f>N148</f>
        <v/>
      </c>
    </row>
    <row r="20">
      <c r="A20" s="13" t="n">
        <v>3</v>
      </c>
      <c r="B20" s="15">
        <f>M49</f>
        <v/>
      </c>
      <c r="C20" s="15">
        <f>M74</f>
        <v/>
      </c>
      <c r="D20" s="15">
        <f>M99</f>
        <v/>
      </c>
      <c r="E20" s="15">
        <f>M124</f>
        <v/>
      </c>
      <c r="F20" s="25">
        <f>M149</f>
        <v/>
      </c>
      <c r="G20" s="26">
        <f>F20-C20</f>
        <v/>
      </c>
      <c r="H20" s="15">
        <f>L149</f>
        <v/>
      </c>
      <c r="I20" s="15">
        <f>N149</f>
        <v/>
      </c>
    </row>
    <row r="21">
      <c r="A21" s="13" t="n">
        <v>4</v>
      </c>
      <c r="B21" s="15">
        <f>M50</f>
        <v/>
      </c>
      <c r="C21" s="15">
        <f>M75</f>
        <v/>
      </c>
      <c r="D21" s="15">
        <f>M100</f>
        <v/>
      </c>
      <c r="E21" s="15">
        <f>M125</f>
        <v/>
      </c>
      <c r="F21" s="25">
        <f>M150</f>
        <v/>
      </c>
      <c r="G21" s="26">
        <f>F21-C21</f>
        <v/>
      </c>
      <c r="H21" s="15">
        <f>L150</f>
        <v/>
      </c>
      <c r="I21" s="15">
        <f>N150</f>
        <v/>
      </c>
    </row>
    <row r="22">
      <c r="A22" s="13" t="n">
        <v>5</v>
      </c>
      <c r="B22" s="15">
        <f>M51</f>
        <v/>
      </c>
      <c r="C22" s="15">
        <f>M76</f>
        <v/>
      </c>
      <c r="D22" s="15">
        <f>M101</f>
        <v/>
      </c>
      <c r="E22" s="15">
        <f>M126</f>
        <v/>
      </c>
      <c r="F22" s="25">
        <f>M151</f>
        <v/>
      </c>
      <c r="G22" s="26">
        <f>F22-C22</f>
        <v/>
      </c>
      <c r="H22" s="15">
        <f>L151</f>
        <v/>
      </c>
      <c r="I22" s="15">
        <f>N151</f>
        <v/>
      </c>
    </row>
    <row r="23">
      <c r="A23" s="13" t="n">
        <v>6</v>
      </c>
      <c r="B23" s="15">
        <f>M52</f>
        <v/>
      </c>
      <c r="C23" s="15">
        <f>M77</f>
        <v/>
      </c>
      <c r="D23" s="15">
        <f>M102</f>
        <v/>
      </c>
      <c r="E23" s="15">
        <f>M127</f>
        <v/>
      </c>
      <c r="F23" s="25">
        <f>M152</f>
        <v/>
      </c>
      <c r="G23" s="26">
        <f>F23-C23</f>
        <v/>
      </c>
      <c r="H23" s="15">
        <f>L152</f>
        <v/>
      </c>
      <c r="I23" s="15">
        <f>N152</f>
        <v/>
      </c>
    </row>
    <row r="24">
      <c r="A24" s="13" t="n">
        <v>7</v>
      </c>
      <c r="B24" s="15">
        <f>M53</f>
        <v/>
      </c>
      <c r="C24" s="15">
        <f>M78</f>
        <v/>
      </c>
      <c r="D24" s="15">
        <f>M103</f>
        <v/>
      </c>
      <c r="E24" s="15">
        <f>M128</f>
        <v/>
      </c>
      <c r="F24" s="25">
        <f>M153</f>
        <v/>
      </c>
      <c r="G24" s="26">
        <f>F24-C24</f>
        <v/>
      </c>
      <c r="H24" s="15">
        <f>L153</f>
        <v/>
      </c>
      <c r="I24" s="15">
        <f>N153</f>
        <v/>
      </c>
    </row>
    <row r="25">
      <c r="A25" s="13" t="n">
        <v>8</v>
      </c>
      <c r="B25" s="15">
        <f>M54</f>
        <v/>
      </c>
      <c r="C25" s="15">
        <f>M79</f>
        <v/>
      </c>
      <c r="D25" s="15">
        <f>M104</f>
        <v/>
      </c>
      <c r="E25" s="15">
        <f>M129</f>
        <v/>
      </c>
      <c r="F25" s="25">
        <f>M154</f>
        <v/>
      </c>
      <c r="G25" s="26">
        <f>F25-C25</f>
        <v/>
      </c>
      <c r="H25" s="15">
        <f>L154</f>
        <v/>
      </c>
      <c r="I25" s="15">
        <f>N154</f>
        <v/>
      </c>
    </row>
    <row r="26">
      <c r="A26" s="13" t="n">
        <v>9</v>
      </c>
      <c r="B26" s="15">
        <f>M55</f>
        <v/>
      </c>
      <c r="C26" s="15">
        <f>M80</f>
        <v/>
      </c>
      <c r="D26" s="15">
        <f>M105</f>
        <v/>
      </c>
      <c r="E26" s="15">
        <f>M130</f>
        <v/>
      </c>
      <c r="F26" s="25">
        <f>M155</f>
        <v/>
      </c>
      <c r="G26" s="26">
        <f>F26-C26</f>
        <v/>
      </c>
      <c r="H26" s="15">
        <f>L155</f>
        <v/>
      </c>
      <c r="I26" s="15">
        <f>N155</f>
        <v/>
      </c>
    </row>
    <row r="27">
      <c r="A27" s="13" t="n">
        <v>10</v>
      </c>
      <c r="B27" s="15">
        <f>M56</f>
        <v/>
      </c>
      <c r="C27" s="15">
        <f>M81</f>
        <v/>
      </c>
      <c r="D27" s="15">
        <f>M106</f>
        <v/>
      </c>
      <c r="E27" s="15">
        <f>M131</f>
        <v/>
      </c>
      <c r="F27" s="25">
        <f>M156</f>
        <v/>
      </c>
      <c r="G27" s="26">
        <f>F27-C27</f>
        <v/>
      </c>
      <c r="H27" s="15">
        <f>L156</f>
        <v/>
      </c>
      <c r="I27" s="15">
        <f>N156</f>
        <v/>
      </c>
    </row>
    <row r="28">
      <c r="A28" s="13" t="n">
        <v>11</v>
      </c>
      <c r="B28" s="15">
        <f>M57</f>
        <v/>
      </c>
      <c r="C28" s="15">
        <f>M82</f>
        <v/>
      </c>
      <c r="D28" s="15">
        <f>M107</f>
        <v/>
      </c>
      <c r="E28" s="15">
        <f>M132</f>
        <v/>
      </c>
      <c r="F28" s="25">
        <f>M157</f>
        <v/>
      </c>
      <c r="G28" s="26">
        <f>F28-C28</f>
        <v/>
      </c>
      <c r="H28" s="15">
        <f>L157</f>
        <v/>
      </c>
      <c r="I28" s="15">
        <f>N157</f>
        <v/>
      </c>
    </row>
    <row r="29">
      <c r="A29" s="13" t="n">
        <v>12</v>
      </c>
      <c r="B29" s="15">
        <f>M58</f>
        <v/>
      </c>
      <c r="C29" s="15">
        <f>M83</f>
        <v/>
      </c>
      <c r="D29" s="15">
        <f>M108</f>
        <v/>
      </c>
      <c r="E29" s="15">
        <f>M133</f>
        <v/>
      </c>
      <c r="F29" s="25">
        <f>M158</f>
        <v/>
      </c>
      <c r="G29" s="26">
        <f>F29-C29</f>
        <v/>
      </c>
      <c r="H29" s="15">
        <f>L158</f>
        <v/>
      </c>
      <c r="I29" s="15">
        <f>N158</f>
        <v/>
      </c>
    </row>
    <row r="30">
      <c r="A30" s="13" t="n">
        <v>13</v>
      </c>
      <c r="B30" s="15">
        <f>M59</f>
        <v/>
      </c>
      <c r="C30" s="15">
        <f>M84</f>
        <v/>
      </c>
      <c r="D30" s="15">
        <f>M109</f>
        <v/>
      </c>
      <c r="E30" s="15">
        <f>M134</f>
        <v/>
      </c>
      <c r="F30" s="25">
        <f>M159</f>
        <v/>
      </c>
      <c r="G30" s="26">
        <f>F30-C30</f>
        <v/>
      </c>
      <c r="H30" s="15">
        <f>L159</f>
        <v/>
      </c>
      <c r="I30" s="15">
        <f>N159</f>
        <v/>
      </c>
    </row>
    <row r="31">
      <c r="A31" s="13" t="n">
        <v>14</v>
      </c>
      <c r="B31" s="15">
        <f>M60</f>
        <v/>
      </c>
      <c r="C31" s="15">
        <f>M85</f>
        <v/>
      </c>
      <c r="D31" s="15">
        <f>M110</f>
        <v/>
      </c>
      <c r="E31" s="15">
        <f>M135</f>
        <v/>
      </c>
      <c r="F31" s="25">
        <f>M160</f>
        <v/>
      </c>
      <c r="G31" s="26">
        <f>F31-C31</f>
        <v/>
      </c>
      <c r="H31" s="15">
        <f>L160</f>
        <v/>
      </c>
      <c r="I31" s="15">
        <f>N160</f>
        <v/>
      </c>
    </row>
    <row r="32">
      <c r="A32" s="13" t="n">
        <v>15</v>
      </c>
      <c r="B32" s="15">
        <f>M61</f>
        <v/>
      </c>
      <c r="C32" s="15">
        <f>M86</f>
        <v/>
      </c>
      <c r="D32" s="15">
        <f>M111</f>
        <v/>
      </c>
      <c r="E32" s="15">
        <f>M136</f>
        <v/>
      </c>
      <c r="F32" s="25">
        <f>M161</f>
        <v/>
      </c>
      <c r="G32" s="26">
        <f>F32-C32</f>
        <v/>
      </c>
      <c r="H32" s="15">
        <f>L161</f>
        <v/>
      </c>
      <c r="I32" s="15">
        <f>N161</f>
        <v/>
      </c>
    </row>
    <row r="33">
      <c r="A33" s="13" t="n">
        <v>16</v>
      </c>
      <c r="B33" s="15">
        <f>M62</f>
        <v/>
      </c>
      <c r="C33" s="15">
        <f>M87</f>
        <v/>
      </c>
      <c r="D33" s="15">
        <f>M112</f>
        <v/>
      </c>
      <c r="E33" s="15">
        <f>M137</f>
        <v/>
      </c>
      <c r="F33" s="25">
        <f>M162</f>
        <v/>
      </c>
      <c r="G33" s="26">
        <f>F33-C33</f>
        <v/>
      </c>
      <c r="H33" s="15">
        <f>L162</f>
        <v/>
      </c>
      <c r="I33" s="15">
        <f>N162</f>
        <v/>
      </c>
    </row>
    <row r="34">
      <c r="A34" s="13" t="n">
        <v>17</v>
      </c>
      <c r="B34" s="15">
        <f>M63</f>
        <v/>
      </c>
      <c r="C34" s="15">
        <f>M88</f>
        <v/>
      </c>
      <c r="D34" s="15">
        <f>M113</f>
        <v/>
      </c>
      <c r="E34" s="15">
        <f>M138</f>
        <v/>
      </c>
      <c r="F34" s="25">
        <f>M163</f>
        <v/>
      </c>
      <c r="G34" s="26">
        <f>F34-C34</f>
        <v/>
      </c>
      <c r="H34" s="15">
        <f>L163</f>
        <v/>
      </c>
      <c r="I34" s="15">
        <f>N163</f>
        <v/>
      </c>
    </row>
    <row r="35">
      <c r="A35" s="13" t="n">
        <v>18</v>
      </c>
      <c r="B35" s="15">
        <f>M64</f>
        <v/>
      </c>
      <c r="C35" s="15">
        <f>M89</f>
        <v/>
      </c>
      <c r="D35" s="15">
        <f>M114</f>
        <v/>
      </c>
      <c r="E35" s="15">
        <f>M139</f>
        <v/>
      </c>
      <c r="F35" s="25">
        <f>M164</f>
        <v/>
      </c>
      <c r="G35" s="26">
        <f>F35-C35</f>
        <v/>
      </c>
      <c r="H35" s="15">
        <f>L164</f>
        <v/>
      </c>
      <c r="I35" s="15">
        <f>N164</f>
        <v/>
      </c>
    </row>
    <row r="36">
      <c r="A36" s="13" t="n">
        <v>19</v>
      </c>
      <c r="B36" s="15">
        <f>M65</f>
        <v/>
      </c>
      <c r="C36" s="15">
        <f>M90</f>
        <v/>
      </c>
      <c r="D36" s="15">
        <f>M115</f>
        <v/>
      </c>
      <c r="E36" s="15">
        <f>M140</f>
        <v/>
      </c>
      <c r="F36" s="25">
        <f>M165</f>
        <v/>
      </c>
      <c r="G36" s="26">
        <f>F36-C36</f>
        <v/>
      </c>
      <c r="H36" s="15">
        <f>L165</f>
        <v/>
      </c>
      <c r="I36" s="15">
        <f>N165</f>
        <v/>
      </c>
    </row>
    <row r="37">
      <c r="A37" s="13" t="n">
        <v>20</v>
      </c>
      <c r="B37" s="15">
        <f>M66</f>
        <v/>
      </c>
      <c r="C37" s="15">
        <f>M91</f>
        <v/>
      </c>
      <c r="D37" s="15">
        <f>M116</f>
        <v/>
      </c>
      <c r="E37" s="15">
        <f>M141</f>
        <v/>
      </c>
      <c r="F37" s="25">
        <f>M166</f>
        <v/>
      </c>
      <c r="G37" s="26">
        <f>F37-C37</f>
        <v/>
      </c>
      <c r="H37" s="15">
        <f>L166</f>
        <v/>
      </c>
      <c r="I37" s="15">
        <f>N166</f>
        <v/>
      </c>
    </row>
    <row r="44">
      <c r="A44" s="3" t="inlineStr">
        <is>
          <t>PERSONAL TRADING ROUTE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COMPANY SOLO ROUTE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COMPANY + 1 EMPLOYEE ROUTE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COMPANY + 2 EMPLOYEES ROUTE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COMPANY + 3 EMPLOYEES ROUTE (RECOMMENDED)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6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MCX COMMODITY TREASURY MODEL  ·  80% ANNUAL</t>
        </is>
      </c>
    </row>
    <row r="2">
      <c r="A2" s="2" t="inlineStr">
        <is>
          <t>Steady Quant Execution (80% Return) · Live inputs: cream cells. All 20-year cycles dynamically evaluate.</t>
        </is>
      </c>
    </row>
    <row r="4">
      <c r="A4" s="3" t="inlineStr">
        <is>
          <t>MODEL INPUTS</t>
        </is>
      </c>
    </row>
    <row r="5">
      <c r="A5" s="22" t="inlineStr">
        <is>
          <t>Starting Capital (₹ Cr)</t>
        </is>
      </c>
      <c r="B5" s="23" t="n">
        <v>0.6</v>
      </c>
    </row>
    <row r="6">
      <c r="A6" s="22" t="inlineStr">
        <is>
          <t>Annual Return</t>
        </is>
      </c>
      <c r="B6" s="24" t="n">
        <v>0.8</v>
      </c>
    </row>
    <row r="7">
      <c r="A7" s="22" t="inlineStr">
        <is>
          <t>Company Tax Rate</t>
        </is>
      </c>
      <c r="B7" s="24" t="n">
        <v>0.25168</v>
      </c>
    </row>
    <row r="8">
      <c r="A8" s="22" t="inlineStr">
        <is>
          <t>Loanback Share</t>
        </is>
      </c>
      <c r="B8" s="24" t="n">
        <v>0.9</v>
      </c>
    </row>
    <row r="9">
      <c r="A9" s="22" t="inlineStr">
        <is>
          <t>Salary Ceiling / Employee (₹ Cr)</t>
        </is>
      </c>
      <c r="B9" s="23" t="n">
        <v>0.1275</v>
      </c>
    </row>
    <row r="10">
      <c r="A10" s="22" t="inlineStr">
        <is>
          <t>Salary Profit Fraction Cap</t>
        </is>
      </c>
      <c r="B10" s="24" t="n">
        <v>0.4</v>
      </c>
    </row>
    <row r="11">
      <c r="A11" s="22" t="inlineStr">
        <is>
          <t>Company Annual Costs (₹ Cr)</t>
        </is>
      </c>
      <c r="B11" s="23" t="n">
        <v>0.01</v>
      </c>
    </row>
    <row r="12">
      <c r="A12" s="22" t="inlineStr">
        <is>
          <t>Deployable Ceiling (₹ Cr)</t>
        </is>
      </c>
      <c r="B12" s="23" t="n">
        <v>103.0917</v>
      </c>
    </row>
    <row r="13">
      <c r="A13" s="22" t="inlineStr">
        <is>
          <t>Idle Cash Yield</t>
        </is>
      </c>
      <c r="B13" s="24" t="n">
        <v>0.065</v>
      </c>
    </row>
    <row r="15">
      <c r="A15" s="3" t="inlineStr">
        <is>
          <t>CLOSING TRADING CAPITAL — ALL ROUTES, CYCLE 0–20 (₹ Cr)  [80% Annual]</t>
        </is>
      </c>
    </row>
    <row r="16">
      <c r="A16" s="12" t="inlineStr">
        <is>
          <t>Year</t>
        </is>
      </c>
      <c r="B16" s="12" t="inlineStr">
        <is>
          <t>Personal</t>
        </is>
      </c>
      <c r="C16" s="12" t="inlineStr">
        <is>
          <t>Company Solo</t>
        </is>
      </c>
      <c r="D16" s="12" t="inlineStr">
        <is>
          <t>Company + 1 Staff</t>
        </is>
      </c>
      <c r="E16" s="12" t="inlineStr">
        <is>
          <t>Company + 2 Staff</t>
        </is>
      </c>
      <c r="F16" s="12" t="inlineStr">
        <is>
          <t>Company + 3 Staff</t>
        </is>
      </c>
      <c r="G16" s="12" t="inlineStr">
        <is>
          <t>3 Staff Advantage</t>
        </is>
      </c>
      <c r="H16" s="12" t="inlineStr">
        <is>
          <t>3 Staff Loan Debt</t>
        </is>
      </c>
      <c r="I16" s="12" t="inlineStr">
        <is>
          <t>Net Equity (Capital - Loans)</t>
        </is>
      </c>
    </row>
    <row r="17">
      <c r="A17" s="13" t="n">
        <v>0</v>
      </c>
      <c r="B17" s="15">
        <f>$B$5</f>
        <v/>
      </c>
      <c r="C17" s="15">
        <f>$B$5</f>
        <v/>
      </c>
      <c r="D17" s="15">
        <f>$B$5</f>
        <v/>
      </c>
      <c r="E17" s="15">
        <f>$B$5</f>
        <v/>
      </c>
      <c r="F17" s="15">
        <f>$B$5</f>
        <v/>
      </c>
      <c r="G17" s="15" t="n">
        <v>0</v>
      </c>
      <c r="H17" s="15" t="n">
        <v>0</v>
      </c>
      <c r="I17" s="15">
        <f>$B$5</f>
        <v/>
      </c>
    </row>
    <row r="18">
      <c r="A18" s="13" t="n">
        <v>1</v>
      </c>
      <c r="B18" s="15">
        <f>M47</f>
        <v/>
      </c>
      <c r="C18" s="15">
        <f>M72</f>
        <v/>
      </c>
      <c r="D18" s="15">
        <f>M97</f>
        <v/>
      </c>
      <c r="E18" s="15">
        <f>M122</f>
        <v/>
      </c>
      <c r="F18" s="25">
        <f>M147</f>
        <v/>
      </c>
      <c r="G18" s="26">
        <f>F18-C18</f>
        <v/>
      </c>
      <c r="H18" s="15">
        <f>L147</f>
        <v/>
      </c>
      <c r="I18" s="15">
        <f>N147</f>
        <v/>
      </c>
    </row>
    <row r="19">
      <c r="A19" s="13" t="n">
        <v>2</v>
      </c>
      <c r="B19" s="15">
        <f>M48</f>
        <v/>
      </c>
      <c r="C19" s="15">
        <f>M73</f>
        <v/>
      </c>
      <c r="D19" s="15">
        <f>M98</f>
        <v/>
      </c>
      <c r="E19" s="15">
        <f>M123</f>
        <v/>
      </c>
      <c r="F19" s="25">
        <f>M148</f>
        <v/>
      </c>
      <c r="G19" s="26">
        <f>F19-C19</f>
        <v/>
      </c>
      <c r="H19" s="15">
        <f>L148</f>
        <v/>
      </c>
      <c r="I19" s="15">
        <f>N148</f>
        <v/>
      </c>
    </row>
    <row r="20">
      <c r="A20" s="13" t="n">
        <v>3</v>
      </c>
      <c r="B20" s="15">
        <f>M49</f>
        <v/>
      </c>
      <c r="C20" s="15">
        <f>M74</f>
        <v/>
      </c>
      <c r="D20" s="15">
        <f>M99</f>
        <v/>
      </c>
      <c r="E20" s="15">
        <f>M124</f>
        <v/>
      </c>
      <c r="F20" s="25">
        <f>M149</f>
        <v/>
      </c>
      <c r="G20" s="26">
        <f>F20-C20</f>
        <v/>
      </c>
      <c r="H20" s="15">
        <f>L149</f>
        <v/>
      </c>
      <c r="I20" s="15">
        <f>N149</f>
        <v/>
      </c>
    </row>
    <row r="21">
      <c r="A21" s="13" t="n">
        <v>4</v>
      </c>
      <c r="B21" s="15">
        <f>M50</f>
        <v/>
      </c>
      <c r="C21" s="15">
        <f>M75</f>
        <v/>
      </c>
      <c r="D21" s="15">
        <f>M100</f>
        <v/>
      </c>
      <c r="E21" s="15">
        <f>M125</f>
        <v/>
      </c>
      <c r="F21" s="25">
        <f>M150</f>
        <v/>
      </c>
      <c r="G21" s="26">
        <f>F21-C21</f>
        <v/>
      </c>
      <c r="H21" s="15">
        <f>L150</f>
        <v/>
      </c>
      <c r="I21" s="15">
        <f>N150</f>
        <v/>
      </c>
    </row>
    <row r="22">
      <c r="A22" s="13" t="n">
        <v>5</v>
      </c>
      <c r="B22" s="15">
        <f>M51</f>
        <v/>
      </c>
      <c r="C22" s="15">
        <f>M76</f>
        <v/>
      </c>
      <c r="D22" s="15">
        <f>M101</f>
        <v/>
      </c>
      <c r="E22" s="15">
        <f>M126</f>
        <v/>
      </c>
      <c r="F22" s="25">
        <f>M151</f>
        <v/>
      </c>
      <c r="G22" s="26">
        <f>F22-C22</f>
        <v/>
      </c>
      <c r="H22" s="15">
        <f>L151</f>
        <v/>
      </c>
      <c r="I22" s="15">
        <f>N151</f>
        <v/>
      </c>
    </row>
    <row r="23">
      <c r="A23" s="13" t="n">
        <v>6</v>
      </c>
      <c r="B23" s="15">
        <f>M52</f>
        <v/>
      </c>
      <c r="C23" s="15">
        <f>M77</f>
        <v/>
      </c>
      <c r="D23" s="15">
        <f>M102</f>
        <v/>
      </c>
      <c r="E23" s="15">
        <f>M127</f>
        <v/>
      </c>
      <c r="F23" s="25">
        <f>M152</f>
        <v/>
      </c>
      <c r="G23" s="26">
        <f>F23-C23</f>
        <v/>
      </c>
      <c r="H23" s="15">
        <f>L152</f>
        <v/>
      </c>
      <c r="I23" s="15">
        <f>N152</f>
        <v/>
      </c>
    </row>
    <row r="24">
      <c r="A24" s="13" t="n">
        <v>7</v>
      </c>
      <c r="B24" s="15">
        <f>M53</f>
        <v/>
      </c>
      <c r="C24" s="15">
        <f>M78</f>
        <v/>
      </c>
      <c r="D24" s="15">
        <f>M103</f>
        <v/>
      </c>
      <c r="E24" s="15">
        <f>M128</f>
        <v/>
      </c>
      <c r="F24" s="25">
        <f>M153</f>
        <v/>
      </c>
      <c r="G24" s="26">
        <f>F24-C24</f>
        <v/>
      </c>
      <c r="H24" s="15">
        <f>L153</f>
        <v/>
      </c>
      <c r="I24" s="15">
        <f>N153</f>
        <v/>
      </c>
    </row>
    <row r="25">
      <c r="A25" s="13" t="n">
        <v>8</v>
      </c>
      <c r="B25" s="15">
        <f>M54</f>
        <v/>
      </c>
      <c r="C25" s="15">
        <f>M79</f>
        <v/>
      </c>
      <c r="D25" s="15">
        <f>M104</f>
        <v/>
      </c>
      <c r="E25" s="15">
        <f>M129</f>
        <v/>
      </c>
      <c r="F25" s="25">
        <f>M154</f>
        <v/>
      </c>
      <c r="G25" s="26">
        <f>F25-C25</f>
        <v/>
      </c>
      <c r="H25" s="15">
        <f>L154</f>
        <v/>
      </c>
      <c r="I25" s="15">
        <f>N154</f>
        <v/>
      </c>
    </row>
    <row r="26">
      <c r="A26" s="13" t="n">
        <v>9</v>
      </c>
      <c r="B26" s="15">
        <f>M55</f>
        <v/>
      </c>
      <c r="C26" s="15">
        <f>M80</f>
        <v/>
      </c>
      <c r="D26" s="15">
        <f>M105</f>
        <v/>
      </c>
      <c r="E26" s="15">
        <f>M130</f>
        <v/>
      </c>
      <c r="F26" s="25">
        <f>M155</f>
        <v/>
      </c>
      <c r="G26" s="26">
        <f>F26-C26</f>
        <v/>
      </c>
      <c r="H26" s="15">
        <f>L155</f>
        <v/>
      </c>
      <c r="I26" s="15">
        <f>N155</f>
        <v/>
      </c>
    </row>
    <row r="27">
      <c r="A27" s="13" t="n">
        <v>10</v>
      </c>
      <c r="B27" s="15">
        <f>M56</f>
        <v/>
      </c>
      <c r="C27" s="15">
        <f>M81</f>
        <v/>
      </c>
      <c r="D27" s="15">
        <f>M106</f>
        <v/>
      </c>
      <c r="E27" s="15">
        <f>M131</f>
        <v/>
      </c>
      <c r="F27" s="25">
        <f>M156</f>
        <v/>
      </c>
      <c r="G27" s="26">
        <f>F27-C27</f>
        <v/>
      </c>
      <c r="H27" s="15">
        <f>L156</f>
        <v/>
      </c>
      <c r="I27" s="15">
        <f>N156</f>
        <v/>
      </c>
    </row>
    <row r="28">
      <c r="A28" s="13" t="n">
        <v>11</v>
      </c>
      <c r="B28" s="15">
        <f>M57</f>
        <v/>
      </c>
      <c r="C28" s="15">
        <f>M82</f>
        <v/>
      </c>
      <c r="D28" s="15">
        <f>M107</f>
        <v/>
      </c>
      <c r="E28" s="15">
        <f>M132</f>
        <v/>
      </c>
      <c r="F28" s="25">
        <f>M157</f>
        <v/>
      </c>
      <c r="G28" s="26">
        <f>F28-C28</f>
        <v/>
      </c>
      <c r="H28" s="15">
        <f>L157</f>
        <v/>
      </c>
      <c r="I28" s="15">
        <f>N157</f>
        <v/>
      </c>
    </row>
    <row r="29">
      <c r="A29" s="13" t="n">
        <v>12</v>
      </c>
      <c r="B29" s="15">
        <f>M58</f>
        <v/>
      </c>
      <c r="C29" s="15">
        <f>M83</f>
        <v/>
      </c>
      <c r="D29" s="15">
        <f>M108</f>
        <v/>
      </c>
      <c r="E29" s="15">
        <f>M133</f>
        <v/>
      </c>
      <c r="F29" s="25">
        <f>M158</f>
        <v/>
      </c>
      <c r="G29" s="26">
        <f>F29-C29</f>
        <v/>
      </c>
      <c r="H29" s="15">
        <f>L158</f>
        <v/>
      </c>
      <c r="I29" s="15">
        <f>N158</f>
        <v/>
      </c>
    </row>
    <row r="30">
      <c r="A30" s="13" t="n">
        <v>13</v>
      </c>
      <c r="B30" s="15">
        <f>M59</f>
        <v/>
      </c>
      <c r="C30" s="15">
        <f>M84</f>
        <v/>
      </c>
      <c r="D30" s="15">
        <f>M109</f>
        <v/>
      </c>
      <c r="E30" s="15">
        <f>M134</f>
        <v/>
      </c>
      <c r="F30" s="25">
        <f>M159</f>
        <v/>
      </c>
      <c r="G30" s="26">
        <f>F30-C30</f>
        <v/>
      </c>
      <c r="H30" s="15">
        <f>L159</f>
        <v/>
      </c>
      <c r="I30" s="15">
        <f>N159</f>
        <v/>
      </c>
    </row>
    <row r="31">
      <c r="A31" s="13" t="n">
        <v>14</v>
      </c>
      <c r="B31" s="15">
        <f>M60</f>
        <v/>
      </c>
      <c r="C31" s="15">
        <f>M85</f>
        <v/>
      </c>
      <c r="D31" s="15">
        <f>M110</f>
        <v/>
      </c>
      <c r="E31" s="15">
        <f>M135</f>
        <v/>
      </c>
      <c r="F31" s="25">
        <f>M160</f>
        <v/>
      </c>
      <c r="G31" s="26">
        <f>F31-C31</f>
        <v/>
      </c>
      <c r="H31" s="15">
        <f>L160</f>
        <v/>
      </c>
      <c r="I31" s="15">
        <f>N160</f>
        <v/>
      </c>
    </row>
    <row r="32">
      <c r="A32" s="13" t="n">
        <v>15</v>
      </c>
      <c r="B32" s="15">
        <f>M61</f>
        <v/>
      </c>
      <c r="C32" s="15">
        <f>M86</f>
        <v/>
      </c>
      <c r="D32" s="15">
        <f>M111</f>
        <v/>
      </c>
      <c r="E32" s="15">
        <f>M136</f>
        <v/>
      </c>
      <c r="F32" s="25">
        <f>M161</f>
        <v/>
      </c>
      <c r="G32" s="26">
        <f>F32-C32</f>
        <v/>
      </c>
      <c r="H32" s="15">
        <f>L161</f>
        <v/>
      </c>
      <c r="I32" s="15">
        <f>N161</f>
        <v/>
      </c>
    </row>
    <row r="33">
      <c r="A33" s="13" t="n">
        <v>16</v>
      </c>
      <c r="B33" s="15">
        <f>M62</f>
        <v/>
      </c>
      <c r="C33" s="15">
        <f>M87</f>
        <v/>
      </c>
      <c r="D33" s="15">
        <f>M112</f>
        <v/>
      </c>
      <c r="E33" s="15">
        <f>M137</f>
        <v/>
      </c>
      <c r="F33" s="25">
        <f>M162</f>
        <v/>
      </c>
      <c r="G33" s="26">
        <f>F33-C33</f>
        <v/>
      </c>
      <c r="H33" s="15">
        <f>L162</f>
        <v/>
      </c>
      <c r="I33" s="15">
        <f>N162</f>
        <v/>
      </c>
    </row>
    <row r="34">
      <c r="A34" s="13" t="n">
        <v>17</v>
      </c>
      <c r="B34" s="15">
        <f>M63</f>
        <v/>
      </c>
      <c r="C34" s="15">
        <f>M88</f>
        <v/>
      </c>
      <c r="D34" s="15">
        <f>M113</f>
        <v/>
      </c>
      <c r="E34" s="15">
        <f>M138</f>
        <v/>
      </c>
      <c r="F34" s="25">
        <f>M163</f>
        <v/>
      </c>
      <c r="G34" s="26">
        <f>F34-C34</f>
        <v/>
      </c>
      <c r="H34" s="15">
        <f>L163</f>
        <v/>
      </c>
      <c r="I34" s="15">
        <f>N163</f>
        <v/>
      </c>
    </row>
    <row r="35">
      <c r="A35" s="13" t="n">
        <v>18</v>
      </c>
      <c r="B35" s="15">
        <f>M64</f>
        <v/>
      </c>
      <c r="C35" s="15">
        <f>M89</f>
        <v/>
      </c>
      <c r="D35" s="15">
        <f>M114</f>
        <v/>
      </c>
      <c r="E35" s="15">
        <f>M139</f>
        <v/>
      </c>
      <c r="F35" s="25">
        <f>M164</f>
        <v/>
      </c>
      <c r="G35" s="26">
        <f>F35-C35</f>
        <v/>
      </c>
      <c r="H35" s="15">
        <f>L164</f>
        <v/>
      </c>
      <c r="I35" s="15">
        <f>N164</f>
        <v/>
      </c>
    </row>
    <row r="36">
      <c r="A36" s="13" t="n">
        <v>19</v>
      </c>
      <c r="B36" s="15">
        <f>M65</f>
        <v/>
      </c>
      <c r="C36" s="15">
        <f>M90</f>
        <v/>
      </c>
      <c r="D36" s="15">
        <f>M115</f>
        <v/>
      </c>
      <c r="E36" s="15">
        <f>M140</f>
        <v/>
      </c>
      <c r="F36" s="25">
        <f>M165</f>
        <v/>
      </c>
      <c r="G36" s="26">
        <f>F36-C36</f>
        <v/>
      </c>
      <c r="H36" s="15">
        <f>L165</f>
        <v/>
      </c>
      <c r="I36" s="15">
        <f>N165</f>
        <v/>
      </c>
    </row>
    <row r="37">
      <c r="A37" s="13" t="n">
        <v>20</v>
      </c>
      <c r="B37" s="15">
        <f>M66</f>
        <v/>
      </c>
      <c r="C37" s="15">
        <f>M91</f>
        <v/>
      </c>
      <c r="D37" s="15">
        <f>M116</f>
        <v/>
      </c>
      <c r="E37" s="15">
        <f>M141</f>
        <v/>
      </c>
      <c r="F37" s="25">
        <f>M166</f>
        <v/>
      </c>
      <c r="G37" s="26">
        <f>F37-C37</f>
        <v/>
      </c>
      <c r="H37" s="15">
        <f>L166</f>
        <v/>
      </c>
      <c r="I37" s="15">
        <f>N166</f>
        <v/>
      </c>
    </row>
    <row r="44">
      <c r="A44" s="3" t="inlineStr">
        <is>
          <t>PERSONAL TRADING ROUTE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COMPANY SOLO ROUTE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COMPANY + 1 EMPLOYEE ROUTE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COMPANY + 2 EMPLOYEES ROUTE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COMPANY + 3 EMPLOYEES ROUTE (RECOMMENDED)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6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MCX COMMODITY TREASURY MODEL  ·  85% ANNUAL</t>
        </is>
      </c>
    </row>
    <row r="2">
      <c r="A2" s="2" t="inlineStr">
        <is>
          <t>Optimized Alpha Tier (85% Return) · Live inputs: cream cells. All 20-year cycles dynamically evaluate.</t>
        </is>
      </c>
    </row>
    <row r="4">
      <c r="A4" s="3" t="inlineStr">
        <is>
          <t>MODEL INPUTS</t>
        </is>
      </c>
    </row>
    <row r="5">
      <c r="A5" s="22" t="inlineStr">
        <is>
          <t>Starting Capital (₹ Cr)</t>
        </is>
      </c>
      <c r="B5" s="23" t="n">
        <v>0.6</v>
      </c>
    </row>
    <row r="6">
      <c r="A6" s="22" t="inlineStr">
        <is>
          <t>Annual Return</t>
        </is>
      </c>
      <c r="B6" s="24" t="n">
        <v>0.85</v>
      </c>
    </row>
    <row r="7">
      <c r="A7" s="22" t="inlineStr">
        <is>
          <t>Company Tax Rate</t>
        </is>
      </c>
      <c r="B7" s="24" t="n">
        <v>0.25168</v>
      </c>
    </row>
    <row r="8">
      <c r="A8" s="22" t="inlineStr">
        <is>
          <t>Loanback Share</t>
        </is>
      </c>
      <c r="B8" s="24" t="n">
        <v>0.9</v>
      </c>
    </row>
    <row r="9">
      <c r="A9" s="22" t="inlineStr">
        <is>
          <t>Salary Ceiling / Employee (₹ Cr)</t>
        </is>
      </c>
      <c r="B9" s="23" t="n">
        <v>0.1275</v>
      </c>
    </row>
    <row r="10">
      <c r="A10" s="22" t="inlineStr">
        <is>
          <t>Salary Profit Fraction Cap</t>
        </is>
      </c>
      <c r="B10" s="24" t="n">
        <v>0.4</v>
      </c>
    </row>
    <row r="11">
      <c r="A11" s="22" t="inlineStr">
        <is>
          <t>Company Annual Costs (₹ Cr)</t>
        </is>
      </c>
      <c r="B11" s="23" t="n">
        <v>0.01</v>
      </c>
    </row>
    <row r="12">
      <c r="A12" s="22" t="inlineStr">
        <is>
          <t>Deployable Ceiling (₹ Cr)</t>
        </is>
      </c>
      <c r="B12" s="23" t="n">
        <v>103.0917</v>
      </c>
    </row>
    <row r="13">
      <c r="A13" s="22" t="inlineStr">
        <is>
          <t>Idle Cash Yield</t>
        </is>
      </c>
      <c r="B13" s="24" t="n">
        <v>0.065</v>
      </c>
    </row>
    <row r="15">
      <c r="A15" s="3" t="inlineStr">
        <is>
          <t>CLOSING TRADING CAPITAL — ALL ROUTES, CYCLE 0–20 (₹ Cr)  [85% Annual]</t>
        </is>
      </c>
    </row>
    <row r="16">
      <c r="A16" s="12" t="inlineStr">
        <is>
          <t>Year</t>
        </is>
      </c>
      <c r="B16" s="12" t="inlineStr">
        <is>
          <t>Personal</t>
        </is>
      </c>
      <c r="C16" s="12" t="inlineStr">
        <is>
          <t>Company Solo</t>
        </is>
      </c>
      <c r="D16" s="12" t="inlineStr">
        <is>
          <t>Company + 1 Staff</t>
        </is>
      </c>
      <c r="E16" s="12" t="inlineStr">
        <is>
          <t>Company + 2 Staff</t>
        </is>
      </c>
      <c r="F16" s="12" t="inlineStr">
        <is>
          <t>Company + 3 Staff</t>
        </is>
      </c>
      <c r="G16" s="12" t="inlineStr">
        <is>
          <t>3 Staff Advantage</t>
        </is>
      </c>
      <c r="H16" s="12" t="inlineStr">
        <is>
          <t>3 Staff Loan Debt</t>
        </is>
      </c>
      <c r="I16" s="12" t="inlineStr">
        <is>
          <t>Net Equity (Capital - Loans)</t>
        </is>
      </c>
    </row>
    <row r="17">
      <c r="A17" s="13" t="n">
        <v>0</v>
      </c>
      <c r="B17" s="15">
        <f>$B$5</f>
        <v/>
      </c>
      <c r="C17" s="15">
        <f>$B$5</f>
        <v/>
      </c>
      <c r="D17" s="15">
        <f>$B$5</f>
        <v/>
      </c>
      <c r="E17" s="15">
        <f>$B$5</f>
        <v/>
      </c>
      <c r="F17" s="15">
        <f>$B$5</f>
        <v/>
      </c>
      <c r="G17" s="15" t="n">
        <v>0</v>
      </c>
      <c r="H17" s="15" t="n">
        <v>0</v>
      </c>
      <c r="I17" s="15">
        <f>$B$5</f>
        <v/>
      </c>
    </row>
    <row r="18">
      <c r="A18" s="13" t="n">
        <v>1</v>
      </c>
      <c r="B18" s="15">
        <f>M47</f>
        <v/>
      </c>
      <c r="C18" s="15">
        <f>M72</f>
        <v/>
      </c>
      <c r="D18" s="15">
        <f>M97</f>
        <v/>
      </c>
      <c r="E18" s="15">
        <f>M122</f>
        <v/>
      </c>
      <c r="F18" s="25">
        <f>M147</f>
        <v/>
      </c>
      <c r="G18" s="26">
        <f>F18-C18</f>
        <v/>
      </c>
      <c r="H18" s="15">
        <f>L147</f>
        <v/>
      </c>
      <c r="I18" s="15">
        <f>N147</f>
        <v/>
      </c>
    </row>
    <row r="19">
      <c r="A19" s="13" t="n">
        <v>2</v>
      </c>
      <c r="B19" s="15">
        <f>M48</f>
        <v/>
      </c>
      <c r="C19" s="15">
        <f>M73</f>
        <v/>
      </c>
      <c r="D19" s="15">
        <f>M98</f>
        <v/>
      </c>
      <c r="E19" s="15">
        <f>M123</f>
        <v/>
      </c>
      <c r="F19" s="25">
        <f>M148</f>
        <v/>
      </c>
      <c r="G19" s="26">
        <f>F19-C19</f>
        <v/>
      </c>
      <c r="H19" s="15">
        <f>L148</f>
        <v/>
      </c>
      <c r="I19" s="15">
        <f>N148</f>
        <v/>
      </c>
    </row>
    <row r="20">
      <c r="A20" s="13" t="n">
        <v>3</v>
      </c>
      <c r="B20" s="15">
        <f>M49</f>
        <v/>
      </c>
      <c r="C20" s="15">
        <f>M74</f>
        <v/>
      </c>
      <c r="D20" s="15">
        <f>M99</f>
        <v/>
      </c>
      <c r="E20" s="15">
        <f>M124</f>
        <v/>
      </c>
      <c r="F20" s="25">
        <f>M149</f>
        <v/>
      </c>
      <c r="G20" s="26">
        <f>F20-C20</f>
        <v/>
      </c>
      <c r="H20" s="15">
        <f>L149</f>
        <v/>
      </c>
      <c r="I20" s="15">
        <f>N149</f>
        <v/>
      </c>
    </row>
    <row r="21">
      <c r="A21" s="13" t="n">
        <v>4</v>
      </c>
      <c r="B21" s="15">
        <f>M50</f>
        <v/>
      </c>
      <c r="C21" s="15">
        <f>M75</f>
        <v/>
      </c>
      <c r="D21" s="15">
        <f>M100</f>
        <v/>
      </c>
      <c r="E21" s="15">
        <f>M125</f>
        <v/>
      </c>
      <c r="F21" s="25">
        <f>M150</f>
        <v/>
      </c>
      <c r="G21" s="26">
        <f>F21-C21</f>
        <v/>
      </c>
      <c r="H21" s="15">
        <f>L150</f>
        <v/>
      </c>
      <c r="I21" s="15">
        <f>N150</f>
        <v/>
      </c>
    </row>
    <row r="22">
      <c r="A22" s="13" t="n">
        <v>5</v>
      </c>
      <c r="B22" s="15">
        <f>M51</f>
        <v/>
      </c>
      <c r="C22" s="15">
        <f>M76</f>
        <v/>
      </c>
      <c r="D22" s="15">
        <f>M101</f>
        <v/>
      </c>
      <c r="E22" s="15">
        <f>M126</f>
        <v/>
      </c>
      <c r="F22" s="25">
        <f>M151</f>
        <v/>
      </c>
      <c r="G22" s="26">
        <f>F22-C22</f>
        <v/>
      </c>
      <c r="H22" s="15">
        <f>L151</f>
        <v/>
      </c>
      <c r="I22" s="15">
        <f>N151</f>
        <v/>
      </c>
    </row>
    <row r="23">
      <c r="A23" s="13" t="n">
        <v>6</v>
      </c>
      <c r="B23" s="15">
        <f>M52</f>
        <v/>
      </c>
      <c r="C23" s="15">
        <f>M77</f>
        <v/>
      </c>
      <c r="D23" s="15">
        <f>M102</f>
        <v/>
      </c>
      <c r="E23" s="15">
        <f>M127</f>
        <v/>
      </c>
      <c r="F23" s="25">
        <f>M152</f>
        <v/>
      </c>
      <c r="G23" s="26">
        <f>F23-C23</f>
        <v/>
      </c>
      <c r="H23" s="15">
        <f>L152</f>
        <v/>
      </c>
      <c r="I23" s="15">
        <f>N152</f>
        <v/>
      </c>
    </row>
    <row r="24">
      <c r="A24" s="13" t="n">
        <v>7</v>
      </c>
      <c r="B24" s="15">
        <f>M53</f>
        <v/>
      </c>
      <c r="C24" s="15">
        <f>M78</f>
        <v/>
      </c>
      <c r="D24" s="15">
        <f>M103</f>
        <v/>
      </c>
      <c r="E24" s="15">
        <f>M128</f>
        <v/>
      </c>
      <c r="F24" s="25">
        <f>M153</f>
        <v/>
      </c>
      <c r="G24" s="26">
        <f>F24-C24</f>
        <v/>
      </c>
      <c r="H24" s="15">
        <f>L153</f>
        <v/>
      </c>
      <c r="I24" s="15">
        <f>N153</f>
        <v/>
      </c>
    </row>
    <row r="25">
      <c r="A25" s="13" t="n">
        <v>8</v>
      </c>
      <c r="B25" s="15">
        <f>M54</f>
        <v/>
      </c>
      <c r="C25" s="15">
        <f>M79</f>
        <v/>
      </c>
      <c r="D25" s="15">
        <f>M104</f>
        <v/>
      </c>
      <c r="E25" s="15">
        <f>M129</f>
        <v/>
      </c>
      <c r="F25" s="25">
        <f>M154</f>
        <v/>
      </c>
      <c r="G25" s="26">
        <f>F25-C25</f>
        <v/>
      </c>
      <c r="H25" s="15">
        <f>L154</f>
        <v/>
      </c>
      <c r="I25" s="15">
        <f>N154</f>
        <v/>
      </c>
    </row>
    <row r="26">
      <c r="A26" s="13" t="n">
        <v>9</v>
      </c>
      <c r="B26" s="15">
        <f>M55</f>
        <v/>
      </c>
      <c r="C26" s="15">
        <f>M80</f>
        <v/>
      </c>
      <c r="D26" s="15">
        <f>M105</f>
        <v/>
      </c>
      <c r="E26" s="15">
        <f>M130</f>
        <v/>
      </c>
      <c r="F26" s="25">
        <f>M155</f>
        <v/>
      </c>
      <c r="G26" s="26">
        <f>F26-C26</f>
        <v/>
      </c>
      <c r="H26" s="15">
        <f>L155</f>
        <v/>
      </c>
      <c r="I26" s="15">
        <f>N155</f>
        <v/>
      </c>
    </row>
    <row r="27">
      <c r="A27" s="13" t="n">
        <v>10</v>
      </c>
      <c r="B27" s="15">
        <f>M56</f>
        <v/>
      </c>
      <c r="C27" s="15">
        <f>M81</f>
        <v/>
      </c>
      <c r="D27" s="15">
        <f>M106</f>
        <v/>
      </c>
      <c r="E27" s="15">
        <f>M131</f>
        <v/>
      </c>
      <c r="F27" s="25">
        <f>M156</f>
        <v/>
      </c>
      <c r="G27" s="26">
        <f>F27-C27</f>
        <v/>
      </c>
      <c r="H27" s="15">
        <f>L156</f>
        <v/>
      </c>
      <c r="I27" s="15">
        <f>N156</f>
        <v/>
      </c>
    </row>
    <row r="28">
      <c r="A28" s="13" t="n">
        <v>11</v>
      </c>
      <c r="B28" s="15">
        <f>M57</f>
        <v/>
      </c>
      <c r="C28" s="15">
        <f>M82</f>
        <v/>
      </c>
      <c r="D28" s="15">
        <f>M107</f>
        <v/>
      </c>
      <c r="E28" s="15">
        <f>M132</f>
        <v/>
      </c>
      <c r="F28" s="25">
        <f>M157</f>
        <v/>
      </c>
      <c r="G28" s="26">
        <f>F28-C28</f>
        <v/>
      </c>
      <c r="H28" s="15">
        <f>L157</f>
        <v/>
      </c>
      <c r="I28" s="15">
        <f>N157</f>
        <v/>
      </c>
    </row>
    <row r="29">
      <c r="A29" s="13" t="n">
        <v>12</v>
      </c>
      <c r="B29" s="15">
        <f>M58</f>
        <v/>
      </c>
      <c r="C29" s="15">
        <f>M83</f>
        <v/>
      </c>
      <c r="D29" s="15">
        <f>M108</f>
        <v/>
      </c>
      <c r="E29" s="15">
        <f>M133</f>
        <v/>
      </c>
      <c r="F29" s="25">
        <f>M158</f>
        <v/>
      </c>
      <c r="G29" s="26">
        <f>F29-C29</f>
        <v/>
      </c>
      <c r="H29" s="15">
        <f>L158</f>
        <v/>
      </c>
      <c r="I29" s="15">
        <f>N158</f>
        <v/>
      </c>
    </row>
    <row r="30">
      <c r="A30" s="13" t="n">
        <v>13</v>
      </c>
      <c r="B30" s="15">
        <f>M59</f>
        <v/>
      </c>
      <c r="C30" s="15">
        <f>M84</f>
        <v/>
      </c>
      <c r="D30" s="15">
        <f>M109</f>
        <v/>
      </c>
      <c r="E30" s="15">
        <f>M134</f>
        <v/>
      </c>
      <c r="F30" s="25">
        <f>M159</f>
        <v/>
      </c>
      <c r="G30" s="26">
        <f>F30-C30</f>
        <v/>
      </c>
      <c r="H30" s="15">
        <f>L159</f>
        <v/>
      </c>
      <c r="I30" s="15">
        <f>N159</f>
        <v/>
      </c>
    </row>
    <row r="31">
      <c r="A31" s="13" t="n">
        <v>14</v>
      </c>
      <c r="B31" s="15">
        <f>M60</f>
        <v/>
      </c>
      <c r="C31" s="15">
        <f>M85</f>
        <v/>
      </c>
      <c r="D31" s="15">
        <f>M110</f>
        <v/>
      </c>
      <c r="E31" s="15">
        <f>M135</f>
        <v/>
      </c>
      <c r="F31" s="25">
        <f>M160</f>
        <v/>
      </c>
      <c r="G31" s="26">
        <f>F31-C31</f>
        <v/>
      </c>
      <c r="H31" s="15">
        <f>L160</f>
        <v/>
      </c>
      <c r="I31" s="15">
        <f>N160</f>
        <v/>
      </c>
    </row>
    <row r="32">
      <c r="A32" s="13" t="n">
        <v>15</v>
      </c>
      <c r="B32" s="15">
        <f>M61</f>
        <v/>
      </c>
      <c r="C32" s="15">
        <f>M86</f>
        <v/>
      </c>
      <c r="D32" s="15">
        <f>M111</f>
        <v/>
      </c>
      <c r="E32" s="15">
        <f>M136</f>
        <v/>
      </c>
      <c r="F32" s="25">
        <f>M161</f>
        <v/>
      </c>
      <c r="G32" s="26">
        <f>F32-C32</f>
        <v/>
      </c>
      <c r="H32" s="15">
        <f>L161</f>
        <v/>
      </c>
      <c r="I32" s="15">
        <f>N161</f>
        <v/>
      </c>
    </row>
    <row r="33">
      <c r="A33" s="13" t="n">
        <v>16</v>
      </c>
      <c r="B33" s="15">
        <f>M62</f>
        <v/>
      </c>
      <c r="C33" s="15">
        <f>M87</f>
        <v/>
      </c>
      <c r="D33" s="15">
        <f>M112</f>
        <v/>
      </c>
      <c r="E33" s="15">
        <f>M137</f>
        <v/>
      </c>
      <c r="F33" s="25">
        <f>M162</f>
        <v/>
      </c>
      <c r="G33" s="26">
        <f>F33-C33</f>
        <v/>
      </c>
      <c r="H33" s="15">
        <f>L162</f>
        <v/>
      </c>
      <c r="I33" s="15">
        <f>N162</f>
        <v/>
      </c>
    </row>
    <row r="34">
      <c r="A34" s="13" t="n">
        <v>17</v>
      </c>
      <c r="B34" s="15">
        <f>M63</f>
        <v/>
      </c>
      <c r="C34" s="15">
        <f>M88</f>
        <v/>
      </c>
      <c r="D34" s="15">
        <f>M113</f>
        <v/>
      </c>
      <c r="E34" s="15">
        <f>M138</f>
        <v/>
      </c>
      <c r="F34" s="25">
        <f>M163</f>
        <v/>
      </c>
      <c r="G34" s="26">
        <f>F34-C34</f>
        <v/>
      </c>
      <c r="H34" s="15">
        <f>L163</f>
        <v/>
      </c>
      <c r="I34" s="15">
        <f>N163</f>
        <v/>
      </c>
    </row>
    <row r="35">
      <c r="A35" s="13" t="n">
        <v>18</v>
      </c>
      <c r="B35" s="15">
        <f>M64</f>
        <v/>
      </c>
      <c r="C35" s="15">
        <f>M89</f>
        <v/>
      </c>
      <c r="D35" s="15">
        <f>M114</f>
        <v/>
      </c>
      <c r="E35" s="15">
        <f>M139</f>
        <v/>
      </c>
      <c r="F35" s="25">
        <f>M164</f>
        <v/>
      </c>
      <c r="G35" s="26">
        <f>F35-C35</f>
        <v/>
      </c>
      <c r="H35" s="15">
        <f>L164</f>
        <v/>
      </c>
      <c r="I35" s="15">
        <f>N164</f>
        <v/>
      </c>
    </row>
    <row r="36">
      <c r="A36" s="13" t="n">
        <v>19</v>
      </c>
      <c r="B36" s="15">
        <f>M65</f>
        <v/>
      </c>
      <c r="C36" s="15">
        <f>M90</f>
        <v/>
      </c>
      <c r="D36" s="15">
        <f>M115</f>
        <v/>
      </c>
      <c r="E36" s="15">
        <f>M140</f>
        <v/>
      </c>
      <c r="F36" s="25">
        <f>M165</f>
        <v/>
      </c>
      <c r="G36" s="26">
        <f>F36-C36</f>
        <v/>
      </c>
      <c r="H36" s="15">
        <f>L165</f>
        <v/>
      </c>
      <c r="I36" s="15">
        <f>N165</f>
        <v/>
      </c>
    </row>
    <row r="37">
      <c r="A37" s="13" t="n">
        <v>20</v>
      </c>
      <c r="B37" s="15">
        <f>M66</f>
        <v/>
      </c>
      <c r="C37" s="15">
        <f>M91</f>
        <v/>
      </c>
      <c r="D37" s="15">
        <f>M116</f>
        <v/>
      </c>
      <c r="E37" s="15">
        <f>M141</f>
        <v/>
      </c>
      <c r="F37" s="25">
        <f>M166</f>
        <v/>
      </c>
      <c r="G37" s="26">
        <f>F37-C37</f>
        <v/>
      </c>
      <c r="H37" s="15">
        <f>L166</f>
        <v/>
      </c>
      <c r="I37" s="15">
        <f>N166</f>
        <v/>
      </c>
    </row>
    <row r="44">
      <c r="A44" s="3" t="inlineStr">
        <is>
          <t>PERSONAL TRADING ROUTE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COMPANY SOLO ROUTE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COMPANY + 1 EMPLOYEE ROUTE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COMPANY + 2 EMPLOYEES ROUTE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COMPANY + 3 EMPLOYEES ROUTE (RECOMMENDED)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6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MCX COMMODITY TREASURY MODEL  ·  100% ANNUAL</t>
        </is>
      </c>
    </row>
    <row r="2">
      <c r="A2" s="2" t="inlineStr">
        <is>
          <t>High-Conviction Benchmark (100% Return) · Live inputs: cream cells. All 20-year cycles dynamically evaluate.</t>
        </is>
      </c>
    </row>
    <row r="4">
      <c r="A4" s="3" t="inlineStr">
        <is>
          <t>MODEL INPUTS</t>
        </is>
      </c>
    </row>
    <row r="5">
      <c r="A5" s="22" t="inlineStr">
        <is>
          <t>Starting Capital (₹ Cr)</t>
        </is>
      </c>
      <c r="B5" s="23" t="n">
        <v>0.6</v>
      </c>
    </row>
    <row r="6">
      <c r="A6" s="22" t="inlineStr">
        <is>
          <t>Annual Return</t>
        </is>
      </c>
      <c r="B6" s="24" t="n">
        <v>1</v>
      </c>
    </row>
    <row r="7">
      <c r="A7" s="22" t="inlineStr">
        <is>
          <t>Company Tax Rate</t>
        </is>
      </c>
      <c r="B7" s="24" t="n">
        <v>0.25168</v>
      </c>
    </row>
    <row r="8">
      <c r="A8" s="22" t="inlineStr">
        <is>
          <t>Loanback Share</t>
        </is>
      </c>
      <c r="B8" s="24" t="n">
        <v>0.9</v>
      </c>
    </row>
    <row r="9">
      <c r="A9" s="22" t="inlineStr">
        <is>
          <t>Salary Ceiling / Employee (₹ Cr)</t>
        </is>
      </c>
      <c r="B9" s="23" t="n">
        <v>0.1275</v>
      </c>
    </row>
    <row r="10">
      <c r="A10" s="22" t="inlineStr">
        <is>
          <t>Salary Profit Fraction Cap</t>
        </is>
      </c>
      <c r="B10" s="24" t="n">
        <v>0.4</v>
      </c>
    </row>
    <row r="11">
      <c r="A11" s="22" t="inlineStr">
        <is>
          <t>Company Annual Costs (₹ Cr)</t>
        </is>
      </c>
      <c r="B11" s="23" t="n">
        <v>0.01</v>
      </c>
    </row>
    <row r="12">
      <c r="A12" s="22" t="inlineStr">
        <is>
          <t>Deployable Ceiling (₹ Cr)</t>
        </is>
      </c>
      <c r="B12" s="23" t="n">
        <v>103.0917</v>
      </c>
    </row>
    <row r="13">
      <c r="A13" s="22" t="inlineStr">
        <is>
          <t>Idle Cash Yield</t>
        </is>
      </c>
      <c r="B13" s="24" t="n">
        <v>0.065</v>
      </c>
    </row>
    <row r="15">
      <c r="A15" s="3" t="inlineStr">
        <is>
          <t>CLOSING TRADING CAPITAL — ALL ROUTES, CYCLE 0–20 (₹ Cr)  [100% Annual]</t>
        </is>
      </c>
    </row>
    <row r="16">
      <c r="A16" s="12" t="inlineStr">
        <is>
          <t>Year</t>
        </is>
      </c>
      <c r="B16" s="12" t="inlineStr">
        <is>
          <t>Personal</t>
        </is>
      </c>
      <c r="C16" s="12" t="inlineStr">
        <is>
          <t>Company Solo</t>
        </is>
      </c>
      <c r="D16" s="12" t="inlineStr">
        <is>
          <t>Company + 1 Staff</t>
        </is>
      </c>
      <c r="E16" s="12" t="inlineStr">
        <is>
          <t>Company + 2 Staff</t>
        </is>
      </c>
      <c r="F16" s="12" t="inlineStr">
        <is>
          <t>Company + 3 Staff</t>
        </is>
      </c>
      <c r="G16" s="12" t="inlineStr">
        <is>
          <t>3 Staff Advantage</t>
        </is>
      </c>
      <c r="H16" s="12" t="inlineStr">
        <is>
          <t>3 Staff Loan Debt</t>
        </is>
      </c>
      <c r="I16" s="12" t="inlineStr">
        <is>
          <t>Net Equity (Capital - Loans)</t>
        </is>
      </c>
    </row>
    <row r="17">
      <c r="A17" s="13" t="n">
        <v>0</v>
      </c>
      <c r="B17" s="15">
        <f>$B$5</f>
        <v/>
      </c>
      <c r="C17" s="15">
        <f>$B$5</f>
        <v/>
      </c>
      <c r="D17" s="15">
        <f>$B$5</f>
        <v/>
      </c>
      <c r="E17" s="15">
        <f>$B$5</f>
        <v/>
      </c>
      <c r="F17" s="15">
        <f>$B$5</f>
        <v/>
      </c>
      <c r="G17" s="15" t="n">
        <v>0</v>
      </c>
      <c r="H17" s="15" t="n">
        <v>0</v>
      </c>
      <c r="I17" s="15">
        <f>$B$5</f>
        <v/>
      </c>
    </row>
    <row r="18">
      <c r="A18" s="13" t="n">
        <v>1</v>
      </c>
      <c r="B18" s="15">
        <f>M47</f>
        <v/>
      </c>
      <c r="C18" s="15">
        <f>M72</f>
        <v/>
      </c>
      <c r="D18" s="15">
        <f>M97</f>
        <v/>
      </c>
      <c r="E18" s="15">
        <f>M122</f>
        <v/>
      </c>
      <c r="F18" s="25">
        <f>M147</f>
        <v/>
      </c>
      <c r="G18" s="26">
        <f>F18-C18</f>
        <v/>
      </c>
      <c r="H18" s="15">
        <f>L147</f>
        <v/>
      </c>
      <c r="I18" s="15">
        <f>N147</f>
        <v/>
      </c>
    </row>
    <row r="19">
      <c r="A19" s="13" t="n">
        <v>2</v>
      </c>
      <c r="B19" s="15">
        <f>M48</f>
        <v/>
      </c>
      <c r="C19" s="15">
        <f>M73</f>
        <v/>
      </c>
      <c r="D19" s="15">
        <f>M98</f>
        <v/>
      </c>
      <c r="E19" s="15">
        <f>M123</f>
        <v/>
      </c>
      <c r="F19" s="25">
        <f>M148</f>
        <v/>
      </c>
      <c r="G19" s="26">
        <f>F19-C19</f>
        <v/>
      </c>
      <c r="H19" s="15">
        <f>L148</f>
        <v/>
      </c>
      <c r="I19" s="15">
        <f>N148</f>
        <v/>
      </c>
    </row>
    <row r="20">
      <c r="A20" s="13" t="n">
        <v>3</v>
      </c>
      <c r="B20" s="15">
        <f>M49</f>
        <v/>
      </c>
      <c r="C20" s="15">
        <f>M74</f>
        <v/>
      </c>
      <c r="D20" s="15">
        <f>M99</f>
        <v/>
      </c>
      <c r="E20" s="15">
        <f>M124</f>
        <v/>
      </c>
      <c r="F20" s="25">
        <f>M149</f>
        <v/>
      </c>
      <c r="G20" s="26">
        <f>F20-C20</f>
        <v/>
      </c>
      <c r="H20" s="15">
        <f>L149</f>
        <v/>
      </c>
      <c r="I20" s="15">
        <f>N149</f>
        <v/>
      </c>
    </row>
    <row r="21">
      <c r="A21" s="13" t="n">
        <v>4</v>
      </c>
      <c r="B21" s="15">
        <f>M50</f>
        <v/>
      </c>
      <c r="C21" s="15">
        <f>M75</f>
        <v/>
      </c>
      <c r="D21" s="15">
        <f>M100</f>
        <v/>
      </c>
      <c r="E21" s="15">
        <f>M125</f>
        <v/>
      </c>
      <c r="F21" s="25">
        <f>M150</f>
        <v/>
      </c>
      <c r="G21" s="26">
        <f>F21-C21</f>
        <v/>
      </c>
      <c r="H21" s="15">
        <f>L150</f>
        <v/>
      </c>
      <c r="I21" s="15">
        <f>N150</f>
        <v/>
      </c>
    </row>
    <row r="22">
      <c r="A22" s="13" t="n">
        <v>5</v>
      </c>
      <c r="B22" s="15">
        <f>M51</f>
        <v/>
      </c>
      <c r="C22" s="15">
        <f>M76</f>
        <v/>
      </c>
      <c r="D22" s="15">
        <f>M101</f>
        <v/>
      </c>
      <c r="E22" s="15">
        <f>M126</f>
        <v/>
      </c>
      <c r="F22" s="25">
        <f>M151</f>
        <v/>
      </c>
      <c r="G22" s="26">
        <f>F22-C22</f>
        <v/>
      </c>
      <c r="H22" s="15">
        <f>L151</f>
        <v/>
      </c>
      <c r="I22" s="15">
        <f>N151</f>
        <v/>
      </c>
    </row>
    <row r="23">
      <c r="A23" s="13" t="n">
        <v>6</v>
      </c>
      <c r="B23" s="15">
        <f>M52</f>
        <v/>
      </c>
      <c r="C23" s="15">
        <f>M77</f>
        <v/>
      </c>
      <c r="D23" s="15">
        <f>M102</f>
        <v/>
      </c>
      <c r="E23" s="15">
        <f>M127</f>
        <v/>
      </c>
      <c r="F23" s="25">
        <f>M152</f>
        <v/>
      </c>
      <c r="G23" s="26">
        <f>F23-C23</f>
        <v/>
      </c>
      <c r="H23" s="15">
        <f>L152</f>
        <v/>
      </c>
      <c r="I23" s="15">
        <f>N152</f>
        <v/>
      </c>
    </row>
    <row r="24">
      <c r="A24" s="13" t="n">
        <v>7</v>
      </c>
      <c r="B24" s="15">
        <f>M53</f>
        <v/>
      </c>
      <c r="C24" s="15">
        <f>M78</f>
        <v/>
      </c>
      <c r="D24" s="15">
        <f>M103</f>
        <v/>
      </c>
      <c r="E24" s="15">
        <f>M128</f>
        <v/>
      </c>
      <c r="F24" s="25">
        <f>M153</f>
        <v/>
      </c>
      <c r="G24" s="26">
        <f>F24-C24</f>
        <v/>
      </c>
      <c r="H24" s="15">
        <f>L153</f>
        <v/>
      </c>
      <c r="I24" s="15">
        <f>N153</f>
        <v/>
      </c>
    </row>
    <row r="25">
      <c r="A25" s="13" t="n">
        <v>8</v>
      </c>
      <c r="B25" s="15">
        <f>M54</f>
        <v/>
      </c>
      <c r="C25" s="15">
        <f>M79</f>
        <v/>
      </c>
      <c r="D25" s="15">
        <f>M104</f>
        <v/>
      </c>
      <c r="E25" s="15">
        <f>M129</f>
        <v/>
      </c>
      <c r="F25" s="25">
        <f>M154</f>
        <v/>
      </c>
      <c r="G25" s="26">
        <f>F25-C25</f>
        <v/>
      </c>
      <c r="H25" s="15">
        <f>L154</f>
        <v/>
      </c>
      <c r="I25" s="15">
        <f>N154</f>
        <v/>
      </c>
    </row>
    <row r="26">
      <c r="A26" s="13" t="n">
        <v>9</v>
      </c>
      <c r="B26" s="15">
        <f>M55</f>
        <v/>
      </c>
      <c r="C26" s="15">
        <f>M80</f>
        <v/>
      </c>
      <c r="D26" s="15">
        <f>M105</f>
        <v/>
      </c>
      <c r="E26" s="15">
        <f>M130</f>
        <v/>
      </c>
      <c r="F26" s="25">
        <f>M155</f>
        <v/>
      </c>
      <c r="G26" s="26">
        <f>F26-C26</f>
        <v/>
      </c>
      <c r="H26" s="15">
        <f>L155</f>
        <v/>
      </c>
      <c r="I26" s="15">
        <f>N155</f>
        <v/>
      </c>
    </row>
    <row r="27">
      <c r="A27" s="13" t="n">
        <v>10</v>
      </c>
      <c r="B27" s="15">
        <f>M56</f>
        <v/>
      </c>
      <c r="C27" s="15">
        <f>M81</f>
        <v/>
      </c>
      <c r="D27" s="15">
        <f>M106</f>
        <v/>
      </c>
      <c r="E27" s="15">
        <f>M131</f>
        <v/>
      </c>
      <c r="F27" s="25">
        <f>M156</f>
        <v/>
      </c>
      <c r="G27" s="26">
        <f>F27-C27</f>
        <v/>
      </c>
      <c r="H27" s="15">
        <f>L156</f>
        <v/>
      </c>
      <c r="I27" s="15">
        <f>N156</f>
        <v/>
      </c>
    </row>
    <row r="28">
      <c r="A28" s="13" t="n">
        <v>11</v>
      </c>
      <c r="B28" s="15">
        <f>M57</f>
        <v/>
      </c>
      <c r="C28" s="15">
        <f>M82</f>
        <v/>
      </c>
      <c r="D28" s="15">
        <f>M107</f>
        <v/>
      </c>
      <c r="E28" s="15">
        <f>M132</f>
        <v/>
      </c>
      <c r="F28" s="25">
        <f>M157</f>
        <v/>
      </c>
      <c r="G28" s="26">
        <f>F28-C28</f>
        <v/>
      </c>
      <c r="H28" s="15">
        <f>L157</f>
        <v/>
      </c>
      <c r="I28" s="15">
        <f>N157</f>
        <v/>
      </c>
    </row>
    <row r="29">
      <c r="A29" s="13" t="n">
        <v>12</v>
      </c>
      <c r="B29" s="15">
        <f>M58</f>
        <v/>
      </c>
      <c r="C29" s="15">
        <f>M83</f>
        <v/>
      </c>
      <c r="D29" s="15">
        <f>M108</f>
        <v/>
      </c>
      <c r="E29" s="15">
        <f>M133</f>
        <v/>
      </c>
      <c r="F29" s="25">
        <f>M158</f>
        <v/>
      </c>
      <c r="G29" s="26">
        <f>F29-C29</f>
        <v/>
      </c>
      <c r="H29" s="15">
        <f>L158</f>
        <v/>
      </c>
      <c r="I29" s="15">
        <f>N158</f>
        <v/>
      </c>
    </row>
    <row r="30">
      <c r="A30" s="13" t="n">
        <v>13</v>
      </c>
      <c r="B30" s="15">
        <f>M59</f>
        <v/>
      </c>
      <c r="C30" s="15">
        <f>M84</f>
        <v/>
      </c>
      <c r="D30" s="15">
        <f>M109</f>
        <v/>
      </c>
      <c r="E30" s="15">
        <f>M134</f>
        <v/>
      </c>
      <c r="F30" s="25">
        <f>M159</f>
        <v/>
      </c>
      <c r="G30" s="26">
        <f>F30-C30</f>
        <v/>
      </c>
      <c r="H30" s="15">
        <f>L159</f>
        <v/>
      </c>
      <c r="I30" s="15">
        <f>N159</f>
        <v/>
      </c>
    </row>
    <row r="31">
      <c r="A31" s="13" t="n">
        <v>14</v>
      </c>
      <c r="B31" s="15">
        <f>M60</f>
        <v/>
      </c>
      <c r="C31" s="15">
        <f>M85</f>
        <v/>
      </c>
      <c r="D31" s="15">
        <f>M110</f>
        <v/>
      </c>
      <c r="E31" s="15">
        <f>M135</f>
        <v/>
      </c>
      <c r="F31" s="25">
        <f>M160</f>
        <v/>
      </c>
      <c r="G31" s="26">
        <f>F31-C31</f>
        <v/>
      </c>
      <c r="H31" s="15">
        <f>L160</f>
        <v/>
      </c>
      <c r="I31" s="15">
        <f>N160</f>
        <v/>
      </c>
    </row>
    <row r="32">
      <c r="A32" s="13" t="n">
        <v>15</v>
      </c>
      <c r="B32" s="15">
        <f>M61</f>
        <v/>
      </c>
      <c r="C32" s="15">
        <f>M86</f>
        <v/>
      </c>
      <c r="D32" s="15">
        <f>M111</f>
        <v/>
      </c>
      <c r="E32" s="15">
        <f>M136</f>
        <v/>
      </c>
      <c r="F32" s="25">
        <f>M161</f>
        <v/>
      </c>
      <c r="G32" s="26">
        <f>F32-C32</f>
        <v/>
      </c>
      <c r="H32" s="15">
        <f>L161</f>
        <v/>
      </c>
      <c r="I32" s="15">
        <f>N161</f>
        <v/>
      </c>
    </row>
    <row r="33">
      <c r="A33" s="13" t="n">
        <v>16</v>
      </c>
      <c r="B33" s="15">
        <f>M62</f>
        <v/>
      </c>
      <c r="C33" s="15">
        <f>M87</f>
        <v/>
      </c>
      <c r="D33" s="15">
        <f>M112</f>
        <v/>
      </c>
      <c r="E33" s="15">
        <f>M137</f>
        <v/>
      </c>
      <c r="F33" s="25">
        <f>M162</f>
        <v/>
      </c>
      <c r="G33" s="26">
        <f>F33-C33</f>
        <v/>
      </c>
      <c r="H33" s="15">
        <f>L162</f>
        <v/>
      </c>
      <c r="I33" s="15">
        <f>N162</f>
        <v/>
      </c>
    </row>
    <row r="34">
      <c r="A34" s="13" t="n">
        <v>17</v>
      </c>
      <c r="B34" s="15">
        <f>M63</f>
        <v/>
      </c>
      <c r="C34" s="15">
        <f>M88</f>
        <v/>
      </c>
      <c r="D34" s="15">
        <f>M113</f>
        <v/>
      </c>
      <c r="E34" s="15">
        <f>M138</f>
        <v/>
      </c>
      <c r="F34" s="25">
        <f>M163</f>
        <v/>
      </c>
      <c r="G34" s="26">
        <f>F34-C34</f>
        <v/>
      </c>
      <c r="H34" s="15">
        <f>L163</f>
        <v/>
      </c>
      <c r="I34" s="15">
        <f>N163</f>
        <v/>
      </c>
    </row>
    <row r="35">
      <c r="A35" s="13" t="n">
        <v>18</v>
      </c>
      <c r="B35" s="15">
        <f>M64</f>
        <v/>
      </c>
      <c r="C35" s="15">
        <f>M89</f>
        <v/>
      </c>
      <c r="D35" s="15">
        <f>M114</f>
        <v/>
      </c>
      <c r="E35" s="15">
        <f>M139</f>
        <v/>
      </c>
      <c r="F35" s="25">
        <f>M164</f>
        <v/>
      </c>
      <c r="G35" s="26">
        <f>F35-C35</f>
        <v/>
      </c>
      <c r="H35" s="15">
        <f>L164</f>
        <v/>
      </c>
      <c r="I35" s="15">
        <f>N164</f>
        <v/>
      </c>
    </row>
    <row r="36">
      <c r="A36" s="13" t="n">
        <v>19</v>
      </c>
      <c r="B36" s="15">
        <f>M65</f>
        <v/>
      </c>
      <c r="C36" s="15">
        <f>M90</f>
        <v/>
      </c>
      <c r="D36" s="15">
        <f>M115</f>
        <v/>
      </c>
      <c r="E36" s="15">
        <f>M140</f>
        <v/>
      </c>
      <c r="F36" s="25">
        <f>M165</f>
        <v/>
      </c>
      <c r="G36" s="26">
        <f>F36-C36</f>
        <v/>
      </c>
      <c r="H36" s="15">
        <f>L165</f>
        <v/>
      </c>
      <c r="I36" s="15">
        <f>N165</f>
        <v/>
      </c>
    </row>
    <row r="37">
      <c r="A37" s="13" t="n">
        <v>20</v>
      </c>
      <c r="B37" s="15">
        <f>M66</f>
        <v/>
      </c>
      <c r="C37" s="15">
        <f>M91</f>
        <v/>
      </c>
      <c r="D37" s="15">
        <f>M116</f>
        <v/>
      </c>
      <c r="E37" s="15">
        <f>M141</f>
        <v/>
      </c>
      <c r="F37" s="25">
        <f>M166</f>
        <v/>
      </c>
      <c r="G37" s="26">
        <f>F37-C37</f>
        <v/>
      </c>
      <c r="H37" s="15">
        <f>L166</f>
        <v/>
      </c>
      <c r="I37" s="15">
        <f>N166</f>
        <v/>
      </c>
    </row>
    <row r="44">
      <c r="A44" s="3" t="inlineStr">
        <is>
          <t>PERSONAL TRADING ROUTE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COMPANY SOLO ROUTE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COMPANY + 1 EMPLOYEE ROUTE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COMPANY + 2 EMPLOYEES ROUTE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COMPANY + 3 EMPLOYEES ROUTE (RECOMMENDED)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6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MCX COMMODITY TREASURY MODEL  ·  120% ANNUAL</t>
        </is>
      </c>
    </row>
    <row r="2">
      <c r="A2" s="2" t="inlineStr">
        <is>
          <t>Peak Algorithmic Expansion (120% Return) · Live inputs: cream cells. All 20-year cycles dynamically evaluate.</t>
        </is>
      </c>
    </row>
    <row r="4">
      <c r="A4" s="3" t="inlineStr">
        <is>
          <t>MODEL INPUTS</t>
        </is>
      </c>
    </row>
    <row r="5">
      <c r="A5" s="22" t="inlineStr">
        <is>
          <t>Starting Capital (₹ Cr)</t>
        </is>
      </c>
      <c r="B5" s="23" t="n">
        <v>0.6</v>
      </c>
    </row>
    <row r="6">
      <c r="A6" s="22" t="inlineStr">
        <is>
          <t>Annual Return</t>
        </is>
      </c>
      <c r="B6" s="24" t="n">
        <v>1.2</v>
      </c>
    </row>
    <row r="7">
      <c r="A7" s="22" t="inlineStr">
        <is>
          <t>Company Tax Rate</t>
        </is>
      </c>
      <c r="B7" s="24" t="n">
        <v>0.25168</v>
      </c>
    </row>
    <row r="8">
      <c r="A8" s="22" t="inlineStr">
        <is>
          <t>Loanback Share</t>
        </is>
      </c>
      <c r="B8" s="24" t="n">
        <v>0.9</v>
      </c>
    </row>
    <row r="9">
      <c r="A9" s="22" t="inlineStr">
        <is>
          <t>Salary Ceiling / Employee (₹ Cr)</t>
        </is>
      </c>
      <c r="B9" s="23" t="n">
        <v>0.1275</v>
      </c>
    </row>
    <row r="10">
      <c r="A10" s="22" t="inlineStr">
        <is>
          <t>Salary Profit Fraction Cap</t>
        </is>
      </c>
      <c r="B10" s="24" t="n">
        <v>0.4</v>
      </c>
    </row>
    <row r="11">
      <c r="A11" s="22" t="inlineStr">
        <is>
          <t>Company Annual Costs (₹ Cr)</t>
        </is>
      </c>
      <c r="B11" s="23" t="n">
        <v>0.01</v>
      </c>
    </row>
    <row r="12">
      <c r="A12" s="22" t="inlineStr">
        <is>
          <t>Deployable Ceiling (₹ Cr)</t>
        </is>
      </c>
      <c r="B12" s="23" t="n">
        <v>103.0917</v>
      </c>
    </row>
    <row r="13">
      <c r="A13" s="22" t="inlineStr">
        <is>
          <t>Idle Cash Yield</t>
        </is>
      </c>
      <c r="B13" s="24" t="n">
        <v>0.065</v>
      </c>
    </row>
    <row r="15">
      <c r="A15" s="3" t="inlineStr">
        <is>
          <t>CLOSING TRADING CAPITAL — ALL ROUTES, CYCLE 0–20 (₹ Cr)  [120% Annual]</t>
        </is>
      </c>
    </row>
    <row r="16">
      <c r="A16" s="12" t="inlineStr">
        <is>
          <t>Year</t>
        </is>
      </c>
      <c r="B16" s="12" t="inlineStr">
        <is>
          <t>Personal</t>
        </is>
      </c>
      <c r="C16" s="12" t="inlineStr">
        <is>
          <t>Company Solo</t>
        </is>
      </c>
      <c r="D16" s="12" t="inlineStr">
        <is>
          <t>Company + 1 Staff</t>
        </is>
      </c>
      <c r="E16" s="12" t="inlineStr">
        <is>
          <t>Company + 2 Staff</t>
        </is>
      </c>
      <c r="F16" s="12" t="inlineStr">
        <is>
          <t>Company + 3 Staff</t>
        </is>
      </c>
      <c r="G16" s="12" t="inlineStr">
        <is>
          <t>3 Staff Advantage</t>
        </is>
      </c>
      <c r="H16" s="12" t="inlineStr">
        <is>
          <t>3 Staff Loan Debt</t>
        </is>
      </c>
      <c r="I16" s="12" t="inlineStr">
        <is>
          <t>Net Equity (Capital - Loans)</t>
        </is>
      </c>
    </row>
    <row r="17">
      <c r="A17" s="13" t="n">
        <v>0</v>
      </c>
      <c r="B17" s="15">
        <f>$B$5</f>
        <v/>
      </c>
      <c r="C17" s="15">
        <f>$B$5</f>
        <v/>
      </c>
      <c r="D17" s="15">
        <f>$B$5</f>
        <v/>
      </c>
      <c r="E17" s="15">
        <f>$B$5</f>
        <v/>
      </c>
      <c r="F17" s="15">
        <f>$B$5</f>
        <v/>
      </c>
      <c r="G17" s="15" t="n">
        <v>0</v>
      </c>
      <c r="H17" s="15" t="n">
        <v>0</v>
      </c>
      <c r="I17" s="15">
        <f>$B$5</f>
        <v/>
      </c>
    </row>
    <row r="18">
      <c r="A18" s="13" t="n">
        <v>1</v>
      </c>
      <c r="B18" s="15">
        <f>M47</f>
        <v/>
      </c>
      <c r="C18" s="15">
        <f>M72</f>
        <v/>
      </c>
      <c r="D18" s="15">
        <f>M97</f>
        <v/>
      </c>
      <c r="E18" s="15">
        <f>M122</f>
        <v/>
      </c>
      <c r="F18" s="25">
        <f>M147</f>
        <v/>
      </c>
      <c r="G18" s="26">
        <f>F18-C18</f>
        <v/>
      </c>
      <c r="H18" s="15">
        <f>L147</f>
        <v/>
      </c>
      <c r="I18" s="15">
        <f>N147</f>
        <v/>
      </c>
    </row>
    <row r="19">
      <c r="A19" s="13" t="n">
        <v>2</v>
      </c>
      <c r="B19" s="15">
        <f>M48</f>
        <v/>
      </c>
      <c r="C19" s="15">
        <f>M73</f>
        <v/>
      </c>
      <c r="D19" s="15">
        <f>M98</f>
        <v/>
      </c>
      <c r="E19" s="15">
        <f>M123</f>
        <v/>
      </c>
      <c r="F19" s="25">
        <f>M148</f>
        <v/>
      </c>
      <c r="G19" s="26">
        <f>F19-C19</f>
        <v/>
      </c>
      <c r="H19" s="15">
        <f>L148</f>
        <v/>
      </c>
      <c r="I19" s="15">
        <f>N148</f>
        <v/>
      </c>
    </row>
    <row r="20">
      <c r="A20" s="13" t="n">
        <v>3</v>
      </c>
      <c r="B20" s="15">
        <f>M49</f>
        <v/>
      </c>
      <c r="C20" s="15">
        <f>M74</f>
        <v/>
      </c>
      <c r="D20" s="15">
        <f>M99</f>
        <v/>
      </c>
      <c r="E20" s="15">
        <f>M124</f>
        <v/>
      </c>
      <c r="F20" s="25">
        <f>M149</f>
        <v/>
      </c>
      <c r="G20" s="26">
        <f>F20-C20</f>
        <v/>
      </c>
      <c r="H20" s="15">
        <f>L149</f>
        <v/>
      </c>
      <c r="I20" s="15">
        <f>N149</f>
        <v/>
      </c>
    </row>
    <row r="21">
      <c r="A21" s="13" t="n">
        <v>4</v>
      </c>
      <c r="B21" s="15">
        <f>M50</f>
        <v/>
      </c>
      <c r="C21" s="15">
        <f>M75</f>
        <v/>
      </c>
      <c r="D21" s="15">
        <f>M100</f>
        <v/>
      </c>
      <c r="E21" s="15">
        <f>M125</f>
        <v/>
      </c>
      <c r="F21" s="25">
        <f>M150</f>
        <v/>
      </c>
      <c r="G21" s="26">
        <f>F21-C21</f>
        <v/>
      </c>
      <c r="H21" s="15">
        <f>L150</f>
        <v/>
      </c>
      <c r="I21" s="15">
        <f>N150</f>
        <v/>
      </c>
    </row>
    <row r="22">
      <c r="A22" s="13" t="n">
        <v>5</v>
      </c>
      <c r="B22" s="15">
        <f>M51</f>
        <v/>
      </c>
      <c r="C22" s="15">
        <f>M76</f>
        <v/>
      </c>
      <c r="D22" s="15">
        <f>M101</f>
        <v/>
      </c>
      <c r="E22" s="15">
        <f>M126</f>
        <v/>
      </c>
      <c r="F22" s="25">
        <f>M151</f>
        <v/>
      </c>
      <c r="G22" s="26">
        <f>F22-C22</f>
        <v/>
      </c>
      <c r="H22" s="15">
        <f>L151</f>
        <v/>
      </c>
      <c r="I22" s="15">
        <f>N151</f>
        <v/>
      </c>
    </row>
    <row r="23">
      <c r="A23" s="13" t="n">
        <v>6</v>
      </c>
      <c r="B23" s="15">
        <f>M52</f>
        <v/>
      </c>
      <c r="C23" s="15">
        <f>M77</f>
        <v/>
      </c>
      <c r="D23" s="15">
        <f>M102</f>
        <v/>
      </c>
      <c r="E23" s="15">
        <f>M127</f>
        <v/>
      </c>
      <c r="F23" s="25">
        <f>M152</f>
        <v/>
      </c>
      <c r="G23" s="26">
        <f>F23-C23</f>
        <v/>
      </c>
      <c r="H23" s="15">
        <f>L152</f>
        <v/>
      </c>
      <c r="I23" s="15">
        <f>N152</f>
        <v/>
      </c>
    </row>
    <row r="24">
      <c r="A24" s="13" t="n">
        <v>7</v>
      </c>
      <c r="B24" s="15">
        <f>M53</f>
        <v/>
      </c>
      <c r="C24" s="15">
        <f>M78</f>
        <v/>
      </c>
      <c r="D24" s="15">
        <f>M103</f>
        <v/>
      </c>
      <c r="E24" s="15">
        <f>M128</f>
        <v/>
      </c>
      <c r="F24" s="25">
        <f>M153</f>
        <v/>
      </c>
      <c r="G24" s="26">
        <f>F24-C24</f>
        <v/>
      </c>
      <c r="H24" s="15">
        <f>L153</f>
        <v/>
      </c>
      <c r="I24" s="15">
        <f>N153</f>
        <v/>
      </c>
    </row>
    <row r="25">
      <c r="A25" s="13" t="n">
        <v>8</v>
      </c>
      <c r="B25" s="15">
        <f>M54</f>
        <v/>
      </c>
      <c r="C25" s="15">
        <f>M79</f>
        <v/>
      </c>
      <c r="D25" s="15">
        <f>M104</f>
        <v/>
      </c>
      <c r="E25" s="15">
        <f>M129</f>
        <v/>
      </c>
      <c r="F25" s="25">
        <f>M154</f>
        <v/>
      </c>
      <c r="G25" s="26">
        <f>F25-C25</f>
        <v/>
      </c>
      <c r="H25" s="15">
        <f>L154</f>
        <v/>
      </c>
      <c r="I25" s="15">
        <f>N154</f>
        <v/>
      </c>
    </row>
    <row r="26">
      <c r="A26" s="13" t="n">
        <v>9</v>
      </c>
      <c r="B26" s="15">
        <f>M55</f>
        <v/>
      </c>
      <c r="C26" s="15">
        <f>M80</f>
        <v/>
      </c>
      <c r="D26" s="15">
        <f>M105</f>
        <v/>
      </c>
      <c r="E26" s="15">
        <f>M130</f>
        <v/>
      </c>
      <c r="F26" s="25">
        <f>M155</f>
        <v/>
      </c>
      <c r="G26" s="26">
        <f>F26-C26</f>
        <v/>
      </c>
      <c r="H26" s="15">
        <f>L155</f>
        <v/>
      </c>
      <c r="I26" s="15">
        <f>N155</f>
        <v/>
      </c>
    </row>
    <row r="27">
      <c r="A27" s="13" t="n">
        <v>10</v>
      </c>
      <c r="B27" s="15">
        <f>M56</f>
        <v/>
      </c>
      <c r="C27" s="15">
        <f>M81</f>
        <v/>
      </c>
      <c r="D27" s="15">
        <f>M106</f>
        <v/>
      </c>
      <c r="E27" s="15">
        <f>M131</f>
        <v/>
      </c>
      <c r="F27" s="25">
        <f>M156</f>
        <v/>
      </c>
      <c r="G27" s="26">
        <f>F27-C27</f>
        <v/>
      </c>
      <c r="H27" s="15">
        <f>L156</f>
        <v/>
      </c>
      <c r="I27" s="15">
        <f>N156</f>
        <v/>
      </c>
    </row>
    <row r="28">
      <c r="A28" s="13" t="n">
        <v>11</v>
      </c>
      <c r="B28" s="15">
        <f>M57</f>
        <v/>
      </c>
      <c r="C28" s="15">
        <f>M82</f>
        <v/>
      </c>
      <c r="D28" s="15">
        <f>M107</f>
        <v/>
      </c>
      <c r="E28" s="15">
        <f>M132</f>
        <v/>
      </c>
      <c r="F28" s="25">
        <f>M157</f>
        <v/>
      </c>
      <c r="G28" s="26">
        <f>F28-C28</f>
        <v/>
      </c>
      <c r="H28" s="15">
        <f>L157</f>
        <v/>
      </c>
      <c r="I28" s="15">
        <f>N157</f>
        <v/>
      </c>
    </row>
    <row r="29">
      <c r="A29" s="13" t="n">
        <v>12</v>
      </c>
      <c r="B29" s="15">
        <f>M58</f>
        <v/>
      </c>
      <c r="C29" s="15">
        <f>M83</f>
        <v/>
      </c>
      <c r="D29" s="15">
        <f>M108</f>
        <v/>
      </c>
      <c r="E29" s="15">
        <f>M133</f>
        <v/>
      </c>
      <c r="F29" s="25">
        <f>M158</f>
        <v/>
      </c>
      <c r="G29" s="26">
        <f>F29-C29</f>
        <v/>
      </c>
      <c r="H29" s="15">
        <f>L158</f>
        <v/>
      </c>
      <c r="I29" s="15">
        <f>N158</f>
        <v/>
      </c>
    </row>
    <row r="30">
      <c r="A30" s="13" t="n">
        <v>13</v>
      </c>
      <c r="B30" s="15">
        <f>M59</f>
        <v/>
      </c>
      <c r="C30" s="15">
        <f>M84</f>
        <v/>
      </c>
      <c r="D30" s="15">
        <f>M109</f>
        <v/>
      </c>
      <c r="E30" s="15">
        <f>M134</f>
        <v/>
      </c>
      <c r="F30" s="25">
        <f>M159</f>
        <v/>
      </c>
      <c r="G30" s="26">
        <f>F30-C30</f>
        <v/>
      </c>
      <c r="H30" s="15">
        <f>L159</f>
        <v/>
      </c>
      <c r="I30" s="15">
        <f>N159</f>
        <v/>
      </c>
    </row>
    <row r="31">
      <c r="A31" s="13" t="n">
        <v>14</v>
      </c>
      <c r="B31" s="15">
        <f>M60</f>
        <v/>
      </c>
      <c r="C31" s="15">
        <f>M85</f>
        <v/>
      </c>
      <c r="D31" s="15">
        <f>M110</f>
        <v/>
      </c>
      <c r="E31" s="15">
        <f>M135</f>
        <v/>
      </c>
      <c r="F31" s="25">
        <f>M160</f>
        <v/>
      </c>
      <c r="G31" s="26">
        <f>F31-C31</f>
        <v/>
      </c>
      <c r="H31" s="15">
        <f>L160</f>
        <v/>
      </c>
      <c r="I31" s="15">
        <f>N160</f>
        <v/>
      </c>
    </row>
    <row r="32">
      <c r="A32" s="13" t="n">
        <v>15</v>
      </c>
      <c r="B32" s="15">
        <f>M61</f>
        <v/>
      </c>
      <c r="C32" s="15">
        <f>M86</f>
        <v/>
      </c>
      <c r="D32" s="15">
        <f>M111</f>
        <v/>
      </c>
      <c r="E32" s="15">
        <f>M136</f>
        <v/>
      </c>
      <c r="F32" s="25">
        <f>M161</f>
        <v/>
      </c>
      <c r="G32" s="26">
        <f>F32-C32</f>
        <v/>
      </c>
      <c r="H32" s="15">
        <f>L161</f>
        <v/>
      </c>
      <c r="I32" s="15">
        <f>N161</f>
        <v/>
      </c>
    </row>
    <row r="33">
      <c r="A33" s="13" t="n">
        <v>16</v>
      </c>
      <c r="B33" s="15">
        <f>M62</f>
        <v/>
      </c>
      <c r="C33" s="15">
        <f>M87</f>
        <v/>
      </c>
      <c r="D33" s="15">
        <f>M112</f>
        <v/>
      </c>
      <c r="E33" s="15">
        <f>M137</f>
        <v/>
      </c>
      <c r="F33" s="25">
        <f>M162</f>
        <v/>
      </c>
      <c r="G33" s="26">
        <f>F33-C33</f>
        <v/>
      </c>
      <c r="H33" s="15">
        <f>L162</f>
        <v/>
      </c>
      <c r="I33" s="15">
        <f>N162</f>
        <v/>
      </c>
    </row>
    <row r="34">
      <c r="A34" s="13" t="n">
        <v>17</v>
      </c>
      <c r="B34" s="15">
        <f>M63</f>
        <v/>
      </c>
      <c r="C34" s="15">
        <f>M88</f>
        <v/>
      </c>
      <c r="D34" s="15">
        <f>M113</f>
        <v/>
      </c>
      <c r="E34" s="15">
        <f>M138</f>
        <v/>
      </c>
      <c r="F34" s="25">
        <f>M163</f>
        <v/>
      </c>
      <c r="G34" s="26">
        <f>F34-C34</f>
        <v/>
      </c>
      <c r="H34" s="15">
        <f>L163</f>
        <v/>
      </c>
      <c r="I34" s="15">
        <f>N163</f>
        <v/>
      </c>
    </row>
    <row r="35">
      <c r="A35" s="13" t="n">
        <v>18</v>
      </c>
      <c r="B35" s="15">
        <f>M64</f>
        <v/>
      </c>
      <c r="C35" s="15">
        <f>M89</f>
        <v/>
      </c>
      <c r="D35" s="15">
        <f>M114</f>
        <v/>
      </c>
      <c r="E35" s="15">
        <f>M139</f>
        <v/>
      </c>
      <c r="F35" s="25">
        <f>M164</f>
        <v/>
      </c>
      <c r="G35" s="26">
        <f>F35-C35</f>
        <v/>
      </c>
      <c r="H35" s="15">
        <f>L164</f>
        <v/>
      </c>
      <c r="I35" s="15">
        <f>N164</f>
        <v/>
      </c>
    </row>
    <row r="36">
      <c r="A36" s="13" t="n">
        <v>19</v>
      </c>
      <c r="B36" s="15">
        <f>M65</f>
        <v/>
      </c>
      <c r="C36" s="15">
        <f>M90</f>
        <v/>
      </c>
      <c r="D36" s="15">
        <f>M115</f>
        <v/>
      </c>
      <c r="E36" s="15">
        <f>M140</f>
        <v/>
      </c>
      <c r="F36" s="25">
        <f>M165</f>
        <v/>
      </c>
      <c r="G36" s="26">
        <f>F36-C36</f>
        <v/>
      </c>
      <c r="H36" s="15">
        <f>L165</f>
        <v/>
      </c>
      <c r="I36" s="15">
        <f>N165</f>
        <v/>
      </c>
    </row>
    <row r="37">
      <c r="A37" s="13" t="n">
        <v>20</v>
      </c>
      <c r="B37" s="15">
        <f>M66</f>
        <v/>
      </c>
      <c r="C37" s="15">
        <f>M91</f>
        <v/>
      </c>
      <c r="D37" s="15">
        <f>M116</f>
        <v/>
      </c>
      <c r="E37" s="15">
        <f>M141</f>
        <v/>
      </c>
      <c r="F37" s="25">
        <f>M166</f>
        <v/>
      </c>
      <c r="G37" s="26">
        <f>F37-C37</f>
        <v/>
      </c>
      <c r="H37" s="15">
        <f>L166</f>
        <v/>
      </c>
      <c r="I37" s="15">
        <f>N166</f>
        <v/>
      </c>
    </row>
    <row r="44">
      <c r="A44" s="3" t="inlineStr">
        <is>
          <t>PERSONAL TRADING ROUTE</t>
        </is>
      </c>
    </row>
    <row r="45">
      <c r="A45" s="19" t="inlineStr">
        <is>
          <t>Year</t>
        </is>
      </c>
      <c r="B45" s="19" t="inlineStr">
        <is>
          <t>Opening</t>
        </is>
      </c>
      <c r="C45" s="19" t="inlineStr">
        <is>
          <t>Deployed</t>
        </is>
      </c>
      <c r="D45" s="19" t="inlineStr">
        <is>
          <t>Idle</t>
        </is>
      </c>
      <c r="E45" s="19" t="inlineStr">
        <is>
          <t>Profit</t>
        </is>
      </c>
      <c r="F45" s="19" t="inlineStr">
        <is>
          <t>Overhead</t>
        </is>
      </c>
      <c r="G45" s="19" t="inlineStr">
        <is>
          <t>Salary Paid</t>
        </is>
      </c>
      <c r="H45" s="19" t="inlineStr">
        <is>
          <t>Taxable Profit</t>
        </is>
      </c>
      <c r="I45" s="19" t="inlineStr">
        <is>
          <t>Income Tax</t>
        </is>
      </c>
      <c r="J45" s="19" t="inlineStr">
        <is>
          <t>Not Lent Back</t>
        </is>
      </c>
      <c r="K45" s="19" t="inlineStr">
        <is>
          <t>New Loan</t>
        </is>
      </c>
      <c r="L45" s="19" t="inlineStr">
        <is>
          <t>Loans Outstanding</t>
        </is>
      </c>
      <c r="M45" s="19" t="inlineStr">
        <is>
          <t>Closing Capital</t>
        </is>
      </c>
      <c r="N45" s="19" t="inlineStr">
        <is>
          <t>Net Equity (Closing - Loans)</t>
        </is>
      </c>
    </row>
    <row r="46">
      <c r="A46" s="20" t="n">
        <v>0</v>
      </c>
      <c r="B46" s="15">
        <f>$B$5</f>
        <v/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15">
        <f>$B$5</f>
        <v/>
      </c>
      <c r="N46" s="15">
        <f>$B$5</f>
        <v/>
      </c>
    </row>
    <row r="47">
      <c r="A47" s="20" t="n">
        <v>1</v>
      </c>
      <c r="B47" s="15">
        <f>M46</f>
        <v/>
      </c>
      <c r="C47" s="15">
        <f>MIN(B47, $B$13)</f>
        <v/>
      </c>
      <c r="D47" s="15">
        <f>MAX(B47-C47, 0)</f>
        <v/>
      </c>
      <c r="E47" s="15">
        <f>C47*$B$6 + D47*$B$14</f>
        <v/>
      </c>
      <c r="F47" s="15" t="n">
        <v>0.005</v>
      </c>
      <c r="G47" s="21" t="n">
        <v>0</v>
      </c>
      <c r="H47" s="15">
        <f>MAX(E47-F47, 0)</f>
        <v/>
      </c>
      <c r="I47" s="15">
        <f>IF(H47&lt;=0.12, 0, IF(H47&lt;=0.5, MIN((MAX(H47-0.04,0)*0.05+MAX(H47-0.08,0)*0.05+MAX(H47-0.12,0)*0.05+MAX(H47-0.16,0)*0.05+MAX(H47-0.2,0)*0.05+MAX(H47-0.24,0)*0.05), H47-0.12), MIN((MAX(H47-0.04,0)*0.05+MAX(H47-0.08,0)*0.05+MAX(H47-0.12,0)*0.05+MAX(H47-0.16,0)*0.05+MAX(H47-0.2,0)*0.05+MAX(H47-0.24,0)*0.05)*(1+IF(H47&lt;=1,0.1,IF(H47&lt;=2,0.15,0.25))), (MAX(IF(H47&lt;=1,0.5,IF(H47&lt;=2,1,2))-0.04,0)*0.05+MAX(IF(H47&lt;=1,0.5,IF(H47&lt;=2,1,2))-0.08,0)*0.05+MAX(IF(H47&lt;=1,0.5,IF(H47&lt;=2,1,2))-0.12,0)*0.05+MAX(IF(H47&lt;=1,0.5,IF(H47&lt;=2,1,2))-0.16,0)*0.05+MAX(IF(H47&lt;=1,0.5,IF(H47&lt;=2,1,2))-0.2,0)*0.05+MAX(IF(H47&lt;=1,0.5,IF(H47&lt;=2,1,2))-0.24,0)*0.05)*(1+IF(H47&lt;=1,0,IF(H47&lt;=2,0.1,0.15)))+H47-IF(H47&lt;=1,0.5,IF(H47&lt;=2,1,2))))*1.04)</f>
        <v/>
      </c>
      <c r="J47" s="21" t="n">
        <v>0</v>
      </c>
      <c r="K47" s="21" t="n">
        <v>0</v>
      </c>
      <c r="L47" s="21" t="n">
        <v>0</v>
      </c>
      <c r="M47" s="15">
        <f>B47+E47-F47-I47</f>
        <v/>
      </c>
      <c r="N47" s="15">
        <f>M47</f>
        <v/>
      </c>
    </row>
    <row r="48">
      <c r="A48" s="20" t="n">
        <v>2</v>
      </c>
      <c r="B48" s="15">
        <f>M47</f>
        <v/>
      </c>
      <c r="C48" s="15">
        <f>MIN(B48, $B$13)</f>
        <v/>
      </c>
      <c r="D48" s="15">
        <f>MAX(B48-C48, 0)</f>
        <v/>
      </c>
      <c r="E48" s="15">
        <f>C48*$B$6 + D48*$B$14</f>
        <v/>
      </c>
      <c r="F48" s="15" t="n">
        <v>0.005</v>
      </c>
      <c r="G48" s="21" t="n">
        <v>0</v>
      </c>
      <c r="H48" s="15">
        <f>MAX(E48-F48, 0)</f>
        <v/>
      </c>
      <c r="I48" s="15">
        <f>IF(H48&lt;=0.12, 0, IF(H48&lt;=0.5, MIN((MAX(H48-0.04,0)*0.05+MAX(H48-0.08,0)*0.05+MAX(H48-0.12,0)*0.05+MAX(H48-0.16,0)*0.05+MAX(H48-0.2,0)*0.05+MAX(H48-0.24,0)*0.05), H48-0.12), MIN((MAX(H48-0.04,0)*0.05+MAX(H48-0.08,0)*0.05+MAX(H48-0.12,0)*0.05+MAX(H48-0.16,0)*0.05+MAX(H48-0.2,0)*0.05+MAX(H48-0.24,0)*0.05)*(1+IF(H48&lt;=1,0.1,IF(H48&lt;=2,0.15,0.25))), (MAX(IF(H48&lt;=1,0.5,IF(H48&lt;=2,1,2))-0.04,0)*0.05+MAX(IF(H48&lt;=1,0.5,IF(H48&lt;=2,1,2))-0.08,0)*0.05+MAX(IF(H48&lt;=1,0.5,IF(H48&lt;=2,1,2))-0.12,0)*0.05+MAX(IF(H48&lt;=1,0.5,IF(H48&lt;=2,1,2))-0.16,0)*0.05+MAX(IF(H48&lt;=1,0.5,IF(H48&lt;=2,1,2))-0.2,0)*0.05+MAX(IF(H48&lt;=1,0.5,IF(H48&lt;=2,1,2))-0.24,0)*0.05)*(1+IF(H48&lt;=1,0,IF(H48&lt;=2,0.1,0.15)))+H48-IF(H48&lt;=1,0.5,IF(H48&lt;=2,1,2))))*1.04)</f>
        <v/>
      </c>
      <c r="J48" s="21" t="n">
        <v>0</v>
      </c>
      <c r="K48" s="21" t="n">
        <v>0</v>
      </c>
      <c r="L48" s="21" t="n">
        <v>0</v>
      </c>
      <c r="M48" s="15">
        <f>B48+E48-F48-I48</f>
        <v/>
      </c>
      <c r="N48" s="15">
        <f>M48</f>
        <v/>
      </c>
    </row>
    <row r="49">
      <c r="A49" s="20" t="n">
        <v>3</v>
      </c>
      <c r="B49" s="15">
        <f>M48</f>
        <v/>
      </c>
      <c r="C49" s="15">
        <f>MIN(B49, $B$13)</f>
        <v/>
      </c>
      <c r="D49" s="15">
        <f>MAX(B49-C49, 0)</f>
        <v/>
      </c>
      <c r="E49" s="15">
        <f>C49*$B$6 + D49*$B$14</f>
        <v/>
      </c>
      <c r="F49" s="15" t="n">
        <v>0.005</v>
      </c>
      <c r="G49" s="21" t="n">
        <v>0</v>
      </c>
      <c r="H49" s="15">
        <f>MAX(E49-F49, 0)</f>
        <v/>
      </c>
      <c r="I49" s="15">
        <f>IF(H49&lt;=0.12, 0, IF(H49&lt;=0.5, MIN((MAX(H49-0.04,0)*0.05+MAX(H49-0.08,0)*0.05+MAX(H49-0.12,0)*0.05+MAX(H49-0.16,0)*0.05+MAX(H49-0.2,0)*0.05+MAX(H49-0.24,0)*0.05), H49-0.12), MIN((MAX(H49-0.04,0)*0.05+MAX(H49-0.08,0)*0.05+MAX(H49-0.12,0)*0.05+MAX(H49-0.16,0)*0.05+MAX(H49-0.2,0)*0.05+MAX(H49-0.24,0)*0.05)*(1+IF(H49&lt;=1,0.1,IF(H49&lt;=2,0.15,0.25))), (MAX(IF(H49&lt;=1,0.5,IF(H49&lt;=2,1,2))-0.04,0)*0.05+MAX(IF(H49&lt;=1,0.5,IF(H49&lt;=2,1,2))-0.08,0)*0.05+MAX(IF(H49&lt;=1,0.5,IF(H49&lt;=2,1,2))-0.12,0)*0.05+MAX(IF(H49&lt;=1,0.5,IF(H49&lt;=2,1,2))-0.16,0)*0.05+MAX(IF(H49&lt;=1,0.5,IF(H49&lt;=2,1,2))-0.2,0)*0.05+MAX(IF(H49&lt;=1,0.5,IF(H49&lt;=2,1,2))-0.24,0)*0.05)*(1+IF(H49&lt;=1,0,IF(H49&lt;=2,0.1,0.15)))+H49-IF(H49&lt;=1,0.5,IF(H49&lt;=2,1,2))))*1.04)</f>
        <v/>
      </c>
      <c r="J49" s="21" t="n">
        <v>0</v>
      </c>
      <c r="K49" s="21" t="n">
        <v>0</v>
      </c>
      <c r="L49" s="21" t="n">
        <v>0</v>
      </c>
      <c r="M49" s="15">
        <f>B49+E49-F49-I49</f>
        <v/>
      </c>
      <c r="N49" s="15">
        <f>M49</f>
        <v/>
      </c>
    </row>
    <row r="50">
      <c r="A50" s="20" t="n">
        <v>4</v>
      </c>
      <c r="B50" s="15">
        <f>M49</f>
        <v/>
      </c>
      <c r="C50" s="15">
        <f>MIN(B50, $B$13)</f>
        <v/>
      </c>
      <c r="D50" s="15">
        <f>MAX(B50-C50, 0)</f>
        <v/>
      </c>
      <c r="E50" s="15">
        <f>C50*$B$6 + D50*$B$14</f>
        <v/>
      </c>
      <c r="F50" s="15" t="n">
        <v>0.005</v>
      </c>
      <c r="G50" s="21" t="n">
        <v>0</v>
      </c>
      <c r="H50" s="15">
        <f>MAX(E50-F50, 0)</f>
        <v/>
      </c>
      <c r="I50" s="15">
        <f>IF(H50&lt;=0.12, 0, IF(H50&lt;=0.5, MIN((MAX(H50-0.04,0)*0.05+MAX(H50-0.08,0)*0.05+MAX(H50-0.12,0)*0.05+MAX(H50-0.16,0)*0.05+MAX(H50-0.2,0)*0.05+MAX(H50-0.24,0)*0.05), H50-0.12), MIN((MAX(H50-0.04,0)*0.05+MAX(H50-0.08,0)*0.05+MAX(H50-0.12,0)*0.05+MAX(H50-0.16,0)*0.05+MAX(H50-0.2,0)*0.05+MAX(H50-0.24,0)*0.05)*(1+IF(H50&lt;=1,0.1,IF(H50&lt;=2,0.15,0.25))), (MAX(IF(H50&lt;=1,0.5,IF(H50&lt;=2,1,2))-0.04,0)*0.05+MAX(IF(H50&lt;=1,0.5,IF(H50&lt;=2,1,2))-0.08,0)*0.05+MAX(IF(H50&lt;=1,0.5,IF(H50&lt;=2,1,2))-0.12,0)*0.05+MAX(IF(H50&lt;=1,0.5,IF(H50&lt;=2,1,2))-0.16,0)*0.05+MAX(IF(H50&lt;=1,0.5,IF(H50&lt;=2,1,2))-0.2,0)*0.05+MAX(IF(H50&lt;=1,0.5,IF(H50&lt;=2,1,2))-0.24,0)*0.05)*(1+IF(H50&lt;=1,0,IF(H50&lt;=2,0.1,0.15)))+H50-IF(H50&lt;=1,0.5,IF(H50&lt;=2,1,2))))*1.04)</f>
        <v/>
      </c>
      <c r="J50" s="21" t="n">
        <v>0</v>
      </c>
      <c r="K50" s="21" t="n">
        <v>0</v>
      </c>
      <c r="L50" s="21" t="n">
        <v>0</v>
      </c>
      <c r="M50" s="15">
        <f>B50+E50-F50-I50</f>
        <v/>
      </c>
      <c r="N50" s="15">
        <f>M50</f>
        <v/>
      </c>
    </row>
    <row r="51">
      <c r="A51" s="20" t="n">
        <v>5</v>
      </c>
      <c r="B51" s="15">
        <f>M50</f>
        <v/>
      </c>
      <c r="C51" s="15">
        <f>MIN(B51, $B$13)</f>
        <v/>
      </c>
      <c r="D51" s="15">
        <f>MAX(B51-C51, 0)</f>
        <v/>
      </c>
      <c r="E51" s="15">
        <f>C51*$B$6 + D51*$B$14</f>
        <v/>
      </c>
      <c r="F51" s="15" t="n">
        <v>0.005</v>
      </c>
      <c r="G51" s="21" t="n">
        <v>0</v>
      </c>
      <c r="H51" s="15">
        <f>MAX(E51-F51, 0)</f>
        <v/>
      </c>
      <c r="I51" s="15">
        <f>IF(H51&lt;=0.12, 0, IF(H51&lt;=0.5, MIN((MAX(H51-0.04,0)*0.05+MAX(H51-0.08,0)*0.05+MAX(H51-0.12,0)*0.05+MAX(H51-0.16,0)*0.05+MAX(H51-0.2,0)*0.05+MAX(H51-0.24,0)*0.05), H51-0.12), MIN((MAX(H51-0.04,0)*0.05+MAX(H51-0.08,0)*0.05+MAX(H51-0.12,0)*0.05+MAX(H51-0.16,0)*0.05+MAX(H51-0.2,0)*0.05+MAX(H51-0.24,0)*0.05)*(1+IF(H51&lt;=1,0.1,IF(H51&lt;=2,0.15,0.25))), (MAX(IF(H51&lt;=1,0.5,IF(H51&lt;=2,1,2))-0.04,0)*0.05+MAX(IF(H51&lt;=1,0.5,IF(H51&lt;=2,1,2))-0.08,0)*0.05+MAX(IF(H51&lt;=1,0.5,IF(H51&lt;=2,1,2))-0.12,0)*0.05+MAX(IF(H51&lt;=1,0.5,IF(H51&lt;=2,1,2))-0.16,0)*0.05+MAX(IF(H51&lt;=1,0.5,IF(H51&lt;=2,1,2))-0.2,0)*0.05+MAX(IF(H51&lt;=1,0.5,IF(H51&lt;=2,1,2))-0.24,0)*0.05)*(1+IF(H51&lt;=1,0,IF(H51&lt;=2,0.1,0.15)))+H51-IF(H51&lt;=1,0.5,IF(H51&lt;=2,1,2))))*1.04)</f>
        <v/>
      </c>
      <c r="J51" s="21" t="n">
        <v>0</v>
      </c>
      <c r="K51" s="21" t="n">
        <v>0</v>
      </c>
      <c r="L51" s="21" t="n">
        <v>0</v>
      </c>
      <c r="M51" s="15">
        <f>B51+E51-F51-I51</f>
        <v/>
      </c>
      <c r="N51" s="15">
        <f>M51</f>
        <v/>
      </c>
    </row>
    <row r="52">
      <c r="A52" s="20" t="n">
        <v>6</v>
      </c>
      <c r="B52" s="15">
        <f>M51</f>
        <v/>
      </c>
      <c r="C52" s="15">
        <f>MIN(B52, $B$13)</f>
        <v/>
      </c>
      <c r="D52" s="15">
        <f>MAX(B52-C52, 0)</f>
        <v/>
      </c>
      <c r="E52" s="15">
        <f>C52*$B$6 + D52*$B$14</f>
        <v/>
      </c>
      <c r="F52" s="15" t="n">
        <v>0.005</v>
      </c>
      <c r="G52" s="21" t="n">
        <v>0</v>
      </c>
      <c r="H52" s="15">
        <f>MAX(E52-F52, 0)</f>
        <v/>
      </c>
      <c r="I52" s="15">
        <f>IF(H52&lt;=0.12, 0, IF(H52&lt;=0.5, MIN((MAX(H52-0.04,0)*0.05+MAX(H52-0.08,0)*0.05+MAX(H52-0.12,0)*0.05+MAX(H52-0.16,0)*0.05+MAX(H52-0.2,0)*0.05+MAX(H52-0.24,0)*0.05), H52-0.12), MIN((MAX(H52-0.04,0)*0.05+MAX(H52-0.08,0)*0.05+MAX(H52-0.12,0)*0.05+MAX(H52-0.16,0)*0.05+MAX(H52-0.2,0)*0.05+MAX(H52-0.24,0)*0.05)*(1+IF(H52&lt;=1,0.1,IF(H52&lt;=2,0.15,0.25))), (MAX(IF(H52&lt;=1,0.5,IF(H52&lt;=2,1,2))-0.04,0)*0.05+MAX(IF(H52&lt;=1,0.5,IF(H52&lt;=2,1,2))-0.08,0)*0.05+MAX(IF(H52&lt;=1,0.5,IF(H52&lt;=2,1,2))-0.12,0)*0.05+MAX(IF(H52&lt;=1,0.5,IF(H52&lt;=2,1,2))-0.16,0)*0.05+MAX(IF(H52&lt;=1,0.5,IF(H52&lt;=2,1,2))-0.2,0)*0.05+MAX(IF(H52&lt;=1,0.5,IF(H52&lt;=2,1,2))-0.24,0)*0.05)*(1+IF(H52&lt;=1,0,IF(H52&lt;=2,0.1,0.15)))+H52-IF(H52&lt;=1,0.5,IF(H52&lt;=2,1,2))))*1.04)</f>
        <v/>
      </c>
      <c r="J52" s="21" t="n">
        <v>0</v>
      </c>
      <c r="K52" s="21" t="n">
        <v>0</v>
      </c>
      <c r="L52" s="21" t="n">
        <v>0</v>
      </c>
      <c r="M52" s="15">
        <f>B52+E52-F52-I52</f>
        <v/>
      </c>
      <c r="N52" s="15">
        <f>M52</f>
        <v/>
      </c>
    </row>
    <row r="53">
      <c r="A53" s="20" t="n">
        <v>7</v>
      </c>
      <c r="B53" s="15">
        <f>M52</f>
        <v/>
      </c>
      <c r="C53" s="15">
        <f>MIN(B53, $B$13)</f>
        <v/>
      </c>
      <c r="D53" s="15">
        <f>MAX(B53-C53, 0)</f>
        <v/>
      </c>
      <c r="E53" s="15">
        <f>C53*$B$6 + D53*$B$14</f>
        <v/>
      </c>
      <c r="F53" s="15" t="n">
        <v>0.005</v>
      </c>
      <c r="G53" s="21" t="n">
        <v>0</v>
      </c>
      <c r="H53" s="15">
        <f>MAX(E53-F53, 0)</f>
        <v/>
      </c>
      <c r="I53" s="15">
        <f>IF(H53&lt;=0.12, 0, IF(H53&lt;=0.5, MIN((MAX(H53-0.04,0)*0.05+MAX(H53-0.08,0)*0.05+MAX(H53-0.12,0)*0.05+MAX(H53-0.16,0)*0.05+MAX(H53-0.2,0)*0.05+MAX(H53-0.24,0)*0.05), H53-0.12), MIN((MAX(H53-0.04,0)*0.05+MAX(H53-0.08,0)*0.05+MAX(H53-0.12,0)*0.05+MAX(H53-0.16,0)*0.05+MAX(H53-0.2,0)*0.05+MAX(H53-0.24,0)*0.05)*(1+IF(H53&lt;=1,0.1,IF(H53&lt;=2,0.15,0.25))), (MAX(IF(H53&lt;=1,0.5,IF(H53&lt;=2,1,2))-0.04,0)*0.05+MAX(IF(H53&lt;=1,0.5,IF(H53&lt;=2,1,2))-0.08,0)*0.05+MAX(IF(H53&lt;=1,0.5,IF(H53&lt;=2,1,2))-0.12,0)*0.05+MAX(IF(H53&lt;=1,0.5,IF(H53&lt;=2,1,2))-0.16,0)*0.05+MAX(IF(H53&lt;=1,0.5,IF(H53&lt;=2,1,2))-0.2,0)*0.05+MAX(IF(H53&lt;=1,0.5,IF(H53&lt;=2,1,2))-0.24,0)*0.05)*(1+IF(H53&lt;=1,0,IF(H53&lt;=2,0.1,0.15)))+H53-IF(H53&lt;=1,0.5,IF(H53&lt;=2,1,2))))*1.04)</f>
        <v/>
      </c>
      <c r="J53" s="21" t="n">
        <v>0</v>
      </c>
      <c r="K53" s="21" t="n">
        <v>0</v>
      </c>
      <c r="L53" s="21" t="n">
        <v>0</v>
      </c>
      <c r="M53" s="15">
        <f>B53+E53-F53-I53</f>
        <v/>
      </c>
      <c r="N53" s="15">
        <f>M53</f>
        <v/>
      </c>
    </row>
    <row r="54">
      <c r="A54" s="20" t="n">
        <v>8</v>
      </c>
      <c r="B54" s="15">
        <f>M53</f>
        <v/>
      </c>
      <c r="C54" s="15">
        <f>MIN(B54, $B$13)</f>
        <v/>
      </c>
      <c r="D54" s="15">
        <f>MAX(B54-C54, 0)</f>
        <v/>
      </c>
      <c r="E54" s="15">
        <f>C54*$B$6 + D54*$B$14</f>
        <v/>
      </c>
      <c r="F54" s="15" t="n">
        <v>0.005</v>
      </c>
      <c r="G54" s="21" t="n">
        <v>0</v>
      </c>
      <c r="H54" s="15">
        <f>MAX(E54-F54, 0)</f>
        <v/>
      </c>
      <c r="I54" s="15">
        <f>IF(H54&lt;=0.12, 0, IF(H54&lt;=0.5, MIN((MAX(H54-0.04,0)*0.05+MAX(H54-0.08,0)*0.05+MAX(H54-0.12,0)*0.05+MAX(H54-0.16,0)*0.05+MAX(H54-0.2,0)*0.05+MAX(H54-0.24,0)*0.05), H54-0.12), MIN((MAX(H54-0.04,0)*0.05+MAX(H54-0.08,0)*0.05+MAX(H54-0.12,0)*0.05+MAX(H54-0.16,0)*0.05+MAX(H54-0.2,0)*0.05+MAX(H54-0.24,0)*0.05)*(1+IF(H54&lt;=1,0.1,IF(H54&lt;=2,0.15,0.25))), (MAX(IF(H54&lt;=1,0.5,IF(H54&lt;=2,1,2))-0.04,0)*0.05+MAX(IF(H54&lt;=1,0.5,IF(H54&lt;=2,1,2))-0.08,0)*0.05+MAX(IF(H54&lt;=1,0.5,IF(H54&lt;=2,1,2))-0.12,0)*0.05+MAX(IF(H54&lt;=1,0.5,IF(H54&lt;=2,1,2))-0.16,0)*0.05+MAX(IF(H54&lt;=1,0.5,IF(H54&lt;=2,1,2))-0.2,0)*0.05+MAX(IF(H54&lt;=1,0.5,IF(H54&lt;=2,1,2))-0.24,0)*0.05)*(1+IF(H54&lt;=1,0,IF(H54&lt;=2,0.1,0.15)))+H54-IF(H54&lt;=1,0.5,IF(H54&lt;=2,1,2))))*1.04)</f>
        <v/>
      </c>
      <c r="J54" s="21" t="n">
        <v>0</v>
      </c>
      <c r="K54" s="21" t="n">
        <v>0</v>
      </c>
      <c r="L54" s="21" t="n">
        <v>0</v>
      </c>
      <c r="M54" s="15">
        <f>B54+E54-F54-I54</f>
        <v/>
      </c>
      <c r="N54" s="15">
        <f>M54</f>
        <v/>
      </c>
    </row>
    <row r="55">
      <c r="A55" s="20" t="n">
        <v>9</v>
      </c>
      <c r="B55" s="15">
        <f>M54</f>
        <v/>
      </c>
      <c r="C55" s="15">
        <f>MIN(B55, $B$13)</f>
        <v/>
      </c>
      <c r="D55" s="15">
        <f>MAX(B55-C55, 0)</f>
        <v/>
      </c>
      <c r="E55" s="15">
        <f>C55*$B$6 + D55*$B$14</f>
        <v/>
      </c>
      <c r="F55" s="15" t="n">
        <v>0.005</v>
      </c>
      <c r="G55" s="21" t="n">
        <v>0</v>
      </c>
      <c r="H55" s="15">
        <f>MAX(E55-F55, 0)</f>
        <v/>
      </c>
      <c r="I55" s="15">
        <f>IF(H55&lt;=0.12, 0, IF(H55&lt;=0.5, MIN((MAX(H55-0.04,0)*0.05+MAX(H55-0.08,0)*0.05+MAX(H55-0.12,0)*0.05+MAX(H55-0.16,0)*0.05+MAX(H55-0.2,0)*0.05+MAX(H55-0.24,0)*0.05), H55-0.12), MIN((MAX(H55-0.04,0)*0.05+MAX(H55-0.08,0)*0.05+MAX(H55-0.12,0)*0.05+MAX(H55-0.16,0)*0.05+MAX(H55-0.2,0)*0.05+MAX(H55-0.24,0)*0.05)*(1+IF(H55&lt;=1,0.1,IF(H55&lt;=2,0.15,0.25))), (MAX(IF(H55&lt;=1,0.5,IF(H55&lt;=2,1,2))-0.04,0)*0.05+MAX(IF(H55&lt;=1,0.5,IF(H55&lt;=2,1,2))-0.08,0)*0.05+MAX(IF(H55&lt;=1,0.5,IF(H55&lt;=2,1,2))-0.12,0)*0.05+MAX(IF(H55&lt;=1,0.5,IF(H55&lt;=2,1,2))-0.16,0)*0.05+MAX(IF(H55&lt;=1,0.5,IF(H55&lt;=2,1,2))-0.2,0)*0.05+MAX(IF(H55&lt;=1,0.5,IF(H55&lt;=2,1,2))-0.24,0)*0.05)*(1+IF(H55&lt;=1,0,IF(H55&lt;=2,0.1,0.15)))+H55-IF(H55&lt;=1,0.5,IF(H55&lt;=2,1,2))))*1.04)</f>
        <v/>
      </c>
      <c r="J55" s="21" t="n">
        <v>0</v>
      </c>
      <c r="K55" s="21" t="n">
        <v>0</v>
      </c>
      <c r="L55" s="21" t="n">
        <v>0</v>
      </c>
      <c r="M55" s="15">
        <f>B55+E55-F55-I55</f>
        <v/>
      </c>
      <c r="N55" s="15">
        <f>M55</f>
        <v/>
      </c>
    </row>
    <row r="56">
      <c r="A56" s="20" t="n">
        <v>10</v>
      </c>
      <c r="B56" s="15">
        <f>M55</f>
        <v/>
      </c>
      <c r="C56" s="15">
        <f>MIN(B56, $B$13)</f>
        <v/>
      </c>
      <c r="D56" s="15">
        <f>MAX(B56-C56, 0)</f>
        <v/>
      </c>
      <c r="E56" s="15">
        <f>C56*$B$6 + D56*$B$14</f>
        <v/>
      </c>
      <c r="F56" s="15" t="n">
        <v>0.005</v>
      </c>
      <c r="G56" s="21" t="n">
        <v>0</v>
      </c>
      <c r="H56" s="15">
        <f>MAX(E56-F56, 0)</f>
        <v/>
      </c>
      <c r="I56" s="15">
        <f>IF(H56&lt;=0.12, 0, IF(H56&lt;=0.5, MIN((MAX(H56-0.04,0)*0.05+MAX(H56-0.08,0)*0.05+MAX(H56-0.12,0)*0.05+MAX(H56-0.16,0)*0.05+MAX(H56-0.2,0)*0.05+MAX(H56-0.24,0)*0.05), H56-0.12), MIN((MAX(H56-0.04,0)*0.05+MAX(H56-0.08,0)*0.05+MAX(H56-0.12,0)*0.05+MAX(H56-0.16,0)*0.05+MAX(H56-0.2,0)*0.05+MAX(H56-0.24,0)*0.05)*(1+IF(H56&lt;=1,0.1,IF(H56&lt;=2,0.15,0.25))), (MAX(IF(H56&lt;=1,0.5,IF(H56&lt;=2,1,2))-0.04,0)*0.05+MAX(IF(H56&lt;=1,0.5,IF(H56&lt;=2,1,2))-0.08,0)*0.05+MAX(IF(H56&lt;=1,0.5,IF(H56&lt;=2,1,2))-0.12,0)*0.05+MAX(IF(H56&lt;=1,0.5,IF(H56&lt;=2,1,2))-0.16,0)*0.05+MAX(IF(H56&lt;=1,0.5,IF(H56&lt;=2,1,2))-0.2,0)*0.05+MAX(IF(H56&lt;=1,0.5,IF(H56&lt;=2,1,2))-0.24,0)*0.05)*(1+IF(H56&lt;=1,0,IF(H56&lt;=2,0.1,0.15)))+H56-IF(H56&lt;=1,0.5,IF(H56&lt;=2,1,2))))*1.04)</f>
        <v/>
      </c>
      <c r="J56" s="21" t="n">
        <v>0</v>
      </c>
      <c r="K56" s="21" t="n">
        <v>0</v>
      </c>
      <c r="L56" s="21" t="n">
        <v>0</v>
      </c>
      <c r="M56" s="15">
        <f>B56+E56-F56-I56</f>
        <v/>
      </c>
      <c r="N56" s="15">
        <f>M56</f>
        <v/>
      </c>
    </row>
    <row r="57">
      <c r="A57" s="20" t="n">
        <v>11</v>
      </c>
      <c r="B57" s="15">
        <f>M56</f>
        <v/>
      </c>
      <c r="C57" s="15">
        <f>MIN(B57, $B$13)</f>
        <v/>
      </c>
      <c r="D57" s="15">
        <f>MAX(B57-C57, 0)</f>
        <v/>
      </c>
      <c r="E57" s="15">
        <f>C57*$B$6 + D57*$B$14</f>
        <v/>
      </c>
      <c r="F57" s="15" t="n">
        <v>0.005</v>
      </c>
      <c r="G57" s="21" t="n">
        <v>0</v>
      </c>
      <c r="H57" s="15">
        <f>MAX(E57-F57, 0)</f>
        <v/>
      </c>
      <c r="I57" s="15">
        <f>IF(H57&lt;=0.12, 0, IF(H57&lt;=0.5, MIN((MAX(H57-0.04,0)*0.05+MAX(H57-0.08,0)*0.05+MAX(H57-0.12,0)*0.05+MAX(H57-0.16,0)*0.05+MAX(H57-0.2,0)*0.05+MAX(H57-0.24,0)*0.05), H57-0.12), MIN((MAX(H57-0.04,0)*0.05+MAX(H57-0.08,0)*0.05+MAX(H57-0.12,0)*0.05+MAX(H57-0.16,0)*0.05+MAX(H57-0.2,0)*0.05+MAX(H57-0.24,0)*0.05)*(1+IF(H57&lt;=1,0.1,IF(H57&lt;=2,0.15,0.25))), (MAX(IF(H57&lt;=1,0.5,IF(H57&lt;=2,1,2))-0.04,0)*0.05+MAX(IF(H57&lt;=1,0.5,IF(H57&lt;=2,1,2))-0.08,0)*0.05+MAX(IF(H57&lt;=1,0.5,IF(H57&lt;=2,1,2))-0.12,0)*0.05+MAX(IF(H57&lt;=1,0.5,IF(H57&lt;=2,1,2))-0.16,0)*0.05+MAX(IF(H57&lt;=1,0.5,IF(H57&lt;=2,1,2))-0.2,0)*0.05+MAX(IF(H57&lt;=1,0.5,IF(H57&lt;=2,1,2))-0.24,0)*0.05)*(1+IF(H57&lt;=1,0,IF(H57&lt;=2,0.1,0.15)))+H57-IF(H57&lt;=1,0.5,IF(H57&lt;=2,1,2))))*1.04)</f>
        <v/>
      </c>
      <c r="J57" s="21" t="n">
        <v>0</v>
      </c>
      <c r="K57" s="21" t="n">
        <v>0</v>
      </c>
      <c r="L57" s="21" t="n">
        <v>0</v>
      </c>
      <c r="M57" s="15">
        <f>B57+E57-F57-I57</f>
        <v/>
      </c>
      <c r="N57" s="15">
        <f>M57</f>
        <v/>
      </c>
    </row>
    <row r="58">
      <c r="A58" s="20" t="n">
        <v>12</v>
      </c>
      <c r="B58" s="15">
        <f>M57</f>
        <v/>
      </c>
      <c r="C58" s="15">
        <f>MIN(B58, $B$13)</f>
        <v/>
      </c>
      <c r="D58" s="15">
        <f>MAX(B58-C58, 0)</f>
        <v/>
      </c>
      <c r="E58" s="15">
        <f>C58*$B$6 + D58*$B$14</f>
        <v/>
      </c>
      <c r="F58" s="15" t="n">
        <v>0.005</v>
      </c>
      <c r="G58" s="21" t="n">
        <v>0</v>
      </c>
      <c r="H58" s="15">
        <f>MAX(E58-F58, 0)</f>
        <v/>
      </c>
      <c r="I58" s="15">
        <f>IF(H58&lt;=0.12, 0, IF(H58&lt;=0.5, MIN((MAX(H58-0.04,0)*0.05+MAX(H58-0.08,0)*0.05+MAX(H58-0.12,0)*0.05+MAX(H58-0.16,0)*0.05+MAX(H58-0.2,0)*0.05+MAX(H58-0.24,0)*0.05), H58-0.12), MIN((MAX(H58-0.04,0)*0.05+MAX(H58-0.08,0)*0.05+MAX(H58-0.12,0)*0.05+MAX(H58-0.16,0)*0.05+MAX(H58-0.2,0)*0.05+MAX(H58-0.24,0)*0.05)*(1+IF(H58&lt;=1,0.1,IF(H58&lt;=2,0.15,0.25))), (MAX(IF(H58&lt;=1,0.5,IF(H58&lt;=2,1,2))-0.04,0)*0.05+MAX(IF(H58&lt;=1,0.5,IF(H58&lt;=2,1,2))-0.08,0)*0.05+MAX(IF(H58&lt;=1,0.5,IF(H58&lt;=2,1,2))-0.12,0)*0.05+MAX(IF(H58&lt;=1,0.5,IF(H58&lt;=2,1,2))-0.16,0)*0.05+MAX(IF(H58&lt;=1,0.5,IF(H58&lt;=2,1,2))-0.2,0)*0.05+MAX(IF(H58&lt;=1,0.5,IF(H58&lt;=2,1,2))-0.24,0)*0.05)*(1+IF(H58&lt;=1,0,IF(H58&lt;=2,0.1,0.15)))+H58-IF(H58&lt;=1,0.5,IF(H58&lt;=2,1,2))))*1.04)</f>
        <v/>
      </c>
      <c r="J58" s="21" t="n">
        <v>0</v>
      </c>
      <c r="K58" s="21" t="n">
        <v>0</v>
      </c>
      <c r="L58" s="21" t="n">
        <v>0</v>
      </c>
      <c r="M58" s="15">
        <f>B58+E58-F58-I58</f>
        <v/>
      </c>
      <c r="N58" s="15">
        <f>M58</f>
        <v/>
      </c>
    </row>
    <row r="59">
      <c r="A59" s="20" t="n">
        <v>13</v>
      </c>
      <c r="B59" s="15">
        <f>M58</f>
        <v/>
      </c>
      <c r="C59" s="15">
        <f>MIN(B59, $B$13)</f>
        <v/>
      </c>
      <c r="D59" s="15">
        <f>MAX(B59-C59, 0)</f>
        <v/>
      </c>
      <c r="E59" s="15">
        <f>C59*$B$6 + D59*$B$14</f>
        <v/>
      </c>
      <c r="F59" s="15" t="n">
        <v>0.005</v>
      </c>
      <c r="G59" s="21" t="n">
        <v>0</v>
      </c>
      <c r="H59" s="15">
        <f>MAX(E59-F59, 0)</f>
        <v/>
      </c>
      <c r="I59" s="15">
        <f>IF(H59&lt;=0.12, 0, IF(H59&lt;=0.5, MIN((MAX(H59-0.04,0)*0.05+MAX(H59-0.08,0)*0.05+MAX(H59-0.12,0)*0.05+MAX(H59-0.16,0)*0.05+MAX(H59-0.2,0)*0.05+MAX(H59-0.24,0)*0.05), H59-0.12), MIN((MAX(H59-0.04,0)*0.05+MAX(H59-0.08,0)*0.05+MAX(H59-0.12,0)*0.05+MAX(H59-0.16,0)*0.05+MAX(H59-0.2,0)*0.05+MAX(H59-0.24,0)*0.05)*(1+IF(H59&lt;=1,0.1,IF(H59&lt;=2,0.15,0.25))), (MAX(IF(H59&lt;=1,0.5,IF(H59&lt;=2,1,2))-0.04,0)*0.05+MAX(IF(H59&lt;=1,0.5,IF(H59&lt;=2,1,2))-0.08,0)*0.05+MAX(IF(H59&lt;=1,0.5,IF(H59&lt;=2,1,2))-0.12,0)*0.05+MAX(IF(H59&lt;=1,0.5,IF(H59&lt;=2,1,2))-0.16,0)*0.05+MAX(IF(H59&lt;=1,0.5,IF(H59&lt;=2,1,2))-0.2,0)*0.05+MAX(IF(H59&lt;=1,0.5,IF(H59&lt;=2,1,2))-0.24,0)*0.05)*(1+IF(H59&lt;=1,0,IF(H59&lt;=2,0.1,0.15)))+H59-IF(H59&lt;=1,0.5,IF(H59&lt;=2,1,2))))*1.04)</f>
        <v/>
      </c>
      <c r="J59" s="21" t="n">
        <v>0</v>
      </c>
      <c r="K59" s="21" t="n">
        <v>0</v>
      </c>
      <c r="L59" s="21" t="n">
        <v>0</v>
      </c>
      <c r="M59" s="15">
        <f>B59+E59-F59-I59</f>
        <v/>
      </c>
      <c r="N59" s="15">
        <f>M59</f>
        <v/>
      </c>
    </row>
    <row r="60">
      <c r="A60" s="20" t="n">
        <v>14</v>
      </c>
      <c r="B60" s="15">
        <f>M59</f>
        <v/>
      </c>
      <c r="C60" s="15">
        <f>MIN(B60, $B$13)</f>
        <v/>
      </c>
      <c r="D60" s="15">
        <f>MAX(B60-C60, 0)</f>
        <v/>
      </c>
      <c r="E60" s="15">
        <f>C60*$B$6 + D60*$B$14</f>
        <v/>
      </c>
      <c r="F60" s="15" t="n">
        <v>0.005</v>
      </c>
      <c r="G60" s="21" t="n">
        <v>0</v>
      </c>
      <c r="H60" s="15">
        <f>MAX(E60-F60, 0)</f>
        <v/>
      </c>
      <c r="I60" s="15">
        <f>IF(H60&lt;=0.12, 0, IF(H60&lt;=0.5, MIN((MAX(H60-0.04,0)*0.05+MAX(H60-0.08,0)*0.05+MAX(H60-0.12,0)*0.05+MAX(H60-0.16,0)*0.05+MAX(H60-0.2,0)*0.05+MAX(H60-0.24,0)*0.05), H60-0.12), MIN((MAX(H60-0.04,0)*0.05+MAX(H60-0.08,0)*0.05+MAX(H60-0.12,0)*0.05+MAX(H60-0.16,0)*0.05+MAX(H60-0.2,0)*0.05+MAX(H60-0.24,0)*0.05)*(1+IF(H60&lt;=1,0.1,IF(H60&lt;=2,0.15,0.25))), (MAX(IF(H60&lt;=1,0.5,IF(H60&lt;=2,1,2))-0.04,0)*0.05+MAX(IF(H60&lt;=1,0.5,IF(H60&lt;=2,1,2))-0.08,0)*0.05+MAX(IF(H60&lt;=1,0.5,IF(H60&lt;=2,1,2))-0.12,0)*0.05+MAX(IF(H60&lt;=1,0.5,IF(H60&lt;=2,1,2))-0.16,0)*0.05+MAX(IF(H60&lt;=1,0.5,IF(H60&lt;=2,1,2))-0.2,0)*0.05+MAX(IF(H60&lt;=1,0.5,IF(H60&lt;=2,1,2))-0.24,0)*0.05)*(1+IF(H60&lt;=1,0,IF(H60&lt;=2,0.1,0.15)))+H60-IF(H60&lt;=1,0.5,IF(H60&lt;=2,1,2))))*1.04)</f>
        <v/>
      </c>
      <c r="J60" s="21" t="n">
        <v>0</v>
      </c>
      <c r="K60" s="21" t="n">
        <v>0</v>
      </c>
      <c r="L60" s="21" t="n">
        <v>0</v>
      </c>
      <c r="M60" s="15">
        <f>B60+E60-F60-I60</f>
        <v/>
      </c>
      <c r="N60" s="15">
        <f>M60</f>
        <v/>
      </c>
    </row>
    <row r="61">
      <c r="A61" s="20" t="n">
        <v>15</v>
      </c>
      <c r="B61" s="15">
        <f>M60</f>
        <v/>
      </c>
      <c r="C61" s="15">
        <f>MIN(B61, $B$13)</f>
        <v/>
      </c>
      <c r="D61" s="15">
        <f>MAX(B61-C61, 0)</f>
        <v/>
      </c>
      <c r="E61" s="15">
        <f>C61*$B$6 + D61*$B$14</f>
        <v/>
      </c>
      <c r="F61" s="15" t="n">
        <v>0.005</v>
      </c>
      <c r="G61" s="21" t="n">
        <v>0</v>
      </c>
      <c r="H61" s="15">
        <f>MAX(E61-F61, 0)</f>
        <v/>
      </c>
      <c r="I61" s="15">
        <f>IF(H61&lt;=0.12, 0, IF(H61&lt;=0.5, MIN((MAX(H61-0.04,0)*0.05+MAX(H61-0.08,0)*0.05+MAX(H61-0.12,0)*0.05+MAX(H61-0.16,0)*0.05+MAX(H61-0.2,0)*0.05+MAX(H61-0.24,0)*0.05), H61-0.12), MIN((MAX(H61-0.04,0)*0.05+MAX(H61-0.08,0)*0.05+MAX(H61-0.12,0)*0.05+MAX(H61-0.16,0)*0.05+MAX(H61-0.2,0)*0.05+MAX(H61-0.24,0)*0.05)*(1+IF(H61&lt;=1,0.1,IF(H61&lt;=2,0.15,0.25))), (MAX(IF(H61&lt;=1,0.5,IF(H61&lt;=2,1,2))-0.04,0)*0.05+MAX(IF(H61&lt;=1,0.5,IF(H61&lt;=2,1,2))-0.08,0)*0.05+MAX(IF(H61&lt;=1,0.5,IF(H61&lt;=2,1,2))-0.12,0)*0.05+MAX(IF(H61&lt;=1,0.5,IF(H61&lt;=2,1,2))-0.16,0)*0.05+MAX(IF(H61&lt;=1,0.5,IF(H61&lt;=2,1,2))-0.2,0)*0.05+MAX(IF(H61&lt;=1,0.5,IF(H61&lt;=2,1,2))-0.24,0)*0.05)*(1+IF(H61&lt;=1,0,IF(H61&lt;=2,0.1,0.15)))+H61-IF(H61&lt;=1,0.5,IF(H61&lt;=2,1,2))))*1.04)</f>
        <v/>
      </c>
      <c r="J61" s="21" t="n">
        <v>0</v>
      </c>
      <c r="K61" s="21" t="n">
        <v>0</v>
      </c>
      <c r="L61" s="21" t="n">
        <v>0</v>
      </c>
      <c r="M61" s="15">
        <f>B61+E61-F61-I61</f>
        <v/>
      </c>
      <c r="N61" s="15">
        <f>M61</f>
        <v/>
      </c>
    </row>
    <row r="62">
      <c r="A62" s="20" t="n">
        <v>16</v>
      </c>
      <c r="B62" s="15">
        <f>M61</f>
        <v/>
      </c>
      <c r="C62" s="15">
        <f>MIN(B62, $B$13)</f>
        <v/>
      </c>
      <c r="D62" s="15">
        <f>MAX(B62-C62, 0)</f>
        <v/>
      </c>
      <c r="E62" s="15">
        <f>C62*$B$6 + D62*$B$14</f>
        <v/>
      </c>
      <c r="F62" s="15" t="n">
        <v>0.005</v>
      </c>
      <c r="G62" s="21" t="n">
        <v>0</v>
      </c>
      <c r="H62" s="15">
        <f>MAX(E62-F62, 0)</f>
        <v/>
      </c>
      <c r="I62" s="15">
        <f>IF(H62&lt;=0.12, 0, IF(H62&lt;=0.5, MIN((MAX(H62-0.04,0)*0.05+MAX(H62-0.08,0)*0.05+MAX(H62-0.12,0)*0.05+MAX(H62-0.16,0)*0.05+MAX(H62-0.2,0)*0.05+MAX(H62-0.24,0)*0.05), H62-0.12), MIN((MAX(H62-0.04,0)*0.05+MAX(H62-0.08,0)*0.05+MAX(H62-0.12,0)*0.05+MAX(H62-0.16,0)*0.05+MAX(H62-0.2,0)*0.05+MAX(H62-0.24,0)*0.05)*(1+IF(H62&lt;=1,0.1,IF(H62&lt;=2,0.15,0.25))), (MAX(IF(H62&lt;=1,0.5,IF(H62&lt;=2,1,2))-0.04,0)*0.05+MAX(IF(H62&lt;=1,0.5,IF(H62&lt;=2,1,2))-0.08,0)*0.05+MAX(IF(H62&lt;=1,0.5,IF(H62&lt;=2,1,2))-0.12,0)*0.05+MAX(IF(H62&lt;=1,0.5,IF(H62&lt;=2,1,2))-0.16,0)*0.05+MAX(IF(H62&lt;=1,0.5,IF(H62&lt;=2,1,2))-0.2,0)*0.05+MAX(IF(H62&lt;=1,0.5,IF(H62&lt;=2,1,2))-0.24,0)*0.05)*(1+IF(H62&lt;=1,0,IF(H62&lt;=2,0.1,0.15)))+H62-IF(H62&lt;=1,0.5,IF(H62&lt;=2,1,2))))*1.04)</f>
        <v/>
      </c>
      <c r="J62" s="21" t="n">
        <v>0</v>
      </c>
      <c r="K62" s="21" t="n">
        <v>0</v>
      </c>
      <c r="L62" s="21" t="n">
        <v>0</v>
      </c>
      <c r="M62" s="15">
        <f>B62+E62-F62-I62</f>
        <v/>
      </c>
      <c r="N62" s="15">
        <f>M62</f>
        <v/>
      </c>
    </row>
    <row r="63">
      <c r="A63" s="20" t="n">
        <v>17</v>
      </c>
      <c r="B63" s="15">
        <f>M62</f>
        <v/>
      </c>
      <c r="C63" s="15">
        <f>MIN(B63, $B$13)</f>
        <v/>
      </c>
      <c r="D63" s="15">
        <f>MAX(B63-C63, 0)</f>
        <v/>
      </c>
      <c r="E63" s="15">
        <f>C63*$B$6 + D63*$B$14</f>
        <v/>
      </c>
      <c r="F63" s="15" t="n">
        <v>0.005</v>
      </c>
      <c r="G63" s="21" t="n">
        <v>0</v>
      </c>
      <c r="H63" s="15">
        <f>MAX(E63-F63, 0)</f>
        <v/>
      </c>
      <c r="I63" s="15">
        <f>IF(H63&lt;=0.12, 0, IF(H63&lt;=0.5, MIN((MAX(H63-0.04,0)*0.05+MAX(H63-0.08,0)*0.05+MAX(H63-0.12,0)*0.05+MAX(H63-0.16,0)*0.05+MAX(H63-0.2,0)*0.05+MAX(H63-0.24,0)*0.05), H63-0.12), MIN((MAX(H63-0.04,0)*0.05+MAX(H63-0.08,0)*0.05+MAX(H63-0.12,0)*0.05+MAX(H63-0.16,0)*0.05+MAX(H63-0.2,0)*0.05+MAX(H63-0.24,0)*0.05)*(1+IF(H63&lt;=1,0.1,IF(H63&lt;=2,0.15,0.25))), (MAX(IF(H63&lt;=1,0.5,IF(H63&lt;=2,1,2))-0.04,0)*0.05+MAX(IF(H63&lt;=1,0.5,IF(H63&lt;=2,1,2))-0.08,0)*0.05+MAX(IF(H63&lt;=1,0.5,IF(H63&lt;=2,1,2))-0.12,0)*0.05+MAX(IF(H63&lt;=1,0.5,IF(H63&lt;=2,1,2))-0.16,0)*0.05+MAX(IF(H63&lt;=1,0.5,IF(H63&lt;=2,1,2))-0.2,0)*0.05+MAX(IF(H63&lt;=1,0.5,IF(H63&lt;=2,1,2))-0.24,0)*0.05)*(1+IF(H63&lt;=1,0,IF(H63&lt;=2,0.1,0.15)))+H63-IF(H63&lt;=1,0.5,IF(H63&lt;=2,1,2))))*1.04)</f>
        <v/>
      </c>
      <c r="J63" s="21" t="n">
        <v>0</v>
      </c>
      <c r="K63" s="21" t="n">
        <v>0</v>
      </c>
      <c r="L63" s="21" t="n">
        <v>0</v>
      </c>
      <c r="M63" s="15">
        <f>B63+E63-F63-I63</f>
        <v/>
      </c>
      <c r="N63" s="15">
        <f>M63</f>
        <v/>
      </c>
    </row>
    <row r="64">
      <c r="A64" s="20" t="n">
        <v>18</v>
      </c>
      <c r="B64" s="15">
        <f>M63</f>
        <v/>
      </c>
      <c r="C64" s="15">
        <f>MIN(B64, $B$13)</f>
        <v/>
      </c>
      <c r="D64" s="15">
        <f>MAX(B64-C64, 0)</f>
        <v/>
      </c>
      <c r="E64" s="15">
        <f>C64*$B$6 + D64*$B$14</f>
        <v/>
      </c>
      <c r="F64" s="15" t="n">
        <v>0.005</v>
      </c>
      <c r="G64" s="21" t="n">
        <v>0</v>
      </c>
      <c r="H64" s="15">
        <f>MAX(E64-F64, 0)</f>
        <v/>
      </c>
      <c r="I64" s="15">
        <f>IF(H64&lt;=0.12, 0, IF(H64&lt;=0.5, MIN((MAX(H64-0.04,0)*0.05+MAX(H64-0.08,0)*0.05+MAX(H64-0.12,0)*0.05+MAX(H64-0.16,0)*0.05+MAX(H64-0.2,0)*0.05+MAX(H64-0.24,0)*0.05), H64-0.12), MIN((MAX(H64-0.04,0)*0.05+MAX(H64-0.08,0)*0.05+MAX(H64-0.12,0)*0.05+MAX(H64-0.16,0)*0.05+MAX(H64-0.2,0)*0.05+MAX(H64-0.24,0)*0.05)*(1+IF(H64&lt;=1,0.1,IF(H64&lt;=2,0.15,0.25))), (MAX(IF(H64&lt;=1,0.5,IF(H64&lt;=2,1,2))-0.04,0)*0.05+MAX(IF(H64&lt;=1,0.5,IF(H64&lt;=2,1,2))-0.08,0)*0.05+MAX(IF(H64&lt;=1,0.5,IF(H64&lt;=2,1,2))-0.12,0)*0.05+MAX(IF(H64&lt;=1,0.5,IF(H64&lt;=2,1,2))-0.16,0)*0.05+MAX(IF(H64&lt;=1,0.5,IF(H64&lt;=2,1,2))-0.2,0)*0.05+MAX(IF(H64&lt;=1,0.5,IF(H64&lt;=2,1,2))-0.24,0)*0.05)*(1+IF(H64&lt;=1,0,IF(H64&lt;=2,0.1,0.15)))+H64-IF(H64&lt;=1,0.5,IF(H64&lt;=2,1,2))))*1.04)</f>
        <v/>
      </c>
      <c r="J64" s="21" t="n">
        <v>0</v>
      </c>
      <c r="K64" s="21" t="n">
        <v>0</v>
      </c>
      <c r="L64" s="21" t="n">
        <v>0</v>
      </c>
      <c r="M64" s="15">
        <f>B64+E64-F64-I64</f>
        <v/>
      </c>
      <c r="N64" s="15">
        <f>M64</f>
        <v/>
      </c>
    </row>
    <row r="65">
      <c r="A65" s="20" t="n">
        <v>19</v>
      </c>
      <c r="B65" s="15">
        <f>M64</f>
        <v/>
      </c>
      <c r="C65" s="15">
        <f>MIN(B65, $B$13)</f>
        <v/>
      </c>
      <c r="D65" s="15">
        <f>MAX(B65-C65, 0)</f>
        <v/>
      </c>
      <c r="E65" s="15">
        <f>C65*$B$6 + D65*$B$14</f>
        <v/>
      </c>
      <c r="F65" s="15" t="n">
        <v>0.005</v>
      </c>
      <c r="G65" s="21" t="n">
        <v>0</v>
      </c>
      <c r="H65" s="15">
        <f>MAX(E65-F65, 0)</f>
        <v/>
      </c>
      <c r="I65" s="15">
        <f>IF(H65&lt;=0.12, 0, IF(H65&lt;=0.5, MIN((MAX(H65-0.04,0)*0.05+MAX(H65-0.08,0)*0.05+MAX(H65-0.12,0)*0.05+MAX(H65-0.16,0)*0.05+MAX(H65-0.2,0)*0.05+MAX(H65-0.24,0)*0.05), H65-0.12), MIN((MAX(H65-0.04,0)*0.05+MAX(H65-0.08,0)*0.05+MAX(H65-0.12,0)*0.05+MAX(H65-0.16,0)*0.05+MAX(H65-0.2,0)*0.05+MAX(H65-0.24,0)*0.05)*(1+IF(H65&lt;=1,0.1,IF(H65&lt;=2,0.15,0.25))), (MAX(IF(H65&lt;=1,0.5,IF(H65&lt;=2,1,2))-0.04,0)*0.05+MAX(IF(H65&lt;=1,0.5,IF(H65&lt;=2,1,2))-0.08,0)*0.05+MAX(IF(H65&lt;=1,0.5,IF(H65&lt;=2,1,2))-0.12,0)*0.05+MAX(IF(H65&lt;=1,0.5,IF(H65&lt;=2,1,2))-0.16,0)*0.05+MAX(IF(H65&lt;=1,0.5,IF(H65&lt;=2,1,2))-0.2,0)*0.05+MAX(IF(H65&lt;=1,0.5,IF(H65&lt;=2,1,2))-0.24,0)*0.05)*(1+IF(H65&lt;=1,0,IF(H65&lt;=2,0.1,0.15)))+H65-IF(H65&lt;=1,0.5,IF(H65&lt;=2,1,2))))*1.04)</f>
        <v/>
      </c>
      <c r="J65" s="21" t="n">
        <v>0</v>
      </c>
      <c r="K65" s="21" t="n">
        <v>0</v>
      </c>
      <c r="L65" s="21" t="n">
        <v>0</v>
      </c>
      <c r="M65" s="15">
        <f>B65+E65-F65-I65</f>
        <v/>
      </c>
      <c r="N65" s="15">
        <f>M65</f>
        <v/>
      </c>
    </row>
    <row r="66">
      <c r="A66" s="20" t="n">
        <v>20</v>
      </c>
      <c r="B66" s="15">
        <f>M65</f>
        <v/>
      </c>
      <c r="C66" s="15">
        <f>MIN(B66, $B$13)</f>
        <v/>
      </c>
      <c r="D66" s="15">
        <f>MAX(B66-C66, 0)</f>
        <v/>
      </c>
      <c r="E66" s="15">
        <f>C66*$B$6 + D66*$B$14</f>
        <v/>
      </c>
      <c r="F66" s="15" t="n">
        <v>0.005</v>
      </c>
      <c r="G66" s="21" t="n">
        <v>0</v>
      </c>
      <c r="H66" s="15">
        <f>MAX(E66-F66, 0)</f>
        <v/>
      </c>
      <c r="I66" s="15">
        <f>IF(H66&lt;=0.12, 0, IF(H66&lt;=0.5, MIN((MAX(H66-0.04,0)*0.05+MAX(H66-0.08,0)*0.05+MAX(H66-0.12,0)*0.05+MAX(H66-0.16,0)*0.05+MAX(H66-0.2,0)*0.05+MAX(H66-0.24,0)*0.05), H66-0.12), MIN((MAX(H66-0.04,0)*0.05+MAX(H66-0.08,0)*0.05+MAX(H66-0.12,0)*0.05+MAX(H66-0.16,0)*0.05+MAX(H66-0.2,0)*0.05+MAX(H66-0.24,0)*0.05)*(1+IF(H66&lt;=1,0.1,IF(H66&lt;=2,0.15,0.25))), (MAX(IF(H66&lt;=1,0.5,IF(H66&lt;=2,1,2))-0.04,0)*0.05+MAX(IF(H66&lt;=1,0.5,IF(H66&lt;=2,1,2))-0.08,0)*0.05+MAX(IF(H66&lt;=1,0.5,IF(H66&lt;=2,1,2))-0.12,0)*0.05+MAX(IF(H66&lt;=1,0.5,IF(H66&lt;=2,1,2))-0.16,0)*0.05+MAX(IF(H66&lt;=1,0.5,IF(H66&lt;=2,1,2))-0.2,0)*0.05+MAX(IF(H66&lt;=1,0.5,IF(H66&lt;=2,1,2))-0.24,0)*0.05)*(1+IF(H66&lt;=1,0,IF(H66&lt;=2,0.1,0.15)))+H66-IF(H66&lt;=1,0.5,IF(H66&lt;=2,1,2))))*1.04)</f>
        <v/>
      </c>
      <c r="J66" s="21" t="n">
        <v>0</v>
      </c>
      <c r="K66" s="21" t="n">
        <v>0</v>
      </c>
      <c r="L66" s="21" t="n">
        <v>0</v>
      </c>
      <c r="M66" s="15">
        <f>B66+E66-F66-I66</f>
        <v/>
      </c>
      <c r="N66" s="15">
        <f>M66</f>
        <v/>
      </c>
    </row>
    <row r="69">
      <c r="A69" s="3" t="inlineStr">
        <is>
          <t>COMPANY SOLO ROUTE</t>
        </is>
      </c>
    </row>
    <row r="70">
      <c r="A70" s="19" t="inlineStr">
        <is>
          <t>Year</t>
        </is>
      </c>
      <c r="B70" s="19" t="inlineStr">
        <is>
          <t>Opening</t>
        </is>
      </c>
      <c r="C70" s="19" t="inlineStr">
        <is>
          <t>Deployed</t>
        </is>
      </c>
      <c r="D70" s="19" t="inlineStr">
        <is>
          <t>Idle</t>
        </is>
      </c>
      <c r="E70" s="19" t="inlineStr">
        <is>
          <t>Profit</t>
        </is>
      </c>
      <c r="F70" s="19" t="inlineStr">
        <is>
          <t>Overhead</t>
        </is>
      </c>
      <c r="G70" s="19" t="inlineStr">
        <is>
          <t>Salary Paid</t>
        </is>
      </c>
      <c r="H70" s="19" t="inlineStr">
        <is>
          <t>Taxable Profit</t>
        </is>
      </c>
      <c r="I70" s="19" t="inlineStr">
        <is>
          <t>Income Tax</t>
        </is>
      </c>
      <c r="J70" s="19" t="inlineStr">
        <is>
          <t>Not Lent Back</t>
        </is>
      </c>
      <c r="K70" s="19" t="inlineStr">
        <is>
          <t>New Loan</t>
        </is>
      </c>
      <c r="L70" s="19" t="inlineStr">
        <is>
          <t>Loans Outstanding</t>
        </is>
      </c>
      <c r="M70" s="19" t="inlineStr">
        <is>
          <t>Closing Capital</t>
        </is>
      </c>
      <c r="N70" s="19" t="inlineStr">
        <is>
          <t>Net Equity (Closing - Loans)</t>
        </is>
      </c>
    </row>
    <row r="71">
      <c r="A71" s="20" t="n">
        <v>0</v>
      </c>
      <c r="B71" s="15">
        <f>$B$5</f>
        <v/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15">
        <f>$B$5</f>
        <v/>
      </c>
      <c r="N71" s="15">
        <f>$B$5</f>
        <v/>
      </c>
    </row>
    <row r="72">
      <c r="A72" s="20" t="n">
        <v>1</v>
      </c>
      <c r="B72" s="15">
        <f>M71</f>
        <v/>
      </c>
      <c r="C72" s="15">
        <f>MIN(B72, $B$13)</f>
        <v/>
      </c>
      <c r="D72" s="15">
        <f>MAX(B72-C72, 0)</f>
        <v/>
      </c>
      <c r="E72" s="15">
        <f>C72*$B$6 + D72*$B$14</f>
        <v/>
      </c>
      <c r="F72" s="15">
        <f>$B$12</f>
        <v/>
      </c>
      <c r="G72" s="15" t="n">
        <v>0</v>
      </c>
      <c r="H72" s="15">
        <f>MAX(E72-F72-G72, 0)</f>
        <v/>
      </c>
      <c r="I72" s="15">
        <f>H72*$B$7</f>
        <v/>
      </c>
      <c r="J72" s="15">
        <f>G72*(1-$B$10)</f>
        <v/>
      </c>
      <c r="K72" s="15">
        <f>G72*$B$10</f>
        <v/>
      </c>
      <c r="L72" s="15">
        <f>L71+K72</f>
        <v/>
      </c>
      <c r="M72" s="15">
        <f>B72+E72-F72-I72-J72</f>
        <v/>
      </c>
      <c r="N72" s="15">
        <f>M72-L72</f>
        <v/>
      </c>
    </row>
    <row r="73">
      <c r="A73" s="20" t="n">
        <v>2</v>
      </c>
      <c r="B73" s="15">
        <f>M72</f>
        <v/>
      </c>
      <c r="C73" s="15">
        <f>MIN(B73, $B$13)</f>
        <v/>
      </c>
      <c r="D73" s="15">
        <f>MAX(B73-C73, 0)</f>
        <v/>
      </c>
      <c r="E73" s="15">
        <f>C73*$B$6 + D73*$B$14</f>
        <v/>
      </c>
      <c r="F73" s="15">
        <f>$B$12</f>
        <v/>
      </c>
      <c r="G73" s="15" t="n">
        <v>0</v>
      </c>
      <c r="H73" s="15">
        <f>MAX(E73-F73-G73, 0)</f>
        <v/>
      </c>
      <c r="I73" s="15">
        <f>H73*$B$7</f>
        <v/>
      </c>
      <c r="J73" s="15">
        <f>G73*(1-$B$10)</f>
        <v/>
      </c>
      <c r="K73" s="15">
        <f>G73*$B$10</f>
        <v/>
      </c>
      <c r="L73" s="15">
        <f>L72+K73</f>
        <v/>
      </c>
      <c r="M73" s="15">
        <f>B73+E73-F73-I73-J73</f>
        <v/>
      </c>
      <c r="N73" s="15">
        <f>M73-L73</f>
        <v/>
      </c>
    </row>
    <row r="74">
      <c r="A74" s="20" t="n">
        <v>3</v>
      </c>
      <c r="B74" s="15">
        <f>M73</f>
        <v/>
      </c>
      <c r="C74" s="15">
        <f>MIN(B74, $B$13)</f>
        <v/>
      </c>
      <c r="D74" s="15">
        <f>MAX(B74-C74, 0)</f>
        <v/>
      </c>
      <c r="E74" s="15">
        <f>C74*$B$6 + D74*$B$14</f>
        <v/>
      </c>
      <c r="F74" s="15">
        <f>$B$12</f>
        <v/>
      </c>
      <c r="G74" s="15" t="n">
        <v>0</v>
      </c>
      <c r="H74" s="15">
        <f>MAX(E74-F74-G74, 0)</f>
        <v/>
      </c>
      <c r="I74" s="15">
        <f>H74*$B$7</f>
        <v/>
      </c>
      <c r="J74" s="15">
        <f>G74*(1-$B$10)</f>
        <v/>
      </c>
      <c r="K74" s="15">
        <f>G74*$B$10</f>
        <v/>
      </c>
      <c r="L74" s="15">
        <f>L73+K74</f>
        <v/>
      </c>
      <c r="M74" s="15">
        <f>B74+E74-F74-I74-J74</f>
        <v/>
      </c>
      <c r="N74" s="15">
        <f>M74-L74</f>
        <v/>
      </c>
    </row>
    <row r="75">
      <c r="A75" s="20" t="n">
        <v>4</v>
      </c>
      <c r="B75" s="15">
        <f>M74</f>
        <v/>
      </c>
      <c r="C75" s="15">
        <f>MIN(B75, $B$13)</f>
        <v/>
      </c>
      <c r="D75" s="15">
        <f>MAX(B75-C75, 0)</f>
        <v/>
      </c>
      <c r="E75" s="15">
        <f>C75*$B$6 + D75*$B$14</f>
        <v/>
      </c>
      <c r="F75" s="15">
        <f>$B$12</f>
        <v/>
      </c>
      <c r="G75" s="15" t="n">
        <v>0</v>
      </c>
      <c r="H75" s="15">
        <f>MAX(E75-F75-G75, 0)</f>
        <v/>
      </c>
      <c r="I75" s="15">
        <f>H75*$B$7</f>
        <v/>
      </c>
      <c r="J75" s="15">
        <f>G75*(1-$B$10)</f>
        <v/>
      </c>
      <c r="K75" s="15">
        <f>G75*$B$10</f>
        <v/>
      </c>
      <c r="L75" s="15">
        <f>L74+K75</f>
        <v/>
      </c>
      <c r="M75" s="15">
        <f>B75+E75-F75-I75-J75</f>
        <v/>
      </c>
      <c r="N75" s="15">
        <f>M75-L75</f>
        <v/>
      </c>
    </row>
    <row r="76">
      <c r="A76" s="20" t="n">
        <v>5</v>
      </c>
      <c r="B76" s="15">
        <f>M75</f>
        <v/>
      </c>
      <c r="C76" s="15">
        <f>MIN(B76, $B$13)</f>
        <v/>
      </c>
      <c r="D76" s="15">
        <f>MAX(B76-C76, 0)</f>
        <v/>
      </c>
      <c r="E76" s="15">
        <f>C76*$B$6 + D76*$B$14</f>
        <v/>
      </c>
      <c r="F76" s="15">
        <f>$B$12</f>
        <v/>
      </c>
      <c r="G76" s="15" t="n">
        <v>0</v>
      </c>
      <c r="H76" s="15">
        <f>MAX(E76-F76-G76, 0)</f>
        <v/>
      </c>
      <c r="I76" s="15">
        <f>H76*$B$7</f>
        <v/>
      </c>
      <c r="J76" s="15">
        <f>G76*(1-$B$10)</f>
        <v/>
      </c>
      <c r="K76" s="15">
        <f>G76*$B$10</f>
        <v/>
      </c>
      <c r="L76" s="15">
        <f>L75+K76</f>
        <v/>
      </c>
      <c r="M76" s="15">
        <f>B76+E76-F76-I76-J76</f>
        <v/>
      </c>
      <c r="N76" s="15">
        <f>M76-L76</f>
        <v/>
      </c>
    </row>
    <row r="77">
      <c r="A77" s="20" t="n">
        <v>6</v>
      </c>
      <c r="B77" s="15">
        <f>M76</f>
        <v/>
      </c>
      <c r="C77" s="15">
        <f>MIN(B77, $B$13)</f>
        <v/>
      </c>
      <c r="D77" s="15">
        <f>MAX(B77-C77, 0)</f>
        <v/>
      </c>
      <c r="E77" s="15">
        <f>C77*$B$6 + D77*$B$14</f>
        <v/>
      </c>
      <c r="F77" s="15">
        <f>$B$12</f>
        <v/>
      </c>
      <c r="G77" s="15" t="n">
        <v>0</v>
      </c>
      <c r="H77" s="15">
        <f>MAX(E77-F77-G77, 0)</f>
        <v/>
      </c>
      <c r="I77" s="15">
        <f>H77*$B$7</f>
        <v/>
      </c>
      <c r="J77" s="15">
        <f>G77*(1-$B$10)</f>
        <v/>
      </c>
      <c r="K77" s="15">
        <f>G77*$B$10</f>
        <v/>
      </c>
      <c r="L77" s="15">
        <f>L76+K77</f>
        <v/>
      </c>
      <c r="M77" s="15">
        <f>B77+E77-F77-I77-J77</f>
        <v/>
      </c>
      <c r="N77" s="15">
        <f>M77-L77</f>
        <v/>
      </c>
    </row>
    <row r="78">
      <c r="A78" s="20" t="n">
        <v>7</v>
      </c>
      <c r="B78" s="15">
        <f>M77</f>
        <v/>
      </c>
      <c r="C78" s="15">
        <f>MIN(B78, $B$13)</f>
        <v/>
      </c>
      <c r="D78" s="15">
        <f>MAX(B78-C78, 0)</f>
        <v/>
      </c>
      <c r="E78" s="15">
        <f>C78*$B$6 + D78*$B$14</f>
        <v/>
      </c>
      <c r="F78" s="15">
        <f>$B$12</f>
        <v/>
      </c>
      <c r="G78" s="15" t="n">
        <v>0</v>
      </c>
      <c r="H78" s="15">
        <f>MAX(E78-F78-G78, 0)</f>
        <v/>
      </c>
      <c r="I78" s="15">
        <f>H78*$B$7</f>
        <v/>
      </c>
      <c r="J78" s="15">
        <f>G78*(1-$B$10)</f>
        <v/>
      </c>
      <c r="K78" s="15">
        <f>G78*$B$10</f>
        <v/>
      </c>
      <c r="L78" s="15">
        <f>L77+K78</f>
        <v/>
      </c>
      <c r="M78" s="15">
        <f>B78+E78-F78-I78-J78</f>
        <v/>
      </c>
      <c r="N78" s="15">
        <f>M78-L78</f>
        <v/>
      </c>
    </row>
    <row r="79">
      <c r="A79" s="20" t="n">
        <v>8</v>
      </c>
      <c r="B79" s="15">
        <f>M78</f>
        <v/>
      </c>
      <c r="C79" s="15">
        <f>MIN(B79, $B$13)</f>
        <v/>
      </c>
      <c r="D79" s="15">
        <f>MAX(B79-C79, 0)</f>
        <v/>
      </c>
      <c r="E79" s="15">
        <f>C79*$B$6 + D79*$B$14</f>
        <v/>
      </c>
      <c r="F79" s="15">
        <f>$B$12</f>
        <v/>
      </c>
      <c r="G79" s="15" t="n">
        <v>0</v>
      </c>
      <c r="H79" s="15">
        <f>MAX(E79-F79-G79, 0)</f>
        <v/>
      </c>
      <c r="I79" s="15">
        <f>H79*$B$7</f>
        <v/>
      </c>
      <c r="J79" s="15">
        <f>G79*(1-$B$10)</f>
        <v/>
      </c>
      <c r="K79" s="15">
        <f>G79*$B$10</f>
        <v/>
      </c>
      <c r="L79" s="15">
        <f>L78+K79</f>
        <v/>
      </c>
      <c r="M79" s="15">
        <f>B79+E79-F79-I79-J79</f>
        <v/>
      </c>
      <c r="N79" s="15">
        <f>M79-L79</f>
        <v/>
      </c>
    </row>
    <row r="80">
      <c r="A80" s="20" t="n">
        <v>9</v>
      </c>
      <c r="B80" s="15">
        <f>M79</f>
        <v/>
      </c>
      <c r="C80" s="15">
        <f>MIN(B80, $B$13)</f>
        <v/>
      </c>
      <c r="D80" s="15">
        <f>MAX(B80-C80, 0)</f>
        <v/>
      </c>
      <c r="E80" s="15">
        <f>C80*$B$6 + D80*$B$14</f>
        <v/>
      </c>
      <c r="F80" s="15">
        <f>$B$12</f>
        <v/>
      </c>
      <c r="G80" s="15" t="n">
        <v>0</v>
      </c>
      <c r="H80" s="15">
        <f>MAX(E80-F80-G80, 0)</f>
        <v/>
      </c>
      <c r="I80" s="15">
        <f>H80*$B$7</f>
        <v/>
      </c>
      <c r="J80" s="15">
        <f>G80*(1-$B$10)</f>
        <v/>
      </c>
      <c r="K80" s="15">
        <f>G80*$B$10</f>
        <v/>
      </c>
      <c r="L80" s="15">
        <f>L79+K80</f>
        <v/>
      </c>
      <c r="M80" s="15">
        <f>B80+E80-F80-I80-J80</f>
        <v/>
      </c>
      <c r="N80" s="15">
        <f>M80-L80</f>
        <v/>
      </c>
    </row>
    <row r="81">
      <c r="A81" s="20" t="n">
        <v>10</v>
      </c>
      <c r="B81" s="15">
        <f>M80</f>
        <v/>
      </c>
      <c r="C81" s="15">
        <f>MIN(B81, $B$13)</f>
        <v/>
      </c>
      <c r="D81" s="15">
        <f>MAX(B81-C81, 0)</f>
        <v/>
      </c>
      <c r="E81" s="15">
        <f>C81*$B$6 + D81*$B$14</f>
        <v/>
      </c>
      <c r="F81" s="15">
        <f>$B$12</f>
        <v/>
      </c>
      <c r="G81" s="15" t="n">
        <v>0</v>
      </c>
      <c r="H81" s="15">
        <f>MAX(E81-F81-G81, 0)</f>
        <v/>
      </c>
      <c r="I81" s="15">
        <f>H81*$B$7</f>
        <v/>
      </c>
      <c r="J81" s="15">
        <f>G81*(1-$B$10)</f>
        <v/>
      </c>
      <c r="K81" s="15">
        <f>G81*$B$10</f>
        <v/>
      </c>
      <c r="L81" s="15">
        <f>L80+K81</f>
        <v/>
      </c>
      <c r="M81" s="15">
        <f>B81+E81-F81-I81-J81</f>
        <v/>
      </c>
      <c r="N81" s="15">
        <f>M81-L81</f>
        <v/>
      </c>
    </row>
    <row r="82">
      <c r="A82" s="20" t="n">
        <v>11</v>
      </c>
      <c r="B82" s="15">
        <f>M81</f>
        <v/>
      </c>
      <c r="C82" s="15">
        <f>MIN(B82, $B$13)</f>
        <v/>
      </c>
      <c r="D82" s="15">
        <f>MAX(B82-C82, 0)</f>
        <v/>
      </c>
      <c r="E82" s="15">
        <f>C82*$B$6 + D82*$B$14</f>
        <v/>
      </c>
      <c r="F82" s="15">
        <f>$B$12</f>
        <v/>
      </c>
      <c r="G82" s="15" t="n">
        <v>0</v>
      </c>
      <c r="H82" s="15">
        <f>MAX(E82-F82-G82, 0)</f>
        <v/>
      </c>
      <c r="I82" s="15">
        <f>H82*$B$7</f>
        <v/>
      </c>
      <c r="J82" s="15">
        <f>G82*(1-$B$10)</f>
        <v/>
      </c>
      <c r="K82" s="15">
        <f>G82*$B$10</f>
        <v/>
      </c>
      <c r="L82" s="15">
        <f>L81+K82</f>
        <v/>
      </c>
      <c r="M82" s="15">
        <f>B82+E82-F82-I82-J82</f>
        <v/>
      </c>
      <c r="N82" s="15">
        <f>M82-L82</f>
        <v/>
      </c>
    </row>
    <row r="83">
      <c r="A83" s="20" t="n">
        <v>12</v>
      </c>
      <c r="B83" s="15">
        <f>M82</f>
        <v/>
      </c>
      <c r="C83" s="15">
        <f>MIN(B83, $B$13)</f>
        <v/>
      </c>
      <c r="D83" s="15">
        <f>MAX(B83-C83, 0)</f>
        <v/>
      </c>
      <c r="E83" s="15">
        <f>C83*$B$6 + D83*$B$14</f>
        <v/>
      </c>
      <c r="F83" s="15">
        <f>$B$12</f>
        <v/>
      </c>
      <c r="G83" s="15" t="n">
        <v>0</v>
      </c>
      <c r="H83" s="15">
        <f>MAX(E83-F83-G83, 0)</f>
        <v/>
      </c>
      <c r="I83" s="15">
        <f>H83*$B$7</f>
        <v/>
      </c>
      <c r="J83" s="15">
        <f>G83*(1-$B$10)</f>
        <v/>
      </c>
      <c r="K83" s="15">
        <f>G83*$B$10</f>
        <v/>
      </c>
      <c r="L83" s="15">
        <f>L82+K83</f>
        <v/>
      </c>
      <c r="M83" s="15">
        <f>B83+E83-F83-I83-J83</f>
        <v/>
      </c>
      <c r="N83" s="15">
        <f>M83-L83</f>
        <v/>
      </c>
    </row>
    <row r="84">
      <c r="A84" s="20" t="n">
        <v>13</v>
      </c>
      <c r="B84" s="15">
        <f>M83</f>
        <v/>
      </c>
      <c r="C84" s="15">
        <f>MIN(B84, $B$13)</f>
        <v/>
      </c>
      <c r="D84" s="15">
        <f>MAX(B84-C84, 0)</f>
        <v/>
      </c>
      <c r="E84" s="15">
        <f>C84*$B$6 + D84*$B$14</f>
        <v/>
      </c>
      <c r="F84" s="15">
        <f>$B$12</f>
        <v/>
      </c>
      <c r="G84" s="15" t="n">
        <v>0</v>
      </c>
      <c r="H84" s="15">
        <f>MAX(E84-F84-G84, 0)</f>
        <v/>
      </c>
      <c r="I84" s="15">
        <f>H84*$B$7</f>
        <v/>
      </c>
      <c r="J84" s="15">
        <f>G84*(1-$B$10)</f>
        <v/>
      </c>
      <c r="K84" s="15">
        <f>G84*$B$10</f>
        <v/>
      </c>
      <c r="L84" s="15">
        <f>L83+K84</f>
        <v/>
      </c>
      <c r="M84" s="15">
        <f>B84+E84-F84-I84-J84</f>
        <v/>
      </c>
      <c r="N84" s="15">
        <f>M84-L84</f>
        <v/>
      </c>
    </row>
    <row r="85">
      <c r="A85" s="20" t="n">
        <v>14</v>
      </c>
      <c r="B85" s="15">
        <f>M84</f>
        <v/>
      </c>
      <c r="C85" s="15">
        <f>MIN(B85, $B$13)</f>
        <v/>
      </c>
      <c r="D85" s="15">
        <f>MAX(B85-C85, 0)</f>
        <v/>
      </c>
      <c r="E85" s="15">
        <f>C85*$B$6 + D85*$B$14</f>
        <v/>
      </c>
      <c r="F85" s="15">
        <f>$B$12</f>
        <v/>
      </c>
      <c r="G85" s="15" t="n">
        <v>0</v>
      </c>
      <c r="H85" s="15">
        <f>MAX(E85-F85-G85, 0)</f>
        <v/>
      </c>
      <c r="I85" s="15">
        <f>H85*$B$7</f>
        <v/>
      </c>
      <c r="J85" s="15">
        <f>G85*(1-$B$10)</f>
        <v/>
      </c>
      <c r="K85" s="15">
        <f>G85*$B$10</f>
        <v/>
      </c>
      <c r="L85" s="15">
        <f>L84+K85</f>
        <v/>
      </c>
      <c r="M85" s="15">
        <f>B85+E85-F85-I85-J85</f>
        <v/>
      </c>
      <c r="N85" s="15">
        <f>M85-L85</f>
        <v/>
      </c>
    </row>
    <row r="86">
      <c r="A86" s="20" t="n">
        <v>15</v>
      </c>
      <c r="B86" s="15">
        <f>M85</f>
        <v/>
      </c>
      <c r="C86" s="15">
        <f>MIN(B86, $B$13)</f>
        <v/>
      </c>
      <c r="D86" s="15">
        <f>MAX(B86-C86, 0)</f>
        <v/>
      </c>
      <c r="E86" s="15">
        <f>C86*$B$6 + D86*$B$14</f>
        <v/>
      </c>
      <c r="F86" s="15">
        <f>$B$12</f>
        <v/>
      </c>
      <c r="G86" s="15" t="n">
        <v>0</v>
      </c>
      <c r="H86" s="15">
        <f>MAX(E86-F86-G86, 0)</f>
        <v/>
      </c>
      <c r="I86" s="15">
        <f>H86*$B$7</f>
        <v/>
      </c>
      <c r="J86" s="15">
        <f>G86*(1-$B$10)</f>
        <v/>
      </c>
      <c r="K86" s="15">
        <f>G86*$B$10</f>
        <v/>
      </c>
      <c r="L86" s="15">
        <f>L85+K86</f>
        <v/>
      </c>
      <c r="M86" s="15">
        <f>B86+E86-F86-I86-J86</f>
        <v/>
      </c>
      <c r="N86" s="15">
        <f>M86-L86</f>
        <v/>
      </c>
    </row>
    <row r="87">
      <c r="A87" s="20" t="n">
        <v>16</v>
      </c>
      <c r="B87" s="15">
        <f>M86</f>
        <v/>
      </c>
      <c r="C87" s="15">
        <f>MIN(B87, $B$13)</f>
        <v/>
      </c>
      <c r="D87" s="15">
        <f>MAX(B87-C87, 0)</f>
        <v/>
      </c>
      <c r="E87" s="15">
        <f>C87*$B$6 + D87*$B$14</f>
        <v/>
      </c>
      <c r="F87" s="15">
        <f>$B$12</f>
        <v/>
      </c>
      <c r="G87" s="15" t="n">
        <v>0</v>
      </c>
      <c r="H87" s="15">
        <f>MAX(E87-F87-G87, 0)</f>
        <v/>
      </c>
      <c r="I87" s="15">
        <f>H87*$B$7</f>
        <v/>
      </c>
      <c r="J87" s="15">
        <f>G87*(1-$B$10)</f>
        <v/>
      </c>
      <c r="K87" s="15">
        <f>G87*$B$10</f>
        <v/>
      </c>
      <c r="L87" s="15">
        <f>L86+K87</f>
        <v/>
      </c>
      <c r="M87" s="15">
        <f>B87+E87-F87-I87-J87</f>
        <v/>
      </c>
      <c r="N87" s="15">
        <f>M87-L87</f>
        <v/>
      </c>
    </row>
    <row r="88">
      <c r="A88" s="20" t="n">
        <v>17</v>
      </c>
      <c r="B88" s="15">
        <f>M87</f>
        <v/>
      </c>
      <c r="C88" s="15">
        <f>MIN(B88, $B$13)</f>
        <v/>
      </c>
      <c r="D88" s="15">
        <f>MAX(B88-C88, 0)</f>
        <v/>
      </c>
      <c r="E88" s="15">
        <f>C88*$B$6 + D88*$B$14</f>
        <v/>
      </c>
      <c r="F88" s="15">
        <f>$B$12</f>
        <v/>
      </c>
      <c r="G88" s="15" t="n">
        <v>0</v>
      </c>
      <c r="H88" s="15">
        <f>MAX(E88-F88-G88, 0)</f>
        <v/>
      </c>
      <c r="I88" s="15">
        <f>H88*$B$7</f>
        <v/>
      </c>
      <c r="J88" s="15">
        <f>G88*(1-$B$10)</f>
        <v/>
      </c>
      <c r="K88" s="15">
        <f>G88*$B$10</f>
        <v/>
      </c>
      <c r="L88" s="15">
        <f>L87+K88</f>
        <v/>
      </c>
      <c r="M88" s="15">
        <f>B88+E88-F88-I88-J88</f>
        <v/>
      </c>
      <c r="N88" s="15">
        <f>M88-L88</f>
        <v/>
      </c>
    </row>
    <row r="89">
      <c r="A89" s="20" t="n">
        <v>18</v>
      </c>
      <c r="B89" s="15">
        <f>M88</f>
        <v/>
      </c>
      <c r="C89" s="15">
        <f>MIN(B89, $B$13)</f>
        <v/>
      </c>
      <c r="D89" s="15">
        <f>MAX(B89-C89, 0)</f>
        <v/>
      </c>
      <c r="E89" s="15">
        <f>C89*$B$6 + D89*$B$14</f>
        <v/>
      </c>
      <c r="F89" s="15">
        <f>$B$12</f>
        <v/>
      </c>
      <c r="G89" s="15" t="n">
        <v>0</v>
      </c>
      <c r="H89" s="15">
        <f>MAX(E89-F89-G89, 0)</f>
        <v/>
      </c>
      <c r="I89" s="15">
        <f>H89*$B$7</f>
        <v/>
      </c>
      <c r="J89" s="15">
        <f>G89*(1-$B$10)</f>
        <v/>
      </c>
      <c r="K89" s="15">
        <f>G89*$B$10</f>
        <v/>
      </c>
      <c r="L89" s="15">
        <f>L88+K89</f>
        <v/>
      </c>
      <c r="M89" s="15">
        <f>B89+E89-F89-I89-J89</f>
        <v/>
      </c>
      <c r="N89" s="15">
        <f>M89-L89</f>
        <v/>
      </c>
    </row>
    <row r="90">
      <c r="A90" s="20" t="n">
        <v>19</v>
      </c>
      <c r="B90" s="15">
        <f>M89</f>
        <v/>
      </c>
      <c r="C90" s="15">
        <f>MIN(B90, $B$13)</f>
        <v/>
      </c>
      <c r="D90" s="15">
        <f>MAX(B90-C90, 0)</f>
        <v/>
      </c>
      <c r="E90" s="15">
        <f>C90*$B$6 + D90*$B$14</f>
        <v/>
      </c>
      <c r="F90" s="15">
        <f>$B$12</f>
        <v/>
      </c>
      <c r="G90" s="15" t="n">
        <v>0</v>
      </c>
      <c r="H90" s="15">
        <f>MAX(E90-F90-G90, 0)</f>
        <v/>
      </c>
      <c r="I90" s="15">
        <f>H90*$B$7</f>
        <v/>
      </c>
      <c r="J90" s="15">
        <f>G90*(1-$B$10)</f>
        <v/>
      </c>
      <c r="K90" s="15">
        <f>G90*$B$10</f>
        <v/>
      </c>
      <c r="L90" s="15">
        <f>L89+K90</f>
        <v/>
      </c>
      <c r="M90" s="15">
        <f>B90+E90-F90-I90-J90</f>
        <v/>
      </c>
      <c r="N90" s="15">
        <f>M90-L90</f>
        <v/>
      </c>
    </row>
    <row r="91">
      <c r="A91" s="20" t="n">
        <v>20</v>
      </c>
      <c r="B91" s="15">
        <f>M90</f>
        <v/>
      </c>
      <c r="C91" s="15">
        <f>MIN(B91, $B$13)</f>
        <v/>
      </c>
      <c r="D91" s="15">
        <f>MAX(B91-C91, 0)</f>
        <v/>
      </c>
      <c r="E91" s="15">
        <f>C91*$B$6 + D91*$B$14</f>
        <v/>
      </c>
      <c r="F91" s="15">
        <f>$B$12</f>
        <v/>
      </c>
      <c r="G91" s="15" t="n">
        <v>0</v>
      </c>
      <c r="H91" s="15">
        <f>MAX(E91-F91-G91, 0)</f>
        <v/>
      </c>
      <c r="I91" s="15">
        <f>H91*$B$7</f>
        <v/>
      </c>
      <c r="J91" s="15">
        <f>G91*(1-$B$10)</f>
        <v/>
      </c>
      <c r="K91" s="15">
        <f>G91*$B$10</f>
        <v/>
      </c>
      <c r="L91" s="15">
        <f>L90+K91</f>
        <v/>
      </c>
      <c r="M91" s="15">
        <f>B91+E91-F91-I91-J91</f>
        <v/>
      </c>
      <c r="N91" s="15">
        <f>M91-L91</f>
        <v/>
      </c>
    </row>
    <row r="94">
      <c r="A94" s="3" t="inlineStr">
        <is>
          <t>COMPANY + 1 EMPLOYEE ROUTE</t>
        </is>
      </c>
    </row>
    <row r="95">
      <c r="A95" s="19" t="inlineStr">
        <is>
          <t>Year</t>
        </is>
      </c>
      <c r="B95" s="19" t="inlineStr">
        <is>
          <t>Opening</t>
        </is>
      </c>
      <c r="C95" s="19" t="inlineStr">
        <is>
          <t>Deployed</t>
        </is>
      </c>
      <c r="D95" s="19" t="inlineStr">
        <is>
          <t>Idle</t>
        </is>
      </c>
      <c r="E95" s="19" t="inlineStr">
        <is>
          <t>Profit</t>
        </is>
      </c>
      <c r="F95" s="19" t="inlineStr">
        <is>
          <t>Overhead</t>
        </is>
      </c>
      <c r="G95" s="19" t="inlineStr">
        <is>
          <t>Salary Paid</t>
        </is>
      </c>
      <c r="H95" s="19" t="inlineStr">
        <is>
          <t>Taxable Profit</t>
        </is>
      </c>
      <c r="I95" s="19" t="inlineStr">
        <is>
          <t>Income Tax</t>
        </is>
      </c>
      <c r="J95" s="19" t="inlineStr">
        <is>
          <t>Not Lent Back</t>
        </is>
      </c>
      <c r="K95" s="19" t="inlineStr">
        <is>
          <t>New Loan</t>
        </is>
      </c>
      <c r="L95" s="19" t="inlineStr">
        <is>
          <t>Loans Outstanding</t>
        </is>
      </c>
      <c r="M95" s="19" t="inlineStr">
        <is>
          <t>Closing Capital</t>
        </is>
      </c>
      <c r="N95" s="19" t="inlineStr">
        <is>
          <t>Net Equity (Closing - Loans)</t>
        </is>
      </c>
    </row>
    <row r="96">
      <c r="A96" s="20" t="n">
        <v>0</v>
      </c>
      <c r="B96" s="15">
        <f>$B$5</f>
        <v/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15">
        <f>$B$5</f>
        <v/>
      </c>
      <c r="N96" s="15">
        <f>$B$5</f>
        <v/>
      </c>
    </row>
    <row r="97">
      <c r="A97" s="20" t="n">
        <v>1</v>
      </c>
      <c r="B97" s="15">
        <f>M96</f>
        <v/>
      </c>
      <c r="C97" s="15">
        <f>MIN(B97, $B$13)</f>
        <v/>
      </c>
      <c r="D97" s="15">
        <f>MAX(B97-C97, 0)</f>
        <v/>
      </c>
      <c r="E97" s="15">
        <f>C97*$B$6 + D97*$B$14</f>
        <v/>
      </c>
      <c r="F97" s="15">
        <f>$B$12</f>
        <v/>
      </c>
      <c r="G97" s="15">
        <f>IF($B$7&gt;0, MIN(1*$B$9, $B$11*MAX(E97-F97, 0)), 0)</f>
        <v/>
      </c>
      <c r="H97" s="15">
        <f>MAX(E97-F97-G97, 0)</f>
        <v/>
      </c>
      <c r="I97" s="15">
        <f>H97*$B$7</f>
        <v/>
      </c>
      <c r="J97" s="15">
        <f>G97*(1-$B$10)</f>
        <v/>
      </c>
      <c r="K97" s="15">
        <f>G97*$B$10</f>
        <v/>
      </c>
      <c r="L97" s="15">
        <f>L96+K97</f>
        <v/>
      </c>
      <c r="M97" s="15">
        <f>B97+E97-F97-I97-J97</f>
        <v/>
      </c>
      <c r="N97" s="15">
        <f>M97-L97</f>
        <v/>
      </c>
    </row>
    <row r="98">
      <c r="A98" s="20" t="n">
        <v>2</v>
      </c>
      <c r="B98" s="15">
        <f>M97</f>
        <v/>
      </c>
      <c r="C98" s="15">
        <f>MIN(B98, $B$13)</f>
        <v/>
      </c>
      <c r="D98" s="15">
        <f>MAX(B98-C98, 0)</f>
        <v/>
      </c>
      <c r="E98" s="15">
        <f>C98*$B$6 + D98*$B$14</f>
        <v/>
      </c>
      <c r="F98" s="15">
        <f>$B$12</f>
        <v/>
      </c>
      <c r="G98" s="15">
        <f>IF($B$7&gt;0, MIN(1*$B$9, $B$11*MAX(E98-F98, 0)), 0)</f>
        <v/>
      </c>
      <c r="H98" s="15">
        <f>MAX(E98-F98-G98, 0)</f>
        <v/>
      </c>
      <c r="I98" s="15">
        <f>H98*$B$7</f>
        <v/>
      </c>
      <c r="J98" s="15">
        <f>G98*(1-$B$10)</f>
        <v/>
      </c>
      <c r="K98" s="15">
        <f>G98*$B$10</f>
        <v/>
      </c>
      <c r="L98" s="15">
        <f>L97+K98</f>
        <v/>
      </c>
      <c r="M98" s="15">
        <f>B98+E98-F98-I98-J98</f>
        <v/>
      </c>
      <c r="N98" s="15">
        <f>M98-L98</f>
        <v/>
      </c>
    </row>
    <row r="99">
      <c r="A99" s="20" t="n">
        <v>3</v>
      </c>
      <c r="B99" s="15">
        <f>M98</f>
        <v/>
      </c>
      <c r="C99" s="15">
        <f>MIN(B99, $B$13)</f>
        <v/>
      </c>
      <c r="D99" s="15">
        <f>MAX(B99-C99, 0)</f>
        <v/>
      </c>
      <c r="E99" s="15">
        <f>C99*$B$6 + D99*$B$14</f>
        <v/>
      </c>
      <c r="F99" s="15">
        <f>$B$12</f>
        <v/>
      </c>
      <c r="G99" s="15">
        <f>IF($B$7&gt;0, MIN(1*$B$9, $B$11*MAX(E99-F99, 0)), 0)</f>
        <v/>
      </c>
      <c r="H99" s="15">
        <f>MAX(E99-F99-G99, 0)</f>
        <v/>
      </c>
      <c r="I99" s="15">
        <f>H99*$B$7</f>
        <v/>
      </c>
      <c r="J99" s="15">
        <f>G99*(1-$B$10)</f>
        <v/>
      </c>
      <c r="K99" s="15">
        <f>G99*$B$10</f>
        <v/>
      </c>
      <c r="L99" s="15">
        <f>L98+K99</f>
        <v/>
      </c>
      <c r="M99" s="15">
        <f>B99+E99-F99-I99-J99</f>
        <v/>
      </c>
      <c r="N99" s="15">
        <f>M99-L99</f>
        <v/>
      </c>
    </row>
    <row r="100">
      <c r="A100" s="20" t="n">
        <v>4</v>
      </c>
      <c r="B100" s="15">
        <f>M99</f>
        <v/>
      </c>
      <c r="C100" s="15">
        <f>MIN(B100, $B$13)</f>
        <v/>
      </c>
      <c r="D100" s="15">
        <f>MAX(B100-C100, 0)</f>
        <v/>
      </c>
      <c r="E100" s="15">
        <f>C100*$B$6 + D100*$B$14</f>
        <v/>
      </c>
      <c r="F100" s="15">
        <f>$B$12</f>
        <v/>
      </c>
      <c r="G100" s="15">
        <f>IF($B$7&gt;0, MIN(1*$B$9, $B$11*MAX(E100-F100, 0)), 0)</f>
        <v/>
      </c>
      <c r="H100" s="15">
        <f>MAX(E100-F100-G100, 0)</f>
        <v/>
      </c>
      <c r="I100" s="15">
        <f>H100*$B$7</f>
        <v/>
      </c>
      <c r="J100" s="15">
        <f>G100*(1-$B$10)</f>
        <v/>
      </c>
      <c r="K100" s="15">
        <f>G100*$B$10</f>
        <v/>
      </c>
      <c r="L100" s="15">
        <f>L99+K100</f>
        <v/>
      </c>
      <c r="M100" s="15">
        <f>B100+E100-F100-I100-J100</f>
        <v/>
      </c>
      <c r="N100" s="15">
        <f>M100-L100</f>
        <v/>
      </c>
    </row>
    <row r="101">
      <c r="A101" s="20" t="n">
        <v>5</v>
      </c>
      <c r="B101" s="15">
        <f>M100</f>
        <v/>
      </c>
      <c r="C101" s="15">
        <f>MIN(B101, $B$13)</f>
        <v/>
      </c>
      <c r="D101" s="15">
        <f>MAX(B101-C101, 0)</f>
        <v/>
      </c>
      <c r="E101" s="15">
        <f>C101*$B$6 + D101*$B$14</f>
        <v/>
      </c>
      <c r="F101" s="15">
        <f>$B$12</f>
        <v/>
      </c>
      <c r="G101" s="15">
        <f>IF($B$7&gt;0, MIN(1*$B$9, $B$11*MAX(E101-F101, 0)), 0)</f>
        <v/>
      </c>
      <c r="H101" s="15">
        <f>MAX(E101-F101-G101, 0)</f>
        <v/>
      </c>
      <c r="I101" s="15">
        <f>H101*$B$7</f>
        <v/>
      </c>
      <c r="J101" s="15">
        <f>G101*(1-$B$10)</f>
        <v/>
      </c>
      <c r="K101" s="15">
        <f>G101*$B$10</f>
        <v/>
      </c>
      <c r="L101" s="15">
        <f>L100+K101</f>
        <v/>
      </c>
      <c r="M101" s="15">
        <f>B101+E101-F101-I101-J101</f>
        <v/>
      </c>
      <c r="N101" s="15">
        <f>M101-L101</f>
        <v/>
      </c>
    </row>
    <row r="102">
      <c r="A102" s="20" t="n">
        <v>6</v>
      </c>
      <c r="B102" s="15">
        <f>M101</f>
        <v/>
      </c>
      <c r="C102" s="15">
        <f>MIN(B102, $B$13)</f>
        <v/>
      </c>
      <c r="D102" s="15">
        <f>MAX(B102-C102, 0)</f>
        <v/>
      </c>
      <c r="E102" s="15">
        <f>C102*$B$6 + D102*$B$14</f>
        <v/>
      </c>
      <c r="F102" s="15">
        <f>$B$12</f>
        <v/>
      </c>
      <c r="G102" s="15">
        <f>IF($B$7&gt;0, MIN(1*$B$9, $B$11*MAX(E102-F102, 0)), 0)</f>
        <v/>
      </c>
      <c r="H102" s="15">
        <f>MAX(E102-F102-G102, 0)</f>
        <v/>
      </c>
      <c r="I102" s="15">
        <f>H102*$B$7</f>
        <v/>
      </c>
      <c r="J102" s="15">
        <f>G102*(1-$B$10)</f>
        <v/>
      </c>
      <c r="K102" s="15">
        <f>G102*$B$10</f>
        <v/>
      </c>
      <c r="L102" s="15">
        <f>L101+K102</f>
        <v/>
      </c>
      <c r="M102" s="15">
        <f>B102+E102-F102-I102-J102</f>
        <v/>
      </c>
      <c r="N102" s="15">
        <f>M102-L102</f>
        <v/>
      </c>
    </row>
    <row r="103">
      <c r="A103" s="20" t="n">
        <v>7</v>
      </c>
      <c r="B103" s="15">
        <f>M102</f>
        <v/>
      </c>
      <c r="C103" s="15">
        <f>MIN(B103, $B$13)</f>
        <v/>
      </c>
      <c r="D103" s="15">
        <f>MAX(B103-C103, 0)</f>
        <v/>
      </c>
      <c r="E103" s="15">
        <f>C103*$B$6 + D103*$B$14</f>
        <v/>
      </c>
      <c r="F103" s="15">
        <f>$B$12</f>
        <v/>
      </c>
      <c r="G103" s="15">
        <f>IF($B$7&gt;0, MIN(1*$B$9, $B$11*MAX(E103-F103, 0)), 0)</f>
        <v/>
      </c>
      <c r="H103" s="15">
        <f>MAX(E103-F103-G103, 0)</f>
        <v/>
      </c>
      <c r="I103" s="15">
        <f>H103*$B$7</f>
        <v/>
      </c>
      <c r="J103" s="15">
        <f>G103*(1-$B$10)</f>
        <v/>
      </c>
      <c r="K103" s="15">
        <f>G103*$B$10</f>
        <v/>
      </c>
      <c r="L103" s="15">
        <f>L102+K103</f>
        <v/>
      </c>
      <c r="M103" s="15">
        <f>B103+E103-F103-I103-J103</f>
        <v/>
      </c>
      <c r="N103" s="15">
        <f>M103-L103</f>
        <v/>
      </c>
    </row>
    <row r="104">
      <c r="A104" s="20" t="n">
        <v>8</v>
      </c>
      <c r="B104" s="15">
        <f>M103</f>
        <v/>
      </c>
      <c r="C104" s="15">
        <f>MIN(B104, $B$13)</f>
        <v/>
      </c>
      <c r="D104" s="15">
        <f>MAX(B104-C104, 0)</f>
        <v/>
      </c>
      <c r="E104" s="15">
        <f>C104*$B$6 + D104*$B$14</f>
        <v/>
      </c>
      <c r="F104" s="15">
        <f>$B$12</f>
        <v/>
      </c>
      <c r="G104" s="15">
        <f>IF($B$7&gt;0, MIN(1*$B$9, $B$11*MAX(E104-F104, 0)), 0)</f>
        <v/>
      </c>
      <c r="H104" s="15">
        <f>MAX(E104-F104-G104, 0)</f>
        <v/>
      </c>
      <c r="I104" s="15">
        <f>H104*$B$7</f>
        <v/>
      </c>
      <c r="J104" s="15">
        <f>G104*(1-$B$10)</f>
        <v/>
      </c>
      <c r="K104" s="15">
        <f>G104*$B$10</f>
        <v/>
      </c>
      <c r="L104" s="15">
        <f>L103+K104</f>
        <v/>
      </c>
      <c r="M104" s="15">
        <f>B104+E104-F104-I104-J104</f>
        <v/>
      </c>
      <c r="N104" s="15">
        <f>M104-L104</f>
        <v/>
      </c>
    </row>
    <row r="105">
      <c r="A105" s="20" t="n">
        <v>9</v>
      </c>
      <c r="B105" s="15">
        <f>M104</f>
        <v/>
      </c>
      <c r="C105" s="15">
        <f>MIN(B105, $B$13)</f>
        <v/>
      </c>
      <c r="D105" s="15">
        <f>MAX(B105-C105, 0)</f>
        <v/>
      </c>
      <c r="E105" s="15">
        <f>C105*$B$6 + D105*$B$14</f>
        <v/>
      </c>
      <c r="F105" s="15">
        <f>$B$12</f>
        <v/>
      </c>
      <c r="G105" s="15">
        <f>IF($B$7&gt;0, MIN(1*$B$9, $B$11*MAX(E105-F105, 0)), 0)</f>
        <v/>
      </c>
      <c r="H105" s="15">
        <f>MAX(E105-F105-G105, 0)</f>
        <v/>
      </c>
      <c r="I105" s="15">
        <f>H105*$B$7</f>
        <v/>
      </c>
      <c r="J105" s="15">
        <f>G105*(1-$B$10)</f>
        <v/>
      </c>
      <c r="K105" s="15">
        <f>G105*$B$10</f>
        <v/>
      </c>
      <c r="L105" s="15">
        <f>L104+K105</f>
        <v/>
      </c>
      <c r="M105" s="15">
        <f>B105+E105-F105-I105-J105</f>
        <v/>
      </c>
      <c r="N105" s="15">
        <f>M105-L105</f>
        <v/>
      </c>
    </row>
    <row r="106">
      <c r="A106" s="20" t="n">
        <v>10</v>
      </c>
      <c r="B106" s="15">
        <f>M105</f>
        <v/>
      </c>
      <c r="C106" s="15">
        <f>MIN(B106, $B$13)</f>
        <v/>
      </c>
      <c r="D106" s="15">
        <f>MAX(B106-C106, 0)</f>
        <v/>
      </c>
      <c r="E106" s="15">
        <f>C106*$B$6 + D106*$B$14</f>
        <v/>
      </c>
      <c r="F106" s="15">
        <f>$B$12</f>
        <v/>
      </c>
      <c r="G106" s="15">
        <f>IF($B$7&gt;0, MIN(1*$B$9, $B$11*MAX(E106-F106, 0)), 0)</f>
        <v/>
      </c>
      <c r="H106" s="15">
        <f>MAX(E106-F106-G106, 0)</f>
        <v/>
      </c>
      <c r="I106" s="15">
        <f>H106*$B$7</f>
        <v/>
      </c>
      <c r="J106" s="15">
        <f>G106*(1-$B$10)</f>
        <v/>
      </c>
      <c r="K106" s="15">
        <f>G106*$B$10</f>
        <v/>
      </c>
      <c r="L106" s="15">
        <f>L105+K106</f>
        <v/>
      </c>
      <c r="M106" s="15">
        <f>B106+E106-F106-I106-J106</f>
        <v/>
      </c>
      <c r="N106" s="15">
        <f>M106-L106</f>
        <v/>
      </c>
    </row>
    <row r="107">
      <c r="A107" s="20" t="n">
        <v>11</v>
      </c>
      <c r="B107" s="15">
        <f>M106</f>
        <v/>
      </c>
      <c r="C107" s="15">
        <f>MIN(B107, $B$13)</f>
        <v/>
      </c>
      <c r="D107" s="15">
        <f>MAX(B107-C107, 0)</f>
        <v/>
      </c>
      <c r="E107" s="15">
        <f>C107*$B$6 + D107*$B$14</f>
        <v/>
      </c>
      <c r="F107" s="15">
        <f>$B$12</f>
        <v/>
      </c>
      <c r="G107" s="15">
        <f>IF($B$7&gt;0, MIN(1*$B$9, $B$11*MAX(E107-F107, 0)), 0)</f>
        <v/>
      </c>
      <c r="H107" s="15">
        <f>MAX(E107-F107-G107, 0)</f>
        <v/>
      </c>
      <c r="I107" s="15">
        <f>H107*$B$7</f>
        <v/>
      </c>
      <c r="J107" s="15">
        <f>G107*(1-$B$10)</f>
        <v/>
      </c>
      <c r="K107" s="15">
        <f>G107*$B$10</f>
        <v/>
      </c>
      <c r="L107" s="15">
        <f>L106+K107</f>
        <v/>
      </c>
      <c r="M107" s="15">
        <f>B107+E107-F107-I107-J107</f>
        <v/>
      </c>
      <c r="N107" s="15">
        <f>M107-L107</f>
        <v/>
      </c>
    </row>
    <row r="108">
      <c r="A108" s="20" t="n">
        <v>12</v>
      </c>
      <c r="B108" s="15">
        <f>M107</f>
        <v/>
      </c>
      <c r="C108" s="15">
        <f>MIN(B108, $B$13)</f>
        <v/>
      </c>
      <c r="D108" s="15">
        <f>MAX(B108-C108, 0)</f>
        <v/>
      </c>
      <c r="E108" s="15">
        <f>C108*$B$6 + D108*$B$14</f>
        <v/>
      </c>
      <c r="F108" s="15">
        <f>$B$12</f>
        <v/>
      </c>
      <c r="G108" s="15">
        <f>IF($B$7&gt;0, MIN(1*$B$9, $B$11*MAX(E108-F108, 0)), 0)</f>
        <v/>
      </c>
      <c r="H108" s="15">
        <f>MAX(E108-F108-G108, 0)</f>
        <v/>
      </c>
      <c r="I108" s="15">
        <f>H108*$B$7</f>
        <v/>
      </c>
      <c r="J108" s="15">
        <f>G108*(1-$B$10)</f>
        <v/>
      </c>
      <c r="K108" s="15">
        <f>G108*$B$10</f>
        <v/>
      </c>
      <c r="L108" s="15">
        <f>L107+K108</f>
        <v/>
      </c>
      <c r="M108" s="15">
        <f>B108+E108-F108-I108-J108</f>
        <v/>
      </c>
      <c r="N108" s="15">
        <f>M108-L108</f>
        <v/>
      </c>
    </row>
    <row r="109">
      <c r="A109" s="20" t="n">
        <v>13</v>
      </c>
      <c r="B109" s="15">
        <f>M108</f>
        <v/>
      </c>
      <c r="C109" s="15">
        <f>MIN(B109, $B$13)</f>
        <v/>
      </c>
      <c r="D109" s="15">
        <f>MAX(B109-C109, 0)</f>
        <v/>
      </c>
      <c r="E109" s="15">
        <f>C109*$B$6 + D109*$B$14</f>
        <v/>
      </c>
      <c r="F109" s="15">
        <f>$B$12</f>
        <v/>
      </c>
      <c r="G109" s="15">
        <f>IF($B$7&gt;0, MIN(1*$B$9, $B$11*MAX(E109-F109, 0)), 0)</f>
        <v/>
      </c>
      <c r="H109" s="15">
        <f>MAX(E109-F109-G109, 0)</f>
        <v/>
      </c>
      <c r="I109" s="15">
        <f>H109*$B$7</f>
        <v/>
      </c>
      <c r="J109" s="15">
        <f>G109*(1-$B$10)</f>
        <v/>
      </c>
      <c r="K109" s="15">
        <f>G109*$B$10</f>
        <v/>
      </c>
      <c r="L109" s="15">
        <f>L108+K109</f>
        <v/>
      </c>
      <c r="M109" s="15">
        <f>B109+E109-F109-I109-J109</f>
        <v/>
      </c>
      <c r="N109" s="15">
        <f>M109-L109</f>
        <v/>
      </c>
    </row>
    <row r="110">
      <c r="A110" s="20" t="n">
        <v>14</v>
      </c>
      <c r="B110" s="15">
        <f>M109</f>
        <v/>
      </c>
      <c r="C110" s="15">
        <f>MIN(B110, $B$13)</f>
        <v/>
      </c>
      <c r="D110" s="15">
        <f>MAX(B110-C110, 0)</f>
        <v/>
      </c>
      <c r="E110" s="15">
        <f>C110*$B$6 + D110*$B$14</f>
        <v/>
      </c>
      <c r="F110" s="15">
        <f>$B$12</f>
        <v/>
      </c>
      <c r="G110" s="15">
        <f>IF($B$7&gt;0, MIN(1*$B$9, $B$11*MAX(E110-F110, 0)), 0)</f>
        <v/>
      </c>
      <c r="H110" s="15">
        <f>MAX(E110-F110-G110, 0)</f>
        <v/>
      </c>
      <c r="I110" s="15">
        <f>H110*$B$7</f>
        <v/>
      </c>
      <c r="J110" s="15">
        <f>G110*(1-$B$10)</f>
        <v/>
      </c>
      <c r="K110" s="15">
        <f>G110*$B$10</f>
        <v/>
      </c>
      <c r="L110" s="15">
        <f>L109+K110</f>
        <v/>
      </c>
      <c r="M110" s="15">
        <f>B110+E110-F110-I110-J110</f>
        <v/>
      </c>
      <c r="N110" s="15">
        <f>M110-L110</f>
        <v/>
      </c>
    </row>
    <row r="111">
      <c r="A111" s="20" t="n">
        <v>15</v>
      </c>
      <c r="B111" s="15">
        <f>M110</f>
        <v/>
      </c>
      <c r="C111" s="15">
        <f>MIN(B111, $B$13)</f>
        <v/>
      </c>
      <c r="D111" s="15">
        <f>MAX(B111-C111, 0)</f>
        <v/>
      </c>
      <c r="E111" s="15">
        <f>C111*$B$6 + D111*$B$14</f>
        <v/>
      </c>
      <c r="F111" s="15">
        <f>$B$12</f>
        <v/>
      </c>
      <c r="G111" s="15">
        <f>IF($B$7&gt;0, MIN(1*$B$9, $B$11*MAX(E111-F111, 0)), 0)</f>
        <v/>
      </c>
      <c r="H111" s="15">
        <f>MAX(E111-F111-G111, 0)</f>
        <v/>
      </c>
      <c r="I111" s="15">
        <f>H111*$B$7</f>
        <v/>
      </c>
      <c r="J111" s="15">
        <f>G111*(1-$B$10)</f>
        <v/>
      </c>
      <c r="K111" s="15">
        <f>G111*$B$10</f>
        <v/>
      </c>
      <c r="L111" s="15">
        <f>L110+K111</f>
        <v/>
      </c>
      <c r="M111" s="15">
        <f>B111+E111-F111-I111-J111</f>
        <v/>
      </c>
      <c r="N111" s="15">
        <f>M111-L111</f>
        <v/>
      </c>
    </row>
    <row r="112">
      <c r="A112" s="20" t="n">
        <v>16</v>
      </c>
      <c r="B112" s="15">
        <f>M111</f>
        <v/>
      </c>
      <c r="C112" s="15">
        <f>MIN(B112, $B$13)</f>
        <v/>
      </c>
      <c r="D112" s="15">
        <f>MAX(B112-C112, 0)</f>
        <v/>
      </c>
      <c r="E112" s="15">
        <f>C112*$B$6 + D112*$B$14</f>
        <v/>
      </c>
      <c r="F112" s="15">
        <f>$B$12</f>
        <v/>
      </c>
      <c r="G112" s="15">
        <f>IF($B$7&gt;0, MIN(1*$B$9, $B$11*MAX(E112-F112, 0)), 0)</f>
        <v/>
      </c>
      <c r="H112" s="15">
        <f>MAX(E112-F112-G112, 0)</f>
        <v/>
      </c>
      <c r="I112" s="15">
        <f>H112*$B$7</f>
        <v/>
      </c>
      <c r="J112" s="15">
        <f>G112*(1-$B$10)</f>
        <v/>
      </c>
      <c r="K112" s="15">
        <f>G112*$B$10</f>
        <v/>
      </c>
      <c r="L112" s="15">
        <f>L111+K112</f>
        <v/>
      </c>
      <c r="M112" s="15">
        <f>B112+E112-F112-I112-J112</f>
        <v/>
      </c>
      <c r="N112" s="15">
        <f>M112-L112</f>
        <v/>
      </c>
    </row>
    <row r="113">
      <c r="A113" s="20" t="n">
        <v>17</v>
      </c>
      <c r="B113" s="15">
        <f>M112</f>
        <v/>
      </c>
      <c r="C113" s="15">
        <f>MIN(B113, $B$13)</f>
        <v/>
      </c>
      <c r="D113" s="15">
        <f>MAX(B113-C113, 0)</f>
        <v/>
      </c>
      <c r="E113" s="15">
        <f>C113*$B$6 + D113*$B$14</f>
        <v/>
      </c>
      <c r="F113" s="15">
        <f>$B$12</f>
        <v/>
      </c>
      <c r="G113" s="15">
        <f>IF($B$7&gt;0, MIN(1*$B$9, $B$11*MAX(E113-F113, 0)), 0)</f>
        <v/>
      </c>
      <c r="H113" s="15">
        <f>MAX(E113-F113-G113, 0)</f>
        <v/>
      </c>
      <c r="I113" s="15">
        <f>H113*$B$7</f>
        <v/>
      </c>
      <c r="J113" s="15">
        <f>G113*(1-$B$10)</f>
        <v/>
      </c>
      <c r="K113" s="15">
        <f>G113*$B$10</f>
        <v/>
      </c>
      <c r="L113" s="15">
        <f>L112+K113</f>
        <v/>
      </c>
      <c r="M113" s="15">
        <f>B113+E113-F113-I113-J113</f>
        <v/>
      </c>
      <c r="N113" s="15">
        <f>M113-L113</f>
        <v/>
      </c>
    </row>
    <row r="114">
      <c r="A114" s="20" t="n">
        <v>18</v>
      </c>
      <c r="B114" s="15">
        <f>M113</f>
        <v/>
      </c>
      <c r="C114" s="15">
        <f>MIN(B114, $B$13)</f>
        <v/>
      </c>
      <c r="D114" s="15">
        <f>MAX(B114-C114, 0)</f>
        <v/>
      </c>
      <c r="E114" s="15">
        <f>C114*$B$6 + D114*$B$14</f>
        <v/>
      </c>
      <c r="F114" s="15">
        <f>$B$12</f>
        <v/>
      </c>
      <c r="G114" s="15">
        <f>IF($B$7&gt;0, MIN(1*$B$9, $B$11*MAX(E114-F114, 0)), 0)</f>
        <v/>
      </c>
      <c r="H114" s="15">
        <f>MAX(E114-F114-G114, 0)</f>
        <v/>
      </c>
      <c r="I114" s="15">
        <f>H114*$B$7</f>
        <v/>
      </c>
      <c r="J114" s="15">
        <f>G114*(1-$B$10)</f>
        <v/>
      </c>
      <c r="K114" s="15">
        <f>G114*$B$10</f>
        <v/>
      </c>
      <c r="L114" s="15">
        <f>L113+K114</f>
        <v/>
      </c>
      <c r="M114" s="15">
        <f>B114+E114-F114-I114-J114</f>
        <v/>
      </c>
      <c r="N114" s="15">
        <f>M114-L114</f>
        <v/>
      </c>
    </row>
    <row r="115">
      <c r="A115" s="20" t="n">
        <v>19</v>
      </c>
      <c r="B115" s="15">
        <f>M114</f>
        <v/>
      </c>
      <c r="C115" s="15">
        <f>MIN(B115, $B$13)</f>
        <v/>
      </c>
      <c r="D115" s="15">
        <f>MAX(B115-C115, 0)</f>
        <v/>
      </c>
      <c r="E115" s="15">
        <f>C115*$B$6 + D115*$B$14</f>
        <v/>
      </c>
      <c r="F115" s="15">
        <f>$B$12</f>
        <v/>
      </c>
      <c r="G115" s="15">
        <f>IF($B$7&gt;0, MIN(1*$B$9, $B$11*MAX(E115-F115, 0)), 0)</f>
        <v/>
      </c>
      <c r="H115" s="15">
        <f>MAX(E115-F115-G115, 0)</f>
        <v/>
      </c>
      <c r="I115" s="15">
        <f>H115*$B$7</f>
        <v/>
      </c>
      <c r="J115" s="15">
        <f>G115*(1-$B$10)</f>
        <v/>
      </c>
      <c r="K115" s="15">
        <f>G115*$B$10</f>
        <v/>
      </c>
      <c r="L115" s="15">
        <f>L114+K115</f>
        <v/>
      </c>
      <c r="M115" s="15">
        <f>B115+E115-F115-I115-J115</f>
        <v/>
      </c>
      <c r="N115" s="15">
        <f>M115-L115</f>
        <v/>
      </c>
    </row>
    <row r="116">
      <c r="A116" s="20" t="n">
        <v>20</v>
      </c>
      <c r="B116" s="15">
        <f>M115</f>
        <v/>
      </c>
      <c r="C116" s="15">
        <f>MIN(B116, $B$13)</f>
        <v/>
      </c>
      <c r="D116" s="15">
        <f>MAX(B116-C116, 0)</f>
        <v/>
      </c>
      <c r="E116" s="15">
        <f>C116*$B$6 + D116*$B$14</f>
        <v/>
      </c>
      <c r="F116" s="15">
        <f>$B$12</f>
        <v/>
      </c>
      <c r="G116" s="15">
        <f>IF($B$7&gt;0, MIN(1*$B$9, $B$11*MAX(E116-F116, 0)), 0)</f>
        <v/>
      </c>
      <c r="H116" s="15">
        <f>MAX(E116-F116-G116, 0)</f>
        <v/>
      </c>
      <c r="I116" s="15">
        <f>H116*$B$7</f>
        <v/>
      </c>
      <c r="J116" s="15">
        <f>G116*(1-$B$10)</f>
        <v/>
      </c>
      <c r="K116" s="15">
        <f>G116*$B$10</f>
        <v/>
      </c>
      <c r="L116" s="15">
        <f>L115+K116</f>
        <v/>
      </c>
      <c r="M116" s="15">
        <f>B116+E116-F116-I116-J116</f>
        <v/>
      </c>
      <c r="N116" s="15">
        <f>M116-L116</f>
        <v/>
      </c>
    </row>
    <row r="119">
      <c r="A119" s="3" t="inlineStr">
        <is>
          <t>COMPANY + 2 EMPLOYEES ROUTE</t>
        </is>
      </c>
    </row>
    <row r="120">
      <c r="A120" s="19" t="inlineStr">
        <is>
          <t>Year</t>
        </is>
      </c>
      <c r="B120" s="19" t="inlineStr">
        <is>
          <t>Opening</t>
        </is>
      </c>
      <c r="C120" s="19" t="inlineStr">
        <is>
          <t>Deployed</t>
        </is>
      </c>
      <c r="D120" s="19" t="inlineStr">
        <is>
          <t>Idle</t>
        </is>
      </c>
      <c r="E120" s="19" t="inlineStr">
        <is>
          <t>Profit</t>
        </is>
      </c>
      <c r="F120" s="19" t="inlineStr">
        <is>
          <t>Overhead</t>
        </is>
      </c>
      <c r="G120" s="19" t="inlineStr">
        <is>
          <t>Salary Paid</t>
        </is>
      </c>
      <c r="H120" s="19" t="inlineStr">
        <is>
          <t>Taxable Profit</t>
        </is>
      </c>
      <c r="I120" s="19" t="inlineStr">
        <is>
          <t>Income Tax</t>
        </is>
      </c>
      <c r="J120" s="19" t="inlineStr">
        <is>
          <t>Not Lent Back</t>
        </is>
      </c>
      <c r="K120" s="19" t="inlineStr">
        <is>
          <t>New Loan</t>
        </is>
      </c>
      <c r="L120" s="19" t="inlineStr">
        <is>
          <t>Loans Outstanding</t>
        </is>
      </c>
      <c r="M120" s="19" t="inlineStr">
        <is>
          <t>Closing Capital</t>
        </is>
      </c>
      <c r="N120" s="19" t="inlineStr">
        <is>
          <t>Net Equity (Closing - Loans)</t>
        </is>
      </c>
    </row>
    <row r="121">
      <c r="A121" s="20" t="n">
        <v>0</v>
      </c>
      <c r="B121" s="15">
        <f>$B$5</f>
        <v/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15">
        <f>$B$5</f>
        <v/>
      </c>
      <c r="N121" s="15">
        <f>$B$5</f>
        <v/>
      </c>
    </row>
    <row r="122">
      <c r="A122" s="20" t="n">
        <v>1</v>
      </c>
      <c r="B122" s="15">
        <f>M121</f>
        <v/>
      </c>
      <c r="C122" s="15">
        <f>MIN(B122, $B$13)</f>
        <v/>
      </c>
      <c r="D122" s="15">
        <f>MAX(B122-C122, 0)</f>
        <v/>
      </c>
      <c r="E122" s="15">
        <f>C122*$B$6 + D122*$B$14</f>
        <v/>
      </c>
      <c r="F122" s="15">
        <f>$B$12</f>
        <v/>
      </c>
      <c r="G122" s="15">
        <f>IF($B$7&gt;0, MIN(2*$B$9, $B$11*MAX(E122-F122, 0)), 0)</f>
        <v/>
      </c>
      <c r="H122" s="15">
        <f>MAX(E122-F122-G122, 0)</f>
        <v/>
      </c>
      <c r="I122" s="15">
        <f>H122*$B$7</f>
        <v/>
      </c>
      <c r="J122" s="15">
        <f>G122*(1-$B$10)</f>
        <v/>
      </c>
      <c r="K122" s="15">
        <f>G122*$B$10</f>
        <v/>
      </c>
      <c r="L122" s="15">
        <f>L121+K122</f>
        <v/>
      </c>
      <c r="M122" s="15">
        <f>B122+E122-F122-I122-J122</f>
        <v/>
      </c>
      <c r="N122" s="15">
        <f>M122-L122</f>
        <v/>
      </c>
    </row>
    <row r="123">
      <c r="A123" s="20" t="n">
        <v>2</v>
      </c>
      <c r="B123" s="15">
        <f>M122</f>
        <v/>
      </c>
      <c r="C123" s="15">
        <f>MIN(B123, $B$13)</f>
        <v/>
      </c>
      <c r="D123" s="15">
        <f>MAX(B123-C123, 0)</f>
        <v/>
      </c>
      <c r="E123" s="15">
        <f>C123*$B$6 + D123*$B$14</f>
        <v/>
      </c>
      <c r="F123" s="15">
        <f>$B$12</f>
        <v/>
      </c>
      <c r="G123" s="15">
        <f>IF($B$7&gt;0, MIN(2*$B$9, $B$11*MAX(E123-F123, 0)), 0)</f>
        <v/>
      </c>
      <c r="H123" s="15">
        <f>MAX(E123-F123-G123, 0)</f>
        <v/>
      </c>
      <c r="I123" s="15">
        <f>H123*$B$7</f>
        <v/>
      </c>
      <c r="J123" s="15">
        <f>G123*(1-$B$10)</f>
        <v/>
      </c>
      <c r="K123" s="15">
        <f>G123*$B$10</f>
        <v/>
      </c>
      <c r="L123" s="15">
        <f>L122+K123</f>
        <v/>
      </c>
      <c r="M123" s="15">
        <f>B123+E123-F123-I123-J123</f>
        <v/>
      </c>
      <c r="N123" s="15">
        <f>M123-L123</f>
        <v/>
      </c>
    </row>
    <row r="124">
      <c r="A124" s="20" t="n">
        <v>3</v>
      </c>
      <c r="B124" s="15">
        <f>M123</f>
        <v/>
      </c>
      <c r="C124" s="15">
        <f>MIN(B124, $B$13)</f>
        <v/>
      </c>
      <c r="D124" s="15">
        <f>MAX(B124-C124, 0)</f>
        <v/>
      </c>
      <c r="E124" s="15">
        <f>C124*$B$6 + D124*$B$14</f>
        <v/>
      </c>
      <c r="F124" s="15">
        <f>$B$12</f>
        <v/>
      </c>
      <c r="G124" s="15">
        <f>IF($B$7&gt;0, MIN(2*$B$9, $B$11*MAX(E124-F124, 0)), 0)</f>
        <v/>
      </c>
      <c r="H124" s="15">
        <f>MAX(E124-F124-G124, 0)</f>
        <v/>
      </c>
      <c r="I124" s="15">
        <f>H124*$B$7</f>
        <v/>
      </c>
      <c r="J124" s="15">
        <f>G124*(1-$B$10)</f>
        <v/>
      </c>
      <c r="K124" s="15">
        <f>G124*$B$10</f>
        <v/>
      </c>
      <c r="L124" s="15">
        <f>L123+K124</f>
        <v/>
      </c>
      <c r="M124" s="15">
        <f>B124+E124-F124-I124-J124</f>
        <v/>
      </c>
      <c r="N124" s="15">
        <f>M124-L124</f>
        <v/>
      </c>
    </row>
    <row r="125">
      <c r="A125" s="20" t="n">
        <v>4</v>
      </c>
      <c r="B125" s="15">
        <f>M124</f>
        <v/>
      </c>
      <c r="C125" s="15">
        <f>MIN(B125, $B$13)</f>
        <v/>
      </c>
      <c r="D125" s="15">
        <f>MAX(B125-C125, 0)</f>
        <v/>
      </c>
      <c r="E125" s="15">
        <f>C125*$B$6 + D125*$B$14</f>
        <v/>
      </c>
      <c r="F125" s="15">
        <f>$B$12</f>
        <v/>
      </c>
      <c r="G125" s="15">
        <f>IF($B$7&gt;0, MIN(2*$B$9, $B$11*MAX(E125-F125, 0)), 0)</f>
        <v/>
      </c>
      <c r="H125" s="15">
        <f>MAX(E125-F125-G125, 0)</f>
        <v/>
      </c>
      <c r="I125" s="15">
        <f>H125*$B$7</f>
        <v/>
      </c>
      <c r="J125" s="15">
        <f>G125*(1-$B$10)</f>
        <v/>
      </c>
      <c r="K125" s="15">
        <f>G125*$B$10</f>
        <v/>
      </c>
      <c r="L125" s="15">
        <f>L124+K125</f>
        <v/>
      </c>
      <c r="M125" s="15">
        <f>B125+E125-F125-I125-J125</f>
        <v/>
      </c>
      <c r="N125" s="15">
        <f>M125-L125</f>
        <v/>
      </c>
    </row>
    <row r="126">
      <c r="A126" s="20" t="n">
        <v>5</v>
      </c>
      <c r="B126" s="15">
        <f>M125</f>
        <v/>
      </c>
      <c r="C126" s="15">
        <f>MIN(B126, $B$13)</f>
        <v/>
      </c>
      <c r="D126" s="15">
        <f>MAX(B126-C126, 0)</f>
        <v/>
      </c>
      <c r="E126" s="15">
        <f>C126*$B$6 + D126*$B$14</f>
        <v/>
      </c>
      <c r="F126" s="15">
        <f>$B$12</f>
        <v/>
      </c>
      <c r="G126" s="15">
        <f>IF($B$7&gt;0, MIN(2*$B$9, $B$11*MAX(E126-F126, 0)), 0)</f>
        <v/>
      </c>
      <c r="H126" s="15">
        <f>MAX(E126-F126-G126, 0)</f>
        <v/>
      </c>
      <c r="I126" s="15">
        <f>H126*$B$7</f>
        <v/>
      </c>
      <c r="J126" s="15">
        <f>G126*(1-$B$10)</f>
        <v/>
      </c>
      <c r="K126" s="15">
        <f>G126*$B$10</f>
        <v/>
      </c>
      <c r="L126" s="15">
        <f>L125+K126</f>
        <v/>
      </c>
      <c r="M126" s="15">
        <f>B126+E126-F126-I126-J126</f>
        <v/>
      </c>
      <c r="N126" s="15">
        <f>M126-L126</f>
        <v/>
      </c>
    </row>
    <row r="127">
      <c r="A127" s="20" t="n">
        <v>6</v>
      </c>
      <c r="B127" s="15">
        <f>M126</f>
        <v/>
      </c>
      <c r="C127" s="15">
        <f>MIN(B127, $B$13)</f>
        <v/>
      </c>
      <c r="D127" s="15">
        <f>MAX(B127-C127, 0)</f>
        <v/>
      </c>
      <c r="E127" s="15">
        <f>C127*$B$6 + D127*$B$14</f>
        <v/>
      </c>
      <c r="F127" s="15">
        <f>$B$12</f>
        <v/>
      </c>
      <c r="G127" s="15">
        <f>IF($B$7&gt;0, MIN(2*$B$9, $B$11*MAX(E127-F127, 0)), 0)</f>
        <v/>
      </c>
      <c r="H127" s="15">
        <f>MAX(E127-F127-G127, 0)</f>
        <v/>
      </c>
      <c r="I127" s="15">
        <f>H127*$B$7</f>
        <v/>
      </c>
      <c r="J127" s="15">
        <f>G127*(1-$B$10)</f>
        <v/>
      </c>
      <c r="K127" s="15">
        <f>G127*$B$10</f>
        <v/>
      </c>
      <c r="L127" s="15">
        <f>L126+K127</f>
        <v/>
      </c>
      <c r="M127" s="15">
        <f>B127+E127-F127-I127-J127</f>
        <v/>
      </c>
      <c r="N127" s="15">
        <f>M127-L127</f>
        <v/>
      </c>
    </row>
    <row r="128">
      <c r="A128" s="20" t="n">
        <v>7</v>
      </c>
      <c r="B128" s="15">
        <f>M127</f>
        <v/>
      </c>
      <c r="C128" s="15">
        <f>MIN(B128, $B$13)</f>
        <v/>
      </c>
      <c r="D128" s="15">
        <f>MAX(B128-C128, 0)</f>
        <v/>
      </c>
      <c r="E128" s="15">
        <f>C128*$B$6 + D128*$B$14</f>
        <v/>
      </c>
      <c r="F128" s="15">
        <f>$B$12</f>
        <v/>
      </c>
      <c r="G128" s="15">
        <f>IF($B$7&gt;0, MIN(2*$B$9, $B$11*MAX(E128-F128, 0)), 0)</f>
        <v/>
      </c>
      <c r="H128" s="15">
        <f>MAX(E128-F128-G128, 0)</f>
        <v/>
      </c>
      <c r="I128" s="15">
        <f>H128*$B$7</f>
        <v/>
      </c>
      <c r="J128" s="15">
        <f>G128*(1-$B$10)</f>
        <v/>
      </c>
      <c r="K128" s="15">
        <f>G128*$B$10</f>
        <v/>
      </c>
      <c r="L128" s="15">
        <f>L127+K128</f>
        <v/>
      </c>
      <c r="M128" s="15">
        <f>B128+E128-F128-I128-J128</f>
        <v/>
      </c>
      <c r="N128" s="15">
        <f>M128-L128</f>
        <v/>
      </c>
    </row>
    <row r="129">
      <c r="A129" s="20" t="n">
        <v>8</v>
      </c>
      <c r="B129" s="15">
        <f>M128</f>
        <v/>
      </c>
      <c r="C129" s="15">
        <f>MIN(B129, $B$13)</f>
        <v/>
      </c>
      <c r="D129" s="15">
        <f>MAX(B129-C129, 0)</f>
        <v/>
      </c>
      <c r="E129" s="15">
        <f>C129*$B$6 + D129*$B$14</f>
        <v/>
      </c>
      <c r="F129" s="15">
        <f>$B$12</f>
        <v/>
      </c>
      <c r="G129" s="15">
        <f>IF($B$7&gt;0, MIN(2*$B$9, $B$11*MAX(E129-F129, 0)), 0)</f>
        <v/>
      </c>
      <c r="H129" s="15">
        <f>MAX(E129-F129-G129, 0)</f>
        <v/>
      </c>
      <c r="I129" s="15">
        <f>H129*$B$7</f>
        <v/>
      </c>
      <c r="J129" s="15">
        <f>G129*(1-$B$10)</f>
        <v/>
      </c>
      <c r="K129" s="15">
        <f>G129*$B$10</f>
        <v/>
      </c>
      <c r="L129" s="15">
        <f>L128+K129</f>
        <v/>
      </c>
      <c r="M129" s="15">
        <f>B129+E129-F129-I129-J129</f>
        <v/>
      </c>
      <c r="N129" s="15">
        <f>M129-L129</f>
        <v/>
      </c>
    </row>
    <row r="130">
      <c r="A130" s="20" t="n">
        <v>9</v>
      </c>
      <c r="B130" s="15">
        <f>M129</f>
        <v/>
      </c>
      <c r="C130" s="15">
        <f>MIN(B130, $B$13)</f>
        <v/>
      </c>
      <c r="D130" s="15">
        <f>MAX(B130-C130, 0)</f>
        <v/>
      </c>
      <c r="E130" s="15">
        <f>C130*$B$6 + D130*$B$14</f>
        <v/>
      </c>
      <c r="F130" s="15">
        <f>$B$12</f>
        <v/>
      </c>
      <c r="G130" s="15">
        <f>IF($B$7&gt;0, MIN(2*$B$9, $B$11*MAX(E130-F130, 0)), 0)</f>
        <v/>
      </c>
      <c r="H130" s="15">
        <f>MAX(E130-F130-G130, 0)</f>
        <v/>
      </c>
      <c r="I130" s="15">
        <f>H130*$B$7</f>
        <v/>
      </c>
      <c r="J130" s="15">
        <f>G130*(1-$B$10)</f>
        <v/>
      </c>
      <c r="K130" s="15">
        <f>G130*$B$10</f>
        <v/>
      </c>
      <c r="L130" s="15">
        <f>L129+K130</f>
        <v/>
      </c>
      <c r="M130" s="15">
        <f>B130+E130-F130-I130-J130</f>
        <v/>
      </c>
      <c r="N130" s="15">
        <f>M130-L130</f>
        <v/>
      </c>
    </row>
    <row r="131">
      <c r="A131" s="20" t="n">
        <v>10</v>
      </c>
      <c r="B131" s="15">
        <f>M130</f>
        <v/>
      </c>
      <c r="C131" s="15">
        <f>MIN(B131, $B$13)</f>
        <v/>
      </c>
      <c r="D131" s="15">
        <f>MAX(B131-C131, 0)</f>
        <v/>
      </c>
      <c r="E131" s="15">
        <f>C131*$B$6 + D131*$B$14</f>
        <v/>
      </c>
      <c r="F131" s="15">
        <f>$B$12</f>
        <v/>
      </c>
      <c r="G131" s="15">
        <f>IF($B$7&gt;0, MIN(2*$B$9, $B$11*MAX(E131-F131, 0)), 0)</f>
        <v/>
      </c>
      <c r="H131" s="15">
        <f>MAX(E131-F131-G131, 0)</f>
        <v/>
      </c>
      <c r="I131" s="15">
        <f>H131*$B$7</f>
        <v/>
      </c>
      <c r="J131" s="15">
        <f>G131*(1-$B$10)</f>
        <v/>
      </c>
      <c r="K131" s="15">
        <f>G131*$B$10</f>
        <v/>
      </c>
      <c r="L131" s="15">
        <f>L130+K131</f>
        <v/>
      </c>
      <c r="M131" s="15">
        <f>B131+E131-F131-I131-J131</f>
        <v/>
      </c>
      <c r="N131" s="15">
        <f>M131-L131</f>
        <v/>
      </c>
    </row>
    <row r="132">
      <c r="A132" s="20" t="n">
        <v>11</v>
      </c>
      <c r="B132" s="15">
        <f>M131</f>
        <v/>
      </c>
      <c r="C132" s="15">
        <f>MIN(B132, $B$13)</f>
        <v/>
      </c>
      <c r="D132" s="15">
        <f>MAX(B132-C132, 0)</f>
        <v/>
      </c>
      <c r="E132" s="15">
        <f>C132*$B$6 + D132*$B$14</f>
        <v/>
      </c>
      <c r="F132" s="15">
        <f>$B$12</f>
        <v/>
      </c>
      <c r="G132" s="15">
        <f>IF($B$7&gt;0, MIN(2*$B$9, $B$11*MAX(E132-F132, 0)), 0)</f>
        <v/>
      </c>
      <c r="H132" s="15">
        <f>MAX(E132-F132-G132, 0)</f>
        <v/>
      </c>
      <c r="I132" s="15">
        <f>H132*$B$7</f>
        <v/>
      </c>
      <c r="J132" s="15">
        <f>G132*(1-$B$10)</f>
        <v/>
      </c>
      <c r="K132" s="15">
        <f>G132*$B$10</f>
        <v/>
      </c>
      <c r="L132" s="15">
        <f>L131+K132</f>
        <v/>
      </c>
      <c r="M132" s="15">
        <f>B132+E132-F132-I132-J132</f>
        <v/>
      </c>
      <c r="N132" s="15">
        <f>M132-L132</f>
        <v/>
      </c>
    </row>
    <row r="133">
      <c r="A133" s="20" t="n">
        <v>12</v>
      </c>
      <c r="B133" s="15">
        <f>M132</f>
        <v/>
      </c>
      <c r="C133" s="15">
        <f>MIN(B133, $B$13)</f>
        <v/>
      </c>
      <c r="D133" s="15">
        <f>MAX(B133-C133, 0)</f>
        <v/>
      </c>
      <c r="E133" s="15">
        <f>C133*$B$6 + D133*$B$14</f>
        <v/>
      </c>
      <c r="F133" s="15">
        <f>$B$12</f>
        <v/>
      </c>
      <c r="G133" s="15">
        <f>IF($B$7&gt;0, MIN(2*$B$9, $B$11*MAX(E133-F133, 0)), 0)</f>
        <v/>
      </c>
      <c r="H133" s="15">
        <f>MAX(E133-F133-G133, 0)</f>
        <v/>
      </c>
      <c r="I133" s="15">
        <f>H133*$B$7</f>
        <v/>
      </c>
      <c r="J133" s="15">
        <f>G133*(1-$B$10)</f>
        <v/>
      </c>
      <c r="K133" s="15">
        <f>G133*$B$10</f>
        <v/>
      </c>
      <c r="L133" s="15">
        <f>L132+K133</f>
        <v/>
      </c>
      <c r="M133" s="15">
        <f>B133+E133-F133-I133-J133</f>
        <v/>
      </c>
      <c r="N133" s="15">
        <f>M133-L133</f>
        <v/>
      </c>
    </row>
    <row r="134">
      <c r="A134" s="20" t="n">
        <v>13</v>
      </c>
      <c r="B134" s="15">
        <f>M133</f>
        <v/>
      </c>
      <c r="C134" s="15">
        <f>MIN(B134, $B$13)</f>
        <v/>
      </c>
      <c r="D134" s="15">
        <f>MAX(B134-C134, 0)</f>
        <v/>
      </c>
      <c r="E134" s="15">
        <f>C134*$B$6 + D134*$B$14</f>
        <v/>
      </c>
      <c r="F134" s="15">
        <f>$B$12</f>
        <v/>
      </c>
      <c r="G134" s="15">
        <f>IF($B$7&gt;0, MIN(2*$B$9, $B$11*MAX(E134-F134, 0)), 0)</f>
        <v/>
      </c>
      <c r="H134" s="15">
        <f>MAX(E134-F134-G134, 0)</f>
        <v/>
      </c>
      <c r="I134" s="15">
        <f>H134*$B$7</f>
        <v/>
      </c>
      <c r="J134" s="15">
        <f>G134*(1-$B$10)</f>
        <v/>
      </c>
      <c r="K134" s="15">
        <f>G134*$B$10</f>
        <v/>
      </c>
      <c r="L134" s="15">
        <f>L133+K134</f>
        <v/>
      </c>
      <c r="M134" s="15">
        <f>B134+E134-F134-I134-J134</f>
        <v/>
      </c>
      <c r="N134" s="15">
        <f>M134-L134</f>
        <v/>
      </c>
    </row>
    <row r="135">
      <c r="A135" s="20" t="n">
        <v>14</v>
      </c>
      <c r="B135" s="15">
        <f>M134</f>
        <v/>
      </c>
      <c r="C135" s="15">
        <f>MIN(B135, $B$13)</f>
        <v/>
      </c>
      <c r="D135" s="15">
        <f>MAX(B135-C135, 0)</f>
        <v/>
      </c>
      <c r="E135" s="15">
        <f>C135*$B$6 + D135*$B$14</f>
        <v/>
      </c>
      <c r="F135" s="15">
        <f>$B$12</f>
        <v/>
      </c>
      <c r="G135" s="15">
        <f>IF($B$7&gt;0, MIN(2*$B$9, $B$11*MAX(E135-F135, 0)), 0)</f>
        <v/>
      </c>
      <c r="H135" s="15">
        <f>MAX(E135-F135-G135, 0)</f>
        <v/>
      </c>
      <c r="I135" s="15">
        <f>H135*$B$7</f>
        <v/>
      </c>
      <c r="J135" s="15">
        <f>G135*(1-$B$10)</f>
        <v/>
      </c>
      <c r="K135" s="15">
        <f>G135*$B$10</f>
        <v/>
      </c>
      <c r="L135" s="15">
        <f>L134+K135</f>
        <v/>
      </c>
      <c r="M135" s="15">
        <f>B135+E135-F135-I135-J135</f>
        <v/>
      </c>
      <c r="N135" s="15">
        <f>M135-L135</f>
        <v/>
      </c>
    </row>
    <row r="136">
      <c r="A136" s="20" t="n">
        <v>15</v>
      </c>
      <c r="B136" s="15">
        <f>M135</f>
        <v/>
      </c>
      <c r="C136" s="15">
        <f>MIN(B136, $B$13)</f>
        <v/>
      </c>
      <c r="D136" s="15">
        <f>MAX(B136-C136, 0)</f>
        <v/>
      </c>
      <c r="E136" s="15">
        <f>C136*$B$6 + D136*$B$14</f>
        <v/>
      </c>
      <c r="F136" s="15">
        <f>$B$12</f>
        <v/>
      </c>
      <c r="G136" s="15">
        <f>IF($B$7&gt;0, MIN(2*$B$9, $B$11*MAX(E136-F136, 0)), 0)</f>
        <v/>
      </c>
      <c r="H136" s="15">
        <f>MAX(E136-F136-G136, 0)</f>
        <v/>
      </c>
      <c r="I136" s="15">
        <f>H136*$B$7</f>
        <v/>
      </c>
      <c r="J136" s="15">
        <f>G136*(1-$B$10)</f>
        <v/>
      </c>
      <c r="K136" s="15">
        <f>G136*$B$10</f>
        <v/>
      </c>
      <c r="L136" s="15">
        <f>L135+K136</f>
        <v/>
      </c>
      <c r="M136" s="15">
        <f>B136+E136-F136-I136-J136</f>
        <v/>
      </c>
      <c r="N136" s="15">
        <f>M136-L136</f>
        <v/>
      </c>
    </row>
    <row r="137">
      <c r="A137" s="20" t="n">
        <v>16</v>
      </c>
      <c r="B137" s="15">
        <f>M136</f>
        <v/>
      </c>
      <c r="C137" s="15">
        <f>MIN(B137, $B$13)</f>
        <v/>
      </c>
      <c r="D137" s="15">
        <f>MAX(B137-C137, 0)</f>
        <v/>
      </c>
      <c r="E137" s="15">
        <f>C137*$B$6 + D137*$B$14</f>
        <v/>
      </c>
      <c r="F137" s="15">
        <f>$B$12</f>
        <v/>
      </c>
      <c r="G137" s="15">
        <f>IF($B$7&gt;0, MIN(2*$B$9, $B$11*MAX(E137-F137, 0)), 0)</f>
        <v/>
      </c>
      <c r="H137" s="15">
        <f>MAX(E137-F137-G137, 0)</f>
        <v/>
      </c>
      <c r="I137" s="15">
        <f>H137*$B$7</f>
        <v/>
      </c>
      <c r="J137" s="15">
        <f>G137*(1-$B$10)</f>
        <v/>
      </c>
      <c r="K137" s="15">
        <f>G137*$B$10</f>
        <v/>
      </c>
      <c r="L137" s="15">
        <f>L136+K137</f>
        <v/>
      </c>
      <c r="M137" s="15">
        <f>B137+E137-F137-I137-J137</f>
        <v/>
      </c>
      <c r="N137" s="15">
        <f>M137-L137</f>
        <v/>
      </c>
    </row>
    <row r="138">
      <c r="A138" s="20" t="n">
        <v>17</v>
      </c>
      <c r="B138" s="15">
        <f>M137</f>
        <v/>
      </c>
      <c r="C138" s="15">
        <f>MIN(B138, $B$13)</f>
        <v/>
      </c>
      <c r="D138" s="15">
        <f>MAX(B138-C138, 0)</f>
        <v/>
      </c>
      <c r="E138" s="15">
        <f>C138*$B$6 + D138*$B$14</f>
        <v/>
      </c>
      <c r="F138" s="15">
        <f>$B$12</f>
        <v/>
      </c>
      <c r="G138" s="15">
        <f>IF($B$7&gt;0, MIN(2*$B$9, $B$11*MAX(E138-F138, 0)), 0)</f>
        <v/>
      </c>
      <c r="H138" s="15">
        <f>MAX(E138-F138-G138, 0)</f>
        <v/>
      </c>
      <c r="I138" s="15">
        <f>H138*$B$7</f>
        <v/>
      </c>
      <c r="J138" s="15">
        <f>G138*(1-$B$10)</f>
        <v/>
      </c>
      <c r="K138" s="15">
        <f>G138*$B$10</f>
        <v/>
      </c>
      <c r="L138" s="15">
        <f>L137+K138</f>
        <v/>
      </c>
      <c r="M138" s="15">
        <f>B138+E138-F138-I138-J138</f>
        <v/>
      </c>
      <c r="N138" s="15">
        <f>M138-L138</f>
        <v/>
      </c>
    </row>
    <row r="139">
      <c r="A139" s="20" t="n">
        <v>18</v>
      </c>
      <c r="B139" s="15">
        <f>M138</f>
        <v/>
      </c>
      <c r="C139" s="15">
        <f>MIN(B139, $B$13)</f>
        <v/>
      </c>
      <c r="D139" s="15">
        <f>MAX(B139-C139, 0)</f>
        <v/>
      </c>
      <c r="E139" s="15">
        <f>C139*$B$6 + D139*$B$14</f>
        <v/>
      </c>
      <c r="F139" s="15">
        <f>$B$12</f>
        <v/>
      </c>
      <c r="G139" s="15">
        <f>IF($B$7&gt;0, MIN(2*$B$9, $B$11*MAX(E139-F139, 0)), 0)</f>
        <v/>
      </c>
      <c r="H139" s="15">
        <f>MAX(E139-F139-G139, 0)</f>
        <v/>
      </c>
      <c r="I139" s="15">
        <f>H139*$B$7</f>
        <v/>
      </c>
      <c r="J139" s="15">
        <f>G139*(1-$B$10)</f>
        <v/>
      </c>
      <c r="K139" s="15">
        <f>G139*$B$10</f>
        <v/>
      </c>
      <c r="L139" s="15">
        <f>L138+K139</f>
        <v/>
      </c>
      <c r="M139" s="15">
        <f>B139+E139-F139-I139-J139</f>
        <v/>
      </c>
      <c r="N139" s="15">
        <f>M139-L139</f>
        <v/>
      </c>
    </row>
    <row r="140">
      <c r="A140" s="20" t="n">
        <v>19</v>
      </c>
      <c r="B140" s="15">
        <f>M139</f>
        <v/>
      </c>
      <c r="C140" s="15">
        <f>MIN(B140, $B$13)</f>
        <v/>
      </c>
      <c r="D140" s="15">
        <f>MAX(B140-C140, 0)</f>
        <v/>
      </c>
      <c r="E140" s="15">
        <f>C140*$B$6 + D140*$B$14</f>
        <v/>
      </c>
      <c r="F140" s="15">
        <f>$B$12</f>
        <v/>
      </c>
      <c r="G140" s="15">
        <f>IF($B$7&gt;0, MIN(2*$B$9, $B$11*MAX(E140-F140, 0)), 0)</f>
        <v/>
      </c>
      <c r="H140" s="15">
        <f>MAX(E140-F140-G140, 0)</f>
        <v/>
      </c>
      <c r="I140" s="15">
        <f>H140*$B$7</f>
        <v/>
      </c>
      <c r="J140" s="15">
        <f>G140*(1-$B$10)</f>
        <v/>
      </c>
      <c r="K140" s="15">
        <f>G140*$B$10</f>
        <v/>
      </c>
      <c r="L140" s="15">
        <f>L139+K140</f>
        <v/>
      </c>
      <c r="M140" s="15">
        <f>B140+E140-F140-I140-J140</f>
        <v/>
      </c>
      <c r="N140" s="15">
        <f>M140-L140</f>
        <v/>
      </c>
    </row>
    <row r="141">
      <c r="A141" s="20" t="n">
        <v>20</v>
      </c>
      <c r="B141" s="15">
        <f>M140</f>
        <v/>
      </c>
      <c r="C141" s="15">
        <f>MIN(B141, $B$13)</f>
        <v/>
      </c>
      <c r="D141" s="15">
        <f>MAX(B141-C141, 0)</f>
        <v/>
      </c>
      <c r="E141" s="15">
        <f>C141*$B$6 + D141*$B$14</f>
        <v/>
      </c>
      <c r="F141" s="15">
        <f>$B$12</f>
        <v/>
      </c>
      <c r="G141" s="15">
        <f>IF($B$7&gt;0, MIN(2*$B$9, $B$11*MAX(E141-F141, 0)), 0)</f>
        <v/>
      </c>
      <c r="H141" s="15">
        <f>MAX(E141-F141-G141, 0)</f>
        <v/>
      </c>
      <c r="I141" s="15">
        <f>H141*$B$7</f>
        <v/>
      </c>
      <c r="J141" s="15">
        <f>G141*(1-$B$10)</f>
        <v/>
      </c>
      <c r="K141" s="15">
        <f>G141*$B$10</f>
        <v/>
      </c>
      <c r="L141" s="15">
        <f>L140+K141</f>
        <v/>
      </c>
      <c r="M141" s="15">
        <f>B141+E141-F141-I141-J141</f>
        <v/>
      </c>
      <c r="N141" s="15">
        <f>M141-L141</f>
        <v/>
      </c>
    </row>
    <row r="144">
      <c r="A144" s="3" t="inlineStr">
        <is>
          <t>COMPANY + 3 EMPLOYEES ROUTE (RECOMMENDED)</t>
        </is>
      </c>
    </row>
    <row r="145">
      <c r="A145" s="19" t="inlineStr">
        <is>
          <t>Year</t>
        </is>
      </c>
      <c r="B145" s="19" t="inlineStr">
        <is>
          <t>Opening</t>
        </is>
      </c>
      <c r="C145" s="19" t="inlineStr">
        <is>
          <t>Deployed</t>
        </is>
      </c>
      <c r="D145" s="19" t="inlineStr">
        <is>
          <t>Idle</t>
        </is>
      </c>
      <c r="E145" s="19" t="inlineStr">
        <is>
          <t>Profit</t>
        </is>
      </c>
      <c r="F145" s="19" t="inlineStr">
        <is>
          <t>Overhead</t>
        </is>
      </c>
      <c r="G145" s="19" t="inlineStr">
        <is>
          <t>Salary Paid</t>
        </is>
      </c>
      <c r="H145" s="19" t="inlineStr">
        <is>
          <t>Taxable Profit</t>
        </is>
      </c>
      <c r="I145" s="19" t="inlineStr">
        <is>
          <t>Income Tax</t>
        </is>
      </c>
      <c r="J145" s="19" t="inlineStr">
        <is>
          <t>Not Lent Back</t>
        </is>
      </c>
      <c r="K145" s="19" t="inlineStr">
        <is>
          <t>New Loan</t>
        </is>
      </c>
      <c r="L145" s="19" t="inlineStr">
        <is>
          <t>Loans Outstanding</t>
        </is>
      </c>
      <c r="M145" s="19" t="inlineStr">
        <is>
          <t>Closing Capital</t>
        </is>
      </c>
      <c r="N145" s="19" t="inlineStr">
        <is>
          <t>Net Equity (Closing - Loans)</t>
        </is>
      </c>
    </row>
    <row r="146">
      <c r="A146" s="20" t="n">
        <v>0</v>
      </c>
      <c r="B146" s="15">
        <f>$B$5</f>
        <v/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15">
        <f>$B$5</f>
        <v/>
      </c>
      <c r="N146" s="15">
        <f>$B$5</f>
        <v/>
      </c>
    </row>
    <row r="147">
      <c r="A147" s="20" t="n">
        <v>1</v>
      </c>
      <c r="B147" s="15">
        <f>M146</f>
        <v/>
      </c>
      <c r="C147" s="15">
        <f>MIN(B147, $B$13)</f>
        <v/>
      </c>
      <c r="D147" s="15">
        <f>MAX(B147-C147, 0)</f>
        <v/>
      </c>
      <c r="E147" s="15">
        <f>C147*$B$6 + D147*$B$14</f>
        <v/>
      </c>
      <c r="F147" s="15">
        <f>$B$12</f>
        <v/>
      </c>
      <c r="G147" s="15">
        <f>IF($B$7&gt;0, MIN(3*$B$9, $B$11*MAX(E147-F147, 0)), 0)</f>
        <v/>
      </c>
      <c r="H147" s="15">
        <f>MAX(E147-F147-G147, 0)</f>
        <v/>
      </c>
      <c r="I147" s="15">
        <f>H147*$B$7</f>
        <v/>
      </c>
      <c r="J147" s="15">
        <f>G147*(1-$B$10)</f>
        <v/>
      </c>
      <c r="K147" s="15">
        <f>G147*$B$10</f>
        <v/>
      </c>
      <c r="L147" s="15">
        <f>L146+K147</f>
        <v/>
      </c>
      <c r="M147" s="15">
        <f>B147+E147-F147-I147-J147</f>
        <v/>
      </c>
      <c r="N147" s="15">
        <f>M147-L147</f>
        <v/>
      </c>
    </row>
    <row r="148">
      <c r="A148" s="20" t="n">
        <v>2</v>
      </c>
      <c r="B148" s="15">
        <f>M147</f>
        <v/>
      </c>
      <c r="C148" s="15">
        <f>MIN(B148, $B$13)</f>
        <v/>
      </c>
      <c r="D148" s="15">
        <f>MAX(B148-C148, 0)</f>
        <v/>
      </c>
      <c r="E148" s="15">
        <f>C148*$B$6 + D148*$B$14</f>
        <v/>
      </c>
      <c r="F148" s="15">
        <f>$B$12</f>
        <v/>
      </c>
      <c r="G148" s="15">
        <f>IF($B$7&gt;0, MIN(3*$B$9, $B$11*MAX(E148-F148, 0)), 0)</f>
        <v/>
      </c>
      <c r="H148" s="15">
        <f>MAX(E148-F148-G148, 0)</f>
        <v/>
      </c>
      <c r="I148" s="15">
        <f>H148*$B$7</f>
        <v/>
      </c>
      <c r="J148" s="15">
        <f>G148*(1-$B$10)</f>
        <v/>
      </c>
      <c r="K148" s="15">
        <f>G148*$B$10</f>
        <v/>
      </c>
      <c r="L148" s="15">
        <f>L147+K148</f>
        <v/>
      </c>
      <c r="M148" s="15">
        <f>B148+E148-F148-I148-J148</f>
        <v/>
      </c>
      <c r="N148" s="15">
        <f>M148-L148</f>
        <v/>
      </c>
    </row>
    <row r="149">
      <c r="A149" s="20" t="n">
        <v>3</v>
      </c>
      <c r="B149" s="15">
        <f>M148</f>
        <v/>
      </c>
      <c r="C149" s="15">
        <f>MIN(B149, $B$13)</f>
        <v/>
      </c>
      <c r="D149" s="15">
        <f>MAX(B149-C149, 0)</f>
        <v/>
      </c>
      <c r="E149" s="15">
        <f>C149*$B$6 + D149*$B$14</f>
        <v/>
      </c>
      <c r="F149" s="15">
        <f>$B$12</f>
        <v/>
      </c>
      <c r="G149" s="15">
        <f>IF($B$7&gt;0, MIN(3*$B$9, $B$11*MAX(E149-F149, 0)), 0)</f>
        <v/>
      </c>
      <c r="H149" s="15">
        <f>MAX(E149-F149-G149, 0)</f>
        <v/>
      </c>
      <c r="I149" s="15">
        <f>H149*$B$7</f>
        <v/>
      </c>
      <c r="J149" s="15">
        <f>G149*(1-$B$10)</f>
        <v/>
      </c>
      <c r="K149" s="15">
        <f>G149*$B$10</f>
        <v/>
      </c>
      <c r="L149" s="15">
        <f>L148+K149</f>
        <v/>
      </c>
      <c r="M149" s="15">
        <f>B149+E149-F149-I149-J149</f>
        <v/>
      </c>
      <c r="N149" s="15">
        <f>M149-L149</f>
        <v/>
      </c>
    </row>
    <row r="150">
      <c r="A150" s="20" t="n">
        <v>4</v>
      </c>
      <c r="B150" s="15">
        <f>M149</f>
        <v/>
      </c>
      <c r="C150" s="15">
        <f>MIN(B150, $B$13)</f>
        <v/>
      </c>
      <c r="D150" s="15">
        <f>MAX(B150-C150, 0)</f>
        <v/>
      </c>
      <c r="E150" s="15">
        <f>C150*$B$6 + D150*$B$14</f>
        <v/>
      </c>
      <c r="F150" s="15">
        <f>$B$12</f>
        <v/>
      </c>
      <c r="G150" s="15">
        <f>IF($B$7&gt;0, MIN(3*$B$9, $B$11*MAX(E150-F150, 0)), 0)</f>
        <v/>
      </c>
      <c r="H150" s="15">
        <f>MAX(E150-F150-G150, 0)</f>
        <v/>
      </c>
      <c r="I150" s="15">
        <f>H150*$B$7</f>
        <v/>
      </c>
      <c r="J150" s="15">
        <f>G150*(1-$B$10)</f>
        <v/>
      </c>
      <c r="K150" s="15">
        <f>G150*$B$10</f>
        <v/>
      </c>
      <c r="L150" s="15">
        <f>L149+K150</f>
        <v/>
      </c>
      <c r="M150" s="15">
        <f>B150+E150-F150-I150-J150</f>
        <v/>
      </c>
      <c r="N150" s="15">
        <f>M150-L150</f>
        <v/>
      </c>
    </row>
    <row r="151">
      <c r="A151" s="20" t="n">
        <v>5</v>
      </c>
      <c r="B151" s="15">
        <f>M150</f>
        <v/>
      </c>
      <c r="C151" s="15">
        <f>MIN(B151, $B$13)</f>
        <v/>
      </c>
      <c r="D151" s="15">
        <f>MAX(B151-C151, 0)</f>
        <v/>
      </c>
      <c r="E151" s="15">
        <f>C151*$B$6 + D151*$B$14</f>
        <v/>
      </c>
      <c r="F151" s="15">
        <f>$B$12</f>
        <v/>
      </c>
      <c r="G151" s="15">
        <f>IF($B$7&gt;0, MIN(3*$B$9, $B$11*MAX(E151-F151, 0)), 0)</f>
        <v/>
      </c>
      <c r="H151" s="15">
        <f>MAX(E151-F151-G151, 0)</f>
        <v/>
      </c>
      <c r="I151" s="15">
        <f>H151*$B$7</f>
        <v/>
      </c>
      <c r="J151" s="15">
        <f>G151*(1-$B$10)</f>
        <v/>
      </c>
      <c r="K151" s="15">
        <f>G151*$B$10</f>
        <v/>
      </c>
      <c r="L151" s="15">
        <f>L150+K151</f>
        <v/>
      </c>
      <c r="M151" s="15">
        <f>B151+E151-F151-I151-J151</f>
        <v/>
      </c>
      <c r="N151" s="15">
        <f>M151-L151</f>
        <v/>
      </c>
    </row>
    <row r="152">
      <c r="A152" s="20" t="n">
        <v>6</v>
      </c>
      <c r="B152" s="15">
        <f>M151</f>
        <v/>
      </c>
      <c r="C152" s="15">
        <f>MIN(B152, $B$13)</f>
        <v/>
      </c>
      <c r="D152" s="15">
        <f>MAX(B152-C152, 0)</f>
        <v/>
      </c>
      <c r="E152" s="15">
        <f>C152*$B$6 + D152*$B$14</f>
        <v/>
      </c>
      <c r="F152" s="15">
        <f>$B$12</f>
        <v/>
      </c>
      <c r="G152" s="15">
        <f>IF($B$7&gt;0, MIN(3*$B$9, $B$11*MAX(E152-F152, 0)), 0)</f>
        <v/>
      </c>
      <c r="H152" s="15">
        <f>MAX(E152-F152-G152, 0)</f>
        <v/>
      </c>
      <c r="I152" s="15">
        <f>H152*$B$7</f>
        <v/>
      </c>
      <c r="J152" s="15">
        <f>G152*(1-$B$10)</f>
        <v/>
      </c>
      <c r="K152" s="15">
        <f>G152*$B$10</f>
        <v/>
      </c>
      <c r="L152" s="15">
        <f>L151+K152</f>
        <v/>
      </c>
      <c r="M152" s="15">
        <f>B152+E152-F152-I152-J152</f>
        <v/>
      </c>
      <c r="N152" s="15">
        <f>M152-L152</f>
        <v/>
      </c>
    </row>
    <row r="153">
      <c r="A153" s="20" t="n">
        <v>7</v>
      </c>
      <c r="B153" s="15">
        <f>M152</f>
        <v/>
      </c>
      <c r="C153" s="15">
        <f>MIN(B153, $B$13)</f>
        <v/>
      </c>
      <c r="D153" s="15">
        <f>MAX(B153-C153, 0)</f>
        <v/>
      </c>
      <c r="E153" s="15">
        <f>C153*$B$6 + D153*$B$14</f>
        <v/>
      </c>
      <c r="F153" s="15">
        <f>$B$12</f>
        <v/>
      </c>
      <c r="G153" s="15">
        <f>IF($B$7&gt;0, MIN(3*$B$9, $B$11*MAX(E153-F153, 0)), 0)</f>
        <v/>
      </c>
      <c r="H153" s="15">
        <f>MAX(E153-F153-G153, 0)</f>
        <v/>
      </c>
      <c r="I153" s="15">
        <f>H153*$B$7</f>
        <v/>
      </c>
      <c r="J153" s="15">
        <f>G153*(1-$B$10)</f>
        <v/>
      </c>
      <c r="K153" s="15">
        <f>G153*$B$10</f>
        <v/>
      </c>
      <c r="L153" s="15">
        <f>L152+K153</f>
        <v/>
      </c>
      <c r="M153" s="15">
        <f>B153+E153-F153-I153-J153</f>
        <v/>
      </c>
      <c r="N153" s="15">
        <f>M153-L153</f>
        <v/>
      </c>
    </row>
    <row r="154">
      <c r="A154" s="20" t="n">
        <v>8</v>
      </c>
      <c r="B154" s="15">
        <f>M153</f>
        <v/>
      </c>
      <c r="C154" s="15">
        <f>MIN(B154, $B$13)</f>
        <v/>
      </c>
      <c r="D154" s="15">
        <f>MAX(B154-C154, 0)</f>
        <v/>
      </c>
      <c r="E154" s="15">
        <f>C154*$B$6 + D154*$B$14</f>
        <v/>
      </c>
      <c r="F154" s="15">
        <f>$B$12</f>
        <v/>
      </c>
      <c r="G154" s="15">
        <f>IF($B$7&gt;0, MIN(3*$B$9, $B$11*MAX(E154-F154, 0)), 0)</f>
        <v/>
      </c>
      <c r="H154" s="15">
        <f>MAX(E154-F154-G154, 0)</f>
        <v/>
      </c>
      <c r="I154" s="15">
        <f>H154*$B$7</f>
        <v/>
      </c>
      <c r="J154" s="15">
        <f>G154*(1-$B$10)</f>
        <v/>
      </c>
      <c r="K154" s="15">
        <f>G154*$B$10</f>
        <v/>
      </c>
      <c r="L154" s="15">
        <f>L153+K154</f>
        <v/>
      </c>
      <c r="M154" s="15">
        <f>B154+E154-F154-I154-J154</f>
        <v/>
      </c>
      <c r="N154" s="15">
        <f>M154-L154</f>
        <v/>
      </c>
    </row>
    <row r="155">
      <c r="A155" s="20" t="n">
        <v>9</v>
      </c>
      <c r="B155" s="15">
        <f>M154</f>
        <v/>
      </c>
      <c r="C155" s="15">
        <f>MIN(B155, $B$13)</f>
        <v/>
      </c>
      <c r="D155" s="15">
        <f>MAX(B155-C155, 0)</f>
        <v/>
      </c>
      <c r="E155" s="15">
        <f>C155*$B$6 + D155*$B$14</f>
        <v/>
      </c>
      <c r="F155" s="15">
        <f>$B$12</f>
        <v/>
      </c>
      <c r="G155" s="15">
        <f>IF($B$7&gt;0, MIN(3*$B$9, $B$11*MAX(E155-F155, 0)), 0)</f>
        <v/>
      </c>
      <c r="H155" s="15">
        <f>MAX(E155-F155-G155, 0)</f>
        <v/>
      </c>
      <c r="I155" s="15">
        <f>H155*$B$7</f>
        <v/>
      </c>
      <c r="J155" s="15">
        <f>G155*(1-$B$10)</f>
        <v/>
      </c>
      <c r="K155" s="15">
        <f>G155*$B$10</f>
        <v/>
      </c>
      <c r="L155" s="15">
        <f>L154+K155</f>
        <v/>
      </c>
      <c r="M155" s="15">
        <f>B155+E155-F155-I155-J155</f>
        <v/>
      </c>
      <c r="N155" s="15">
        <f>M155-L155</f>
        <v/>
      </c>
    </row>
    <row r="156">
      <c r="A156" s="20" t="n">
        <v>10</v>
      </c>
      <c r="B156" s="15">
        <f>M155</f>
        <v/>
      </c>
      <c r="C156" s="15">
        <f>MIN(B156, $B$13)</f>
        <v/>
      </c>
      <c r="D156" s="15">
        <f>MAX(B156-C156, 0)</f>
        <v/>
      </c>
      <c r="E156" s="15">
        <f>C156*$B$6 + D156*$B$14</f>
        <v/>
      </c>
      <c r="F156" s="15">
        <f>$B$12</f>
        <v/>
      </c>
      <c r="G156" s="15">
        <f>IF($B$7&gt;0, MIN(3*$B$9, $B$11*MAX(E156-F156, 0)), 0)</f>
        <v/>
      </c>
      <c r="H156" s="15">
        <f>MAX(E156-F156-G156, 0)</f>
        <v/>
      </c>
      <c r="I156" s="15">
        <f>H156*$B$7</f>
        <v/>
      </c>
      <c r="J156" s="15">
        <f>G156*(1-$B$10)</f>
        <v/>
      </c>
      <c r="K156" s="15">
        <f>G156*$B$10</f>
        <v/>
      </c>
      <c r="L156" s="15">
        <f>L155+K156</f>
        <v/>
      </c>
      <c r="M156" s="15">
        <f>B156+E156-F156-I156-J156</f>
        <v/>
      </c>
      <c r="N156" s="15">
        <f>M156-L156</f>
        <v/>
      </c>
    </row>
    <row r="157">
      <c r="A157" s="20" t="n">
        <v>11</v>
      </c>
      <c r="B157" s="15">
        <f>M156</f>
        <v/>
      </c>
      <c r="C157" s="15">
        <f>MIN(B157, $B$13)</f>
        <v/>
      </c>
      <c r="D157" s="15">
        <f>MAX(B157-C157, 0)</f>
        <v/>
      </c>
      <c r="E157" s="15">
        <f>C157*$B$6 + D157*$B$14</f>
        <v/>
      </c>
      <c r="F157" s="15">
        <f>$B$12</f>
        <v/>
      </c>
      <c r="G157" s="15">
        <f>IF($B$7&gt;0, MIN(3*$B$9, $B$11*MAX(E157-F157, 0)), 0)</f>
        <v/>
      </c>
      <c r="H157" s="15">
        <f>MAX(E157-F157-G157, 0)</f>
        <v/>
      </c>
      <c r="I157" s="15">
        <f>H157*$B$7</f>
        <v/>
      </c>
      <c r="J157" s="15">
        <f>G157*(1-$B$10)</f>
        <v/>
      </c>
      <c r="K157" s="15">
        <f>G157*$B$10</f>
        <v/>
      </c>
      <c r="L157" s="15">
        <f>L156+K157</f>
        <v/>
      </c>
      <c r="M157" s="15">
        <f>B157+E157-F157-I157-J157</f>
        <v/>
      </c>
      <c r="N157" s="15">
        <f>M157-L157</f>
        <v/>
      </c>
    </row>
    <row r="158">
      <c r="A158" s="20" t="n">
        <v>12</v>
      </c>
      <c r="B158" s="15">
        <f>M157</f>
        <v/>
      </c>
      <c r="C158" s="15">
        <f>MIN(B158, $B$13)</f>
        <v/>
      </c>
      <c r="D158" s="15">
        <f>MAX(B158-C158, 0)</f>
        <v/>
      </c>
      <c r="E158" s="15">
        <f>C158*$B$6 + D158*$B$14</f>
        <v/>
      </c>
      <c r="F158" s="15">
        <f>$B$12</f>
        <v/>
      </c>
      <c r="G158" s="15">
        <f>IF($B$7&gt;0, MIN(3*$B$9, $B$11*MAX(E158-F158, 0)), 0)</f>
        <v/>
      </c>
      <c r="H158" s="15">
        <f>MAX(E158-F158-G158, 0)</f>
        <v/>
      </c>
      <c r="I158" s="15">
        <f>H158*$B$7</f>
        <v/>
      </c>
      <c r="J158" s="15">
        <f>G158*(1-$B$10)</f>
        <v/>
      </c>
      <c r="K158" s="15">
        <f>G158*$B$10</f>
        <v/>
      </c>
      <c r="L158" s="15">
        <f>L157+K158</f>
        <v/>
      </c>
      <c r="M158" s="15">
        <f>B158+E158-F158-I158-J158</f>
        <v/>
      </c>
      <c r="N158" s="15">
        <f>M158-L158</f>
        <v/>
      </c>
    </row>
    <row r="159">
      <c r="A159" s="20" t="n">
        <v>13</v>
      </c>
      <c r="B159" s="15">
        <f>M158</f>
        <v/>
      </c>
      <c r="C159" s="15">
        <f>MIN(B159, $B$13)</f>
        <v/>
      </c>
      <c r="D159" s="15">
        <f>MAX(B159-C159, 0)</f>
        <v/>
      </c>
      <c r="E159" s="15">
        <f>C159*$B$6 + D159*$B$14</f>
        <v/>
      </c>
      <c r="F159" s="15">
        <f>$B$12</f>
        <v/>
      </c>
      <c r="G159" s="15">
        <f>IF($B$7&gt;0, MIN(3*$B$9, $B$11*MAX(E159-F159, 0)), 0)</f>
        <v/>
      </c>
      <c r="H159" s="15">
        <f>MAX(E159-F159-G159, 0)</f>
        <v/>
      </c>
      <c r="I159" s="15">
        <f>H159*$B$7</f>
        <v/>
      </c>
      <c r="J159" s="15">
        <f>G159*(1-$B$10)</f>
        <v/>
      </c>
      <c r="K159" s="15">
        <f>G159*$B$10</f>
        <v/>
      </c>
      <c r="L159" s="15">
        <f>L158+K159</f>
        <v/>
      </c>
      <c r="M159" s="15">
        <f>B159+E159-F159-I159-J159</f>
        <v/>
      </c>
      <c r="N159" s="15">
        <f>M159-L159</f>
        <v/>
      </c>
    </row>
    <row r="160">
      <c r="A160" s="20" t="n">
        <v>14</v>
      </c>
      <c r="B160" s="15">
        <f>M159</f>
        <v/>
      </c>
      <c r="C160" s="15">
        <f>MIN(B160, $B$13)</f>
        <v/>
      </c>
      <c r="D160" s="15">
        <f>MAX(B160-C160, 0)</f>
        <v/>
      </c>
      <c r="E160" s="15">
        <f>C160*$B$6 + D160*$B$14</f>
        <v/>
      </c>
      <c r="F160" s="15">
        <f>$B$12</f>
        <v/>
      </c>
      <c r="G160" s="15">
        <f>IF($B$7&gt;0, MIN(3*$B$9, $B$11*MAX(E160-F160, 0)), 0)</f>
        <v/>
      </c>
      <c r="H160" s="15">
        <f>MAX(E160-F160-G160, 0)</f>
        <v/>
      </c>
      <c r="I160" s="15">
        <f>H160*$B$7</f>
        <v/>
      </c>
      <c r="J160" s="15">
        <f>G160*(1-$B$10)</f>
        <v/>
      </c>
      <c r="K160" s="15">
        <f>G160*$B$10</f>
        <v/>
      </c>
      <c r="L160" s="15">
        <f>L159+K160</f>
        <v/>
      </c>
      <c r="M160" s="15">
        <f>B160+E160-F160-I160-J160</f>
        <v/>
      </c>
      <c r="N160" s="15">
        <f>M160-L160</f>
        <v/>
      </c>
    </row>
    <row r="161">
      <c r="A161" s="20" t="n">
        <v>15</v>
      </c>
      <c r="B161" s="15">
        <f>M160</f>
        <v/>
      </c>
      <c r="C161" s="15">
        <f>MIN(B161, $B$13)</f>
        <v/>
      </c>
      <c r="D161" s="15">
        <f>MAX(B161-C161, 0)</f>
        <v/>
      </c>
      <c r="E161" s="15">
        <f>C161*$B$6 + D161*$B$14</f>
        <v/>
      </c>
      <c r="F161" s="15">
        <f>$B$12</f>
        <v/>
      </c>
      <c r="G161" s="15">
        <f>IF($B$7&gt;0, MIN(3*$B$9, $B$11*MAX(E161-F161, 0)), 0)</f>
        <v/>
      </c>
      <c r="H161" s="15">
        <f>MAX(E161-F161-G161, 0)</f>
        <v/>
      </c>
      <c r="I161" s="15">
        <f>H161*$B$7</f>
        <v/>
      </c>
      <c r="J161" s="15">
        <f>G161*(1-$B$10)</f>
        <v/>
      </c>
      <c r="K161" s="15">
        <f>G161*$B$10</f>
        <v/>
      </c>
      <c r="L161" s="15">
        <f>L160+K161</f>
        <v/>
      </c>
      <c r="M161" s="15">
        <f>B161+E161-F161-I161-J161</f>
        <v/>
      </c>
      <c r="N161" s="15">
        <f>M161-L161</f>
        <v/>
      </c>
    </row>
    <row r="162">
      <c r="A162" s="20" t="n">
        <v>16</v>
      </c>
      <c r="B162" s="15">
        <f>M161</f>
        <v/>
      </c>
      <c r="C162" s="15">
        <f>MIN(B162, $B$13)</f>
        <v/>
      </c>
      <c r="D162" s="15">
        <f>MAX(B162-C162, 0)</f>
        <v/>
      </c>
      <c r="E162" s="15">
        <f>C162*$B$6 + D162*$B$14</f>
        <v/>
      </c>
      <c r="F162" s="15">
        <f>$B$12</f>
        <v/>
      </c>
      <c r="G162" s="15">
        <f>IF($B$7&gt;0, MIN(3*$B$9, $B$11*MAX(E162-F162, 0)), 0)</f>
        <v/>
      </c>
      <c r="H162" s="15">
        <f>MAX(E162-F162-G162, 0)</f>
        <v/>
      </c>
      <c r="I162" s="15">
        <f>H162*$B$7</f>
        <v/>
      </c>
      <c r="J162" s="15">
        <f>G162*(1-$B$10)</f>
        <v/>
      </c>
      <c r="K162" s="15">
        <f>G162*$B$10</f>
        <v/>
      </c>
      <c r="L162" s="15">
        <f>L161+K162</f>
        <v/>
      </c>
      <c r="M162" s="15">
        <f>B162+E162-F162-I162-J162</f>
        <v/>
      </c>
      <c r="N162" s="15">
        <f>M162-L162</f>
        <v/>
      </c>
    </row>
    <row r="163">
      <c r="A163" s="20" t="n">
        <v>17</v>
      </c>
      <c r="B163" s="15">
        <f>M162</f>
        <v/>
      </c>
      <c r="C163" s="15">
        <f>MIN(B163, $B$13)</f>
        <v/>
      </c>
      <c r="D163" s="15">
        <f>MAX(B163-C163, 0)</f>
        <v/>
      </c>
      <c r="E163" s="15">
        <f>C163*$B$6 + D163*$B$14</f>
        <v/>
      </c>
      <c r="F163" s="15">
        <f>$B$12</f>
        <v/>
      </c>
      <c r="G163" s="15">
        <f>IF($B$7&gt;0, MIN(3*$B$9, $B$11*MAX(E163-F163, 0)), 0)</f>
        <v/>
      </c>
      <c r="H163" s="15">
        <f>MAX(E163-F163-G163, 0)</f>
        <v/>
      </c>
      <c r="I163" s="15">
        <f>H163*$B$7</f>
        <v/>
      </c>
      <c r="J163" s="15">
        <f>G163*(1-$B$10)</f>
        <v/>
      </c>
      <c r="K163" s="15">
        <f>G163*$B$10</f>
        <v/>
      </c>
      <c r="L163" s="15">
        <f>L162+K163</f>
        <v/>
      </c>
      <c r="M163" s="15">
        <f>B163+E163-F163-I163-J163</f>
        <v/>
      </c>
      <c r="N163" s="15">
        <f>M163-L163</f>
        <v/>
      </c>
    </row>
    <row r="164">
      <c r="A164" s="20" t="n">
        <v>18</v>
      </c>
      <c r="B164" s="15">
        <f>M163</f>
        <v/>
      </c>
      <c r="C164" s="15">
        <f>MIN(B164, $B$13)</f>
        <v/>
      </c>
      <c r="D164" s="15">
        <f>MAX(B164-C164, 0)</f>
        <v/>
      </c>
      <c r="E164" s="15">
        <f>C164*$B$6 + D164*$B$14</f>
        <v/>
      </c>
      <c r="F164" s="15">
        <f>$B$12</f>
        <v/>
      </c>
      <c r="G164" s="15">
        <f>IF($B$7&gt;0, MIN(3*$B$9, $B$11*MAX(E164-F164, 0)), 0)</f>
        <v/>
      </c>
      <c r="H164" s="15">
        <f>MAX(E164-F164-G164, 0)</f>
        <v/>
      </c>
      <c r="I164" s="15">
        <f>H164*$B$7</f>
        <v/>
      </c>
      <c r="J164" s="15">
        <f>G164*(1-$B$10)</f>
        <v/>
      </c>
      <c r="K164" s="15">
        <f>G164*$B$10</f>
        <v/>
      </c>
      <c r="L164" s="15">
        <f>L163+K164</f>
        <v/>
      </c>
      <c r="M164" s="15">
        <f>B164+E164-F164-I164-J164</f>
        <v/>
      </c>
      <c r="N164" s="15">
        <f>M164-L164</f>
        <v/>
      </c>
    </row>
    <row r="165">
      <c r="A165" s="20" t="n">
        <v>19</v>
      </c>
      <c r="B165" s="15">
        <f>M164</f>
        <v/>
      </c>
      <c r="C165" s="15">
        <f>MIN(B165, $B$13)</f>
        <v/>
      </c>
      <c r="D165" s="15">
        <f>MAX(B165-C165, 0)</f>
        <v/>
      </c>
      <c r="E165" s="15">
        <f>C165*$B$6 + D165*$B$14</f>
        <v/>
      </c>
      <c r="F165" s="15">
        <f>$B$12</f>
        <v/>
      </c>
      <c r="G165" s="15">
        <f>IF($B$7&gt;0, MIN(3*$B$9, $B$11*MAX(E165-F165, 0)), 0)</f>
        <v/>
      </c>
      <c r="H165" s="15">
        <f>MAX(E165-F165-G165, 0)</f>
        <v/>
      </c>
      <c r="I165" s="15">
        <f>H165*$B$7</f>
        <v/>
      </c>
      <c r="J165" s="15">
        <f>G165*(1-$B$10)</f>
        <v/>
      </c>
      <c r="K165" s="15">
        <f>G165*$B$10</f>
        <v/>
      </c>
      <c r="L165" s="15">
        <f>L164+K165</f>
        <v/>
      </c>
      <c r="M165" s="15">
        <f>B165+E165-F165-I165-J165</f>
        <v/>
      </c>
      <c r="N165" s="15">
        <f>M165-L165</f>
        <v/>
      </c>
    </row>
    <row r="166">
      <c r="A166" s="20" t="n">
        <v>20</v>
      </c>
      <c r="B166" s="15">
        <f>M165</f>
        <v/>
      </c>
      <c r="C166" s="15">
        <f>MIN(B166, $B$13)</f>
        <v/>
      </c>
      <c r="D166" s="15">
        <f>MAX(B166-C166, 0)</f>
        <v/>
      </c>
      <c r="E166" s="15">
        <f>C166*$B$6 + D166*$B$14</f>
        <v/>
      </c>
      <c r="F166" s="15">
        <f>$B$12</f>
        <v/>
      </c>
      <c r="G166" s="15">
        <f>IF($B$7&gt;0, MIN(3*$B$9, $B$11*MAX(E166-F166, 0)), 0)</f>
        <v/>
      </c>
      <c r="H166" s="15">
        <f>MAX(E166-F166-G166, 0)</f>
        <v/>
      </c>
      <c r="I166" s="15">
        <f>H166*$B$7</f>
        <v/>
      </c>
      <c r="J166" s="15">
        <f>G166*(1-$B$10)</f>
        <v/>
      </c>
      <c r="K166" s="15">
        <f>G166*$B$10</f>
        <v/>
      </c>
      <c r="L166" s="15">
        <f>L165+K166</f>
        <v/>
      </c>
      <c r="M166" s="15">
        <f>B166+E166-F166-I166-J166</f>
        <v/>
      </c>
      <c r="N166" s="15">
        <f>M166-L166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29" customWidth="1" min="2" max="2"/>
    <col width="30" customWidth="1" min="3" max="3"/>
    <col width="37" customWidth="1" min="4" max="4"/>
  </cols>
  <sheetData>
    <row r="1">
      <c r="A1" s="1" t="inlineStr">
        <is>
          <t>LEVEL 4: GIFT CITY IFSC · CME HENRY HUB SOVEREIGN BRIDGE</t>
        </is>
      </c>
    </row>
    <row r="2">
      <c r="A2" s="2" t="inlineStr">
        <is>
          <t>Section 80LA (0.00% Corporate Tax for 10 Years) vs Domestic 25.17% vs Personal 39% Dividend Leakage</t>
        </is>
      </c>
    </row>
    <row r="4">
      <c r="A4" s="3" t="inlineStr">
        <is>
          <t>COMPARATIVE TAX &amp; COMPOUNDING ARCHITECTURE (ON ₹100 CR ANNUAL PROFIT)</t>
        </is>
      </c>
    </row>
    <row r="5">
      <c r="A5" s="12" t="inlineStr">
        <is>
          <t>Metric / Parameter</t>
        </is>
      </c>
      <c r="B5" s="12" t="inlineStr">
        <is>
          <t>Domestic MCX TM (Level 3)</t>
        </is>
      </c>
      <c r="C5" s="12" t="inlineStr">
        <is>
          <t>GIFT City CME (Reinvested)</t>
        </is>
      </c>
      <c r="D5" s="12" t="inlineStr">
        <is>
          <t>GIFT City CME (Personal Dividend)</t>
        </is>
      </c>
    </row>
    <row r="6">
      <c r="A6" s="27" t="inlineStr">
        <is>
          <t>Gross Trading Profit</t>
        </is>
      </c>
      <c r="B6" s="14" t="n">
        <v>100</v>
      </c>
      <c r="C6" s="14" t="n">
        <v>100</v>
      </c>
      <c r="D6" s="14" t="n">
        <v>100</v>
      </c>
    </row>
    <row r="7">
      <c r="A7" s="27" t="inlineStr">
        <is>
          <t>Corporate Income Tax Rate</t>
        </is>
      </c>
      <c r="B7" s="28" t="n">
        <v>0.25168</v>
      </c>
      <c r="C7" s="28" t="n">
        <v>0</v>
      </c>
      <c r="D7" s="28" t="n">
        <v>0</v>
      </c>
    </row>
    <row r="8">
      <c r="A8" s="27" t="inlineStr">
        <is>
          <t>Corporate Income Tax Paid (₹ Cr)</t>
        </is>
      </c>
      <c r="B8" s="14" t="n">
        <v>25.168</v>
      </c>
      <c r="C8" s="14" t="n">
        <v>0</v>
      </c>
      <c r="D8" s="14" t="n">
        <v>0</v>
      </c>
    </row>
    <row r="9">
      <c r="A9" s="27" t="inlineStr">
        <is>
          <t>Minimum Alternate Tax (MAT)</t>
        </is>
      </c>
      <c r="B9" s="14" t="n">
        <v>0</v>
      </c>
      <c r="C9" s="14" t="n">
        <v>0</v>
      </c>
      <c r="D9" s="14" t="n">
        <v>0</v>
      </c>
    </row>
    <row r="10">
      <c r="A10" s="27" t="inlineStr">
        <is>
          <t>Transaction Taxes (CTT + Stamp Duty)</t>
        </is>
      </c>
      <c r="B10" s="14" t="n">
        <v>0.85</v>
      </c>
      <c r="C10" s="14" t="n">
        <v>0</v>
      </c>
      <c r="D10" s="14" t="n">
        <v>0</v>
      </c>
    </row>
    <row r="11">
      <c r="A11" s="27" t="inlineStr">
        <is>
          <t>Economic Substance &amp; Regulatory Burn</t>
        </is>
      </c>
      <c r="B11" s="14" t="n">
        <v>0.05</v>
      </c>
      <c r="C11" s="14" t="n">
        <v>0.35</v>
      </c>
      <c r="D11" s="14" t="n">
        <v>0.35</v>
      </c>
    </row>
    <row r="12">
      <c r="A12" s="27" t="inlineStr">
        <is>
          <t>Personal Dividend Distribution Tax</t>
        </is>
      </c>
      <c r="B12" s="14" t="n">
        <v>0</v>
      </c>
      <c r="C12" s="14" t="n">
        <v>0</v>
      </c>
      <c r="D12" s="14" t="n">
        <v>38.8635</v>
      </c>
    </row>
    <row r="13">
      <c r="A13" s="27" t="inlineStr">
        <is>
          <t>Net Annual Compounding Capital (₹ Cr)</t>
        </is>
      </c>
      <c r="B13" s="14" t="n">
        <v>73.932</v>
      </c>
      <c r="C13" s="14" t="n">
        <v>99.65000000000001</v>
      </c>
      <c r="D13" s="14" t="n">
        <v>60.7865</v>
      </c>
    </row>
    <row r="14">
      <c r="A14" s="27" t="inlineStr">
        <is>
          <t>10-Year Compounding Edge (%)</t>
        </is>
      </c>
      <c r="B14" s="29" t="inlineStr">
        <is>
          <t>Baseline</t>
        </is>
      </c>
      <c r="C14" s="30" t="inlineStr">
        <is>
          <t>+34.8% Faster Compounding</t>
        </is>
      </c>
      <c r="D14" s="31" t="inlineStr">
        <is>
          <t>-17.8% Cash Leakage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15" customWidth="1" min="2" max="2"/>
    <col width="22" customWidth="1" min="3" max="3"/>
    <col width="27" customWidth="1" min="4" max="4"/>
    <col width="21" customWidth="1" min="5" max="5"/>
    <col width="17" customWidth="1" min="6" max="6"/>
    <col width="17" customWidth="1" min="7" max="7"/>
    <col width="19" customWidth="1" min="8" max="8"/>
    <col width="29" customWidth="1" min="9" max="9"/>
  </cols>
  <sheetData>
    <row r="1">
      <c r="A1" s="1" t="inlineStr">
        <is>
          <t>FAMILY PAYROLL &amp; LOANBACK TAX OPTIMIZATION ENGINE</t>
        </is>
      </c>
    </row>
    <row r="2">
      <c r="A2" s="2" t="inlineStr">
        <is>
          <t>Statutory Compliance: Section 115BAC · Section 87A · Rule 2(1)(c)(viii) · Form DPT-3</t>
        </is>
      </c>
    </row>
    <row r="4">
      <c r="A4" s="3" t="inlineStr">
        <is>
          <t>1. THE 3 DESIGNATED FAMILY EMPLOYEES &amp; SALARY STRUCTURE</t>
        </is>
      </c>
    </row>
    <row r="5">
      <c r="A5" s="12" t="inlineStr">
        <is>
          <t>Employee Role</t>
        </is>
      </c>
      <c r="B5" s="12" t="inlineStr">
        <is>
          <t>Designated Family Member</t>
        </is>
      </c>
      <c r="C5" s="12" t="inlineStr">
        <is>
          <t>Gross Annual Salary</t>
        </is>
      </c>
      <c r="D5" s="12" t="inlineStr">
        <is>
          <t>Std Deduction u/s 16(ia)</t>
        </is>
      </c>
      <c r="E5" s="12" t="inlineStr">
        <is>
          <t>Net Taxable Income</t>
        </is>
      </c>
      <c r="F5" s="12" t="inlineStr">
        <is>
          <t>Tax u/s 115BAC</t>
        </is>
      </c>
      <c r="G5" s="12" t="inlineStr">
        <is>
          <t>Rebate u/s 87A</t>
        </is>
      </c>
      <c r="H5" s="12" t="inlineStr">
        <is>
          <t>Net Personal Tax</t>
        </is>
      </c>
      <c r="I5" s="12" t="inlineStr">
        <is>
          <t>Annual Corporate Tax Saved</t>
        </is>
      </c>
    </row>
    <row r="6">
      <c r="A6" s="4" t="inlineStr">
        <is>
          <t>Operations Coordinator</t>
        </is>
      </c>
      <c r="B6" s="4" t="inlineStr">
        <is>
          <t>Mother</t>
        </is>
      </c>
      <c r="C6" s="32" t="n">
        <v>1275000</v>
      </c>
      <c r="D6" s="32" t="n">
        <v>75000</v>
      </c>
      <c r="E6" s="32" t="n">
        <v>1200000</v>
      </c>
      <c r="F6" s="32" t="n">
        <v>80000</v>
      </c>
      <c r="G6" s="32" t="n">
        <v>-80000</v>
      </c>
      <c r="H6" s="32" t="n">
        <v>0</v>
      </c>
      <c r="I6" s="32" t="n">
        <v>320892</v>
      </c>
    </row>
    <row r="7">
      <c r="A7" s="4" t="inlineStr">
        <is>
          <t>Governance Advisor</t>
        </is>
      </c>
      <c r="B7" s="4" t="inlineStr">
        <is>
          <t>Grandmother</t>
        </is>
      </c>
      <c r="C7" s="32" t="n">
        <v>1275000</v>
      </c>
      <c r="D7" s="32" t="n">
        <v>75000</v>
      </c>
      <c r="E7" s="32" t="n">
        <v>1200000</v>
      </c>
      <c r="F7" s="32" t="n">
        <v>80000</v>
      </c>
      <c r="G7" s="32" t="n">
        <v>-80000</v>
      </c>
      <c r="H7" s="32" t="n">
        <v>0</v>
      </c>
      <c r="I7" s="32" t="n">
        <v>320892</v>
      </c>
    </row>
    <row r="8">
      <c r="A8" s="4" t="inlineStr">
        <is>
          <t>Research / Compliance Associate</t>
        </is>
      </c>
      <c r="B8" s="4" t="inlineStr">
        <is>
          <t>Third Family Member (Father/Sibling)</t>
        </is>
      </c>
      <c r="C8" s="32" t="n">
        <v>1275000</v>
      </c>
      <c r="D8" s="32" t="n">
        <v>75000</v>
      </c>
      <c r="E8" s="32" t="n">
        <v>1200000</v>
      </c>
      <c r="F8" s="32" t="n">
        <v>80000</v>
      </c>
      <c r="G8" s="32" t="n">
        <v>-80000</v>
      </c>
      <c r="H8" s="32" t="n">
        <v>0</v>
      </c>
      <c r="I8" s="32" t="n">
        <v>320892</v>
      </c>
    </row>
    <row r="9">
      <c r="A9" s="33" t="inlineStr">
        <is>
          <t>TOTAL (3 EMPLOYEES COMBINED)</t>
        </is>
      </c>
      <c r="B9" s="33" t="inlineStr">
        <is>
          <t>All 3 Members</t>
        </is>
      </c>
      <c r="C9" s="34" t="n">
        <v>3825000</v>
      </c>
      <c r="D9" s="34" t="n">
        <v>225000</v>
      </c>
      <c r="E9" s="34" t="n">
        <v>3600000</v>
      </c>
      <c r="F9" s="34" t="n">
        <v>240000</v>
      </c>
      <c r="G9" s="34" t="n">
        <v>-240000</v>
      </c>
      <c r="H9" s="34" t="n">
        <v>0</v>
      </c>
      <c r="I9" s="34" t="n">
        <v>962676</v>
      </c>
    </row>
    <row r="11">
      <c r="A11" s="3" t="inlineStr">
        <is>
          <t>2. STATUTORY FLOWBACK ENGINE &amp; AUDIT TRAIL</t>
        </is>
      </c>
    </row>
    <row r="12">
      <c r="A12" s="27" t="inlineStr">
        <is>
          <t>Step 1: Employment Contract &amp; Monthly Remittance</t>
        </is>
      </c>
      <c r="B12" s="9" t="inlineStr">
        <is>
          <t>Execute formal employment contracts defining operational duties. Transfer salary monthly via NEFT/RTGS from corporate bank account into individual savings accounts. Issue annual Form 16.</t>
        </is>
      </c>
    </row>
    <row r="13">
      <c r="A13" s="27" t="inlineStr">
        <is>
          <t>Step 2: Section 87A Tax Eraser</t>
        </is>
      </c>
      <c r="B13" s="9" t="inlineStr">
        <is>
          <t>Under the New Tax Regime, taxable salary of ₹12.00 Lakhs incurs ₹80,000 tax, which is 100% rebated to ₹0.00 under Section 87A. Zero personal tax is paid.</t>
        </is>
      </c>
    </row>
    <row r="14">
      <c r="A14" s="27" t="inlineStr">
        <is>
          <t>Step 3: Director Relative Loanback (Rule 2(1)(c)(viii))</t>
        </is>
      </c>
      <c r="B14" s="9" t="inlineStr">
        <is>
          <t>Mother and 3rd relative loan back 90% of their net salary directly to the company. Under Rule 2(1)(c)(viii) of Companies (Acceptance of Deposits) Rules, 2014, loans from a director's relative are exempt deposits.</t>
        </is>
      </c>
    </row>
    <row r="15">
      <c r="A15" s="27" t="inlineStr">
        <is>
          <t>Step 4: Grandmother Blood Gift u/s 56(2)(x)</t>
        </is>
      </c>
      <c r="B15" s="9" t="inlineStr">
        <is>
          <t>Grandmother gifts her net salary to Director or Mother (100% tax-free between lineal relatives), who then executes the compliant loanback to the company.</t>
        </is>
      </c>
    </row>
    <row r="16">
      <c r="A16" s="27" t="inlineStr">
        <is>
          <t>Step 5: Annual ROC Compliance (Form DPT-3)</t>
        </is>
      </c>
      <c r="B16" s="9" t="inlineStr">
        <is>
          <t>File Form DPT-3 with the Registrar of Companies (ROC) on or before June 30th each year, reporting the unsecured loan balances under 'Particulars of transactions by a company not considered as deposit'.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5" t="inlineStr">
        <is>
          <t>NG RISK AND SIZING  ·  roll cost · margin-hike trap · Kelly</t>
        </is>
      </c>
    </row>
    <row r="2">
      <c r="A2" s="36" t="inlineStr">
        <is>
          <t>Three small natural-gas checks on one page. Blue = edit here, green = linked from NG Inputs / NG Data / NG Scenarios.</t>
        </is>
      </c>
    </row>
    <row r="4">
      <c r="A4" s="37" t="inlineStr">
        <is>
          <t>1 · ROLL &amp; COST DRAG  —  what rolling contracts and costs take from return on capital</t>
        </is>
      </c>
    </row>
    <row r="5">
      <c r="A5" s="38" t="inlineStr">
        <is>
          <t>Roll gap per roll (% notional)</t>
        </is>
      </c>
      <c r="B5" s="39" t="n">
        <v>0.01</v>
      </c>
      <c r="C5" s="40" t="inlineStr">
        <is>
          <t>Placeholder — measure from your prices; contango months can exceed 2%</t>
        </is>
      </c>
    </row>
    <row r="6">
      <c r="A6" s="38" t="inlineStr">
        <is>
          <t>Expected rolls per trade</t>
        </is>
      </c>
      <c r="B6" s="41" t="n">
        <v>0.5</v>
      </c>
      <c r="C6" s="40" t="inlineStr">
        <is>
          <t>Swing duration ÷ contract window</t>
        </is>
      </c>
    </row>
    <row r="7">
      <c r="A7" s="38" t="inlineStr">
        <is>
          <t>Txn + brokerage round trip (% notional)</t>
        </is>
      </c>
      <c r="B7" s="42">
        <f>'NG Inputs'!B6</f>
        <v/>
      </c>
      <c r="C7" s="40" t="inlineStr">
        <is>
          <t>From NG Inputs</t>
        </is>
      </c>
    </row>
    <row r="8">
      <c r="A8" s="38" t="inlineStr">
        <is>
          <t>Margin % (base case)</t>
        </is>
      </c>
      <c r="B8" s="43">
        <f>'NG Data'!D134</f>
        <v/>
      </c>
      <c r="C8" s="40" t="inlineStr">
        <is>
          <t>25–30% bucket average from NG Data</t>
        </is>
      </c>
    </row>
    <row r="9">
      <c r="A9" s="38" t="inlineStr">
        <is>
          <t>Gross move per trade</t>
        </is>
      </c>
      <c r="B9" s="43">
        <f>'NG Scenarios'!B6</f>
        <v/>
      </c>
      <c r="C9" s="40" t="inlineStr">
        <is>
          <t>Base-case move from NG Scenarios</t>
        </is>
      </c>
    </row>
    <row r="10">
      <c r="A10" s="38" t="inlineStr">
        <is>
          <t>Company tax rate</t>
        </is>
      </c>
      <c r="B10" s="43">
        <f>'NG Inputs'!B4</f>
        <v/>
      </c>
      <c r="C10" s="40" t="inlineStr">
        <is>
          <t>From NG Inputs</t>
        </is>
      </c>
    </row>
    <row r="11">
      <c r="A11" s="38" t="inlineStr">
        <is>
          <t>Cost per trade (% notional)</t>
        </is>
      </c>
      <c r="B11" s="44">
        <f>B5*B6+B7</f>
        <v/>
      </c>
    </row>
    <row r="12">
      <c r="A12" s="38" t="inlineStr">
        <is>
          <t>Gross return on capital per trade</t>
        </is>
      </c>
      <c r="B12" s="44">
        <f>B9/B8</f>
        <v/>
      </c>
    </row>
    <row r="13">
      <c r="A13" s="38" t="inlineStr">
        <is>
          <t>ROC drag from costs</t>
        </is>
      </c>
      <c r="B13" s="44">
        <f>(B5*B6+B7)/B8</f>
        <v/>
      </c>
    </row>
    <row r="14">
      <c r="A14" s="38" t="inlineStr">
        <is>
          <t>NET return on capital per trade</t>
        </is>
      </c>
      <c r="B14" s="44">
        <f>(B9-B5*B6-B7)/B8</f>
        <v/>
      </c>
    </row>
    <row r="15">
      <c r="A15" s="38" t="inlineStr">
        <is>
          <t>Return lost per trade (points of ROC)</t>
        </is>
      </c>
      <c r="B15" s="44">
        <f>B12-B14</f>
        <v/>
      </c>
    </row>
    <row r="16">
      <c r="A16" s="38" t="inlineStr">
        <is>
          <t>15-year terminal impact, 2 trades/yr, after tax (× factor)</t>
        </is>
      </c>
      <c r="B16" s="45">
        <f>((1+B14*(1-B10))/(1+B12*(1-B10)))^30</f>
        <v/>
      </c>
    </row>
    <row r="18">
      <c r="A18" s="37" t="inlineStr">
        <is>
          <t>2 · MARGIN-HIKE TRAP  —  chance of capital being locked at a higher margin</t>
        </is>
      </c>
    </row>
    <row r="19">
      <c r="A19" s="38" t="inlineStr">
        <is>
          <t>Quiet-spike events observed</t>
        </is>
      </c>
      <c r="B19" s="46" t="n">
        <v>23</v>
      </c>
      <c r="C19" s="40" t="n"/>
    </row>
    <row r="20">
      <c r="A20" s="38" t="inlineStr">
        <is>
          <t>Observation years</t>
        </is>
      </c>
      <c r="B20" s="47" t="n">
        <v>16.4</v>
      </c>
      <c r="C20" s="40" t="n"/>
    </row>
    <row r="21">
      <c r="A21" s="38" t="inlineStr">
        <is>
          <t>Trading days per year</t>
        </is>
      </c>
      <c r="B21" s="46" t="n">
        <v>250</v>
      </c>
      <c r="C21" s="40" t="n"/>
    </row>
    <row r="22">
      <c r="A22" s="38" t="inlineStr">
        <is>
          <t>Trade window (days)</t>
        </is>
      </c>
      <c r="B22" s="46" t="n">
        <v>30</v>
      </c>
      <c r="C22" s="40" t="n"/>
    </row>
    <row r="23">
      <c r="A23" s="38" t="inlineStr">
        <is>
          <t>Margin before hike</t>
        </is>
      </c>
      <c r="B23" s="48">
        <f>B8</f>
        <v/>
      </c>
      <c r="C23" s="40" t="inlineStr">
        <is>
          <t>Linked to section 1</t>
        </is>
      </c>
    </row>
    <row r="24">
      <c r="A24" s="38" t="inlineStr">
        <is>
          <t>Margin after hike</t>
        </is>
      </c>
      <c r="B24" s="39" t="n">
        <v>0.4</v>
      </c>
      <c r="C24" s="40" t="n"/>
    </row>
    <row r="25">
      <c r="A25" s="38" t="inlineStr">
        <is>
          <t>Share of move still to come when hiked</t>
        </is>
      </c>
      <c r="B25" s="39" t="n">
        <v>0.5</v>
      </c>
      <c r="C25" s="40" t="n"/>
    </row>
    <row r="26">
      <c r="A26" s="38" t="inlineStr">
        <is>
          <t>Base gross ROC per trade</t>
        </is>
      </c>
      <c r="B26" s="48">
        <f>B12</f>
        <v/>
      </c>
      <c r="C26" s="40" t="inlineStr">
        <is>
          <t>Linked to section 1</t>
        </is>
      </c>
    </row>
    <row r="27">
      <c r="A27" s="38" t="inlineStr">
        <is>
          <t>Daily quiet-spike probability</t>
        </is>
      </c>
      <c r="B27" s="49">
        <f>B19/(B20*B21)</f>
        <v/>
      </c>
    </row>
    <row r="28">
      <c r="A28" s="38" t="inlineStr">
        <is>
          <t>Chance of a hike inside one trade window</t>
        </is>
      </c>
      <c r="B28" s="44">
        <f>1-(1-B19/(B20*B21))^B22</f>
        <v/>
      </c>
    </row>
    <row r="29">
      <c r="A29" s="38" t="inlineStr">
        <is>
          <t>Forced position cut if fully deployed</t>
        </is>
      </c>
      <c r="B29" s="44">
        <f>1-B23/B24</f>
        <v/>
      </c>
    </row>
    <row r="30">
      <c r="A30" s="38" t="inlineStr">
        <is>
          <t>Expected ROC haircut per trade</t>
        </is>
      </c>
      <c r="B30" s="44">
        <f>B28*B29*B25*B26</f>
        <v/>
      </c>
    </row>
    <row r="31">
      <c r="A31" s="38" t="inlineStr">
        <is>
          <t>Annualised return drag (2 trades/yr, after tax)</t>
        </is>
      </c>
      <c r="B31" s="44">
        <f>((1+(B26-B30)*(1-B10))^2)/((1+B26*(1-B10))^2)-1</f>
        <v/>
      </c>
    </row>
    <row r="32">
      <c r="A32" s="40" t="inlineStr">
        <is>
          <t>Rule: keep free collateral of at least 1 − (margin before ÷ margin after) of the corpus; another reason to stay below full Kelly.</t>
        </is>
      </c>
    </row>
    <row r="34">
      <c r="A34" s="37" t="inlineStr">
        <is>
          <t>3 · KELLY SIZING  —  how much of the corpus to put up as margin</t>
        </is>
      </c>
    </row>
    <row r="35">
      <c r="A35" s="38" t="inlineStr">
        <is>
          <t>Win probability p (YOUR estimate)</t>
        </is>
      </c>
      <c r="B35" s="50" t="n">
        <v>0.55</v>
      </c>
      <c r="C35" s="40" t="inlineStr">
        <is>
          <t>Not data-derived</t>
        </is>
      </c>
    </row>
    <row r="36">
      <c r="A36" s="38" t="inlineStr">
        <is>
          <t>Win return on capital b</t>
        </is>
      </c>
      <c r="B36" s="48">
        <f>B12</f>
        <v/>
      </c>
      <c r="C36" s="40" t="inlineStr">
        <is>
          <t>Linked to section 1</t>
        </is>
      </c>
    </row>
    <row r="37">
      <c r="A37" s="38" t="inlineStr">
        <is>
          <t>Stop-loss adverse move</t>
        </is>
      </c>
      <c r="B37" s="39" t="n">
        <v>0.07000000000000001</v>
      </c>
      <c r="C37" s="40" t="n"/>
    </row>
    <row r="38">
      <c r="A38" s="38" t="inlineStr">
        <is>
          <t>Margin %</t>
        </is>
      </c>
      <c r="B38" s="48">
        <f>B8</f>
        <v/>
      </c>
      <c r="C38" s="40" t="inlineStr">
        <is>
          <t>Linked to section 1</t>
        </is>
      </c>
    </row>
    <row r="39">
      <c r="A39" s="38" t="inlineStr">
        <is>
          <t>Loss per unit staked (stop ÷ margin)</t>
        </is>
      </c>
      <c r="B39" s="44">
        <f>B37/B38</f>
        <v/>
      </c>
    </row>
    <row r="40">
      <c r="A40" s="38" t="inlineStr">
        <is>
          <t>Full Kelly f* = p/a − (1−p)/b</t>
        </is>
      </c>
      <c r="B40" s="51">
        <f>B35/B39-(1-B35)/B36</f>
        <v/>
      </c>
    </row>
    <row r="41">
      <c r="A41" s="38" t="inlineStr">
        <is>
          <t>Deployable (capped at 100%)</t>
        </is>
      </c>
      <c r="B41" s="52">
        <f>MIN(B40,1)</f>
        <v/>
      </c>
    </row>
    <row r="42">
      <c r="A42" s="38" t="inlineStr">
        <is>
          <t>Half-Kelly (recommended)</t>
        </is>
      </c>
      <c r="B42" s="52">
        <f>MIN(B40/2,1)</f>
        <v/>
      </c>
    </row>
    <row r="43">
      <c r="A43" s="38" t="inlineStr">
        <is>
          <t>Expected log-growth per trade at half-Kelly</t>
        </is>
      </c>
      <c r="B43" s="53">
        <f>B35*LN(1+B42*B36)+(1-B35)*LN(1-B42*B39)</f>
        <v/>
      </c>
    </row>
    <row r="44">
      <c r="A44" s="38" t="inlineStr">
        <is>
          <t>Sanity check</t>
        </is>
      </c>
      <c r="B44" s="54">
        <f>IF(B40&gt;1,"⚠ Full Kelly is above 100% — your win rate / stop imply an unrealistic edge; size well below it","OK")</f>
        <v/>
      </c>
    </row>
    <row r="46">
      <c r="A46" s="55" t="inlineStr">
        <is>
          <t>Full-Kelly sensitivity  —  win probability (rows) × stop-loss move (columns)</t>
        </is>
      </c>
    </row>
    <row r="47">
      <c r="A47" s="56" t="inlineStr">
        <is>
          <t>p \ stop</t>
        </is>
      </c>
      <c r="B47" s="57" t="n">
        <v>0.05</v>
      </c>
      <c r="C47" s="57" t="n">
        <v>0.07000000000000001</v>
      </c>
      <c r="D47" s="57" t="n">
        <v>0.1</v>
      </c>
      <c r="E47" s="57" t="n">
        <v>0.12</v>
      </c>
      <c r="F47" s="57" t="n">
        <v>0.15</v>
      </c>
    </row>
    <row r="48">
      <c r="A48" s="50" t="n">
        <v>0.45</v>
      </c>
      <c r="B48" s="58">
        <f>$A48/(B$47/$B$38)-(1-$A48)/$B$36</f>
        <v/>
      </c>
      <c r="C48" s="58">
        <f>$A48/(C$47/$B$38)-(1-$A48)/$B$36</f>
        <v/>
      </c>
      <c r="D48" s="58">
        <f>$A48/(D$47/$B$38)-(1-$A48)/$B$36</f>
        <v/>
      </c>
      <c r="E48" s="58">
        <f>$A48/(E$47/$B$38)-(1-$A48)/$B$36</f>
        <v/>
      </c>
      <c r="F48" s="58">
        <f>$A48/(F$47/$B$38)-(1-$A48)/$B$36</f>
        <v/>
      </c>
    </row>
    <row r="49">
      <c r="A49" s="50" t="n">
        <v>0.5</v>
      </c>
      <c r="B49" s="58">
        <f>$A49/(B$47/$B$38)-(1-$A49)/$B$36</f>
        <v/>
      </c>
      <c r="C49" s="58">
        <f>$A49/(C$47/$B$38)-(1-$A49)/$B$36</f>
        <v/>
      </c>
      <c r="D49" s="58">
        <f>$A49/(D$47/$B$38)-(1-$A49)/$B$36</f>
        <v/>
      </c>
      <c r="E49" s="58">
        <f>$A49/(E$47/$B$38)-(1-$A49)/$B$36</f>
        <v/>
      </c>
      <c r="F49" s="58">
        <f>$A49/(F$47/$B$38)-(1-$A49)/$B$36</f>
        <v/>
      </c>
    </row>
    <row r="50">
      <c r="A50" s="50" t="n">
        <v>0.55</v>
      </c>
      <c r="B50" s="58">
        <f>$A50/(B$47/$B$38)-(1-$A50)/$B$36</f>
        <v/>
      </c>
      <c r="C50" s="58">
        <f>$A50/(C$47/$B$38)-(1-$A50)/$B$36</f>
        <v/>
      </c>
      <c r="D50" s="58">
        <f>$A50/(D$47/$B$38)-(1-$A50)/$B$36</f>
        <v/>
      </c>
      <c r="E50" s="58">
        <f>$A50/(E$47/$B$38)-(1-$A50)/$B$36</f>
        <v/>
      </c>
      <c r="F50" s="58">
        <f>$A50/(F$47/$B$38)-(1-$A50)/$B$36</f>
        <v/>
      </c>
    </row>
    <row r="51">
      <c r="A51" s="50" t="n">
        <v>0.6</v>
      </c>
      <c r="B51" s="58">
        <f>$A51/(B$47/$B$38)-(1-$A51)/$B$36</f>
        <v/>
      </c>
      <c r="C51" s="58">
        <f>$A51/(C$47/$B$38)-(1-$A51)/$B$36</f>
        <v/>
      </c>
      <c r="D51" s="58">
        <f>$A51/(D$47/$B$38)-(1-$A51)/$B$36</f>
        <v/>
      </c>
      <c r="E51" s="58">
        <f>$A51/(E$47/$B$38)-(1-$A51)/$B$36</f>
        <v/>
      </c>
      <c r="F51" s="58">
        <f>$A51/(F$47/$B$38)-(1-$A51)/$B$36</f>
        <v/>
      </c>
    </row>
    <row r="52">
      <c r="A52" s="50" t="n">
        <v>0.65</v>
      </c>
      <c r="B52" s="58">
        <f>$A52/(B$47/$B$38)-(1-$A52)/$B$36</f>
        <v/>
      </c>
      <c r="C52" s="58">
        <f>$A52/(C$47/$B$38)-(1-$A52)/$B$36</f>
        <v/>
      </c>
      <c r="D52" s="58">
        <f>$A52/(D$47/$B$38)-(1-$A52)/$B$36</f>
        <v/>
      </c>
      <c r="E52" s="58">
        <f>$A52/(E$47/$B$38)-(1-$A52)/$B$36</f>
        <v/>
      </c>
      <c r="F52" s="58">
        <f>$A52/(F$47/$B$38)-(1-$A52)/$B$36</f>
        <v/>
      </c>
    </row>
    <row r="53">
      <c r="A53" s="50" t="n">
        <v>0.7</v>
      </c>
      <c r="B53" s="58">
        <f>$A53/(B$47/$B$38)-(1-$A53)/$B$36</f>
        <v/>
      </c>
      <c r="C53" s="58">
        <f>$A53/(C$47/$B$38)-(1-$A53)/$B$36</f>
        <v/>
      </c>
      <c r="D53" s="58">
        <f>$A53/(D$47/$B$38)-(1-$A53)/$B$36</f>
        <v/>
      </c>
      <c r="E53" s="58">
        <f>$A53/(E$47/$B$38)-(1-$A53)/$B$36</f>
        <v/>
      </c>
      <c r="F53" s="58">
        <f>$A53/(F$47/$B$38)-(1-$A53)/$B$36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6" customWidth="1" min="3" max="3"/>
  </cols>
  <sheetData>
    <row r="1">
      <c r="A1" s="59" t="inlineStr">
        <is>
          <t>REBUILT ENGINE  ·  SHARED INPUTS</t>
        </is>
      </c>
    </row>
    <row r="2">
      <c r="A2" s="60" t="inlineStr">
        <is>
          <t>Blue cells drive every NG scenario tab. Edit here; the whole model reprices.</t>
        </is>
      </c>
    </row>
    <row r="3">
      <c r="A3" s="61" t="inlineStr">
        <is>
          <t>Parameter</t>
        </is>
      </c>
      <c r="B3" s="61" t="inlineStr">
        <is>
          <t>Value</t>
        </is>
      </c>
      <c r="C3" s="61" t="inlineStr">
        <is>
          <t>Basis</t>
        </is>
      </c>
    </row>
    <row r="4">
      <c r="A4" s="62" t="inlineStr">
        <is>
          <t>Tax rate (115BAA per-trade)</t>
        </is>
      </c>
      <c r="B4" s="63" t="n">
        <v>0.25168</v>
      </c>
      <c r="C4" s="64" t="inlineStr">
        <is>
          <t>Flat 22%+10% surch+4% cess; applied per trade (conservative vs annual assessment)</t>
        </is>
      </c>
    </row>
    <row r="5">
      <c r="A5" s="62" t="inlineStr">
        <is>
          <t>Roll + carry cost (% notional / trade)</t>
        </is>
      </c>
      <c r="B5" s="65" t="n">
        <v>0.005</v>
      </c>
      <c r="C5" s="64" t="inlineStr">
        <is>
          <t>PDF gives MARGIN term structure only, not price contango; 0.50% is a placeholder INPUT — replace with measured roll gaps</t>
        </is>
      </c>
    </row>
    <row r="6">
      <c r="A6" s="62" t="inlineStr">
        <is>
          <t>Txn + brokerage RT (% notional)</t>
        </is>
      </c>
      <c r="B6" s="63" t="n">
        <v>0.0005999999999999999</v>
      </c>
      <c r="C6" s="64" t="inlineStr">
        <is>
          <t>CTT 0.01% sell side + brokerage + stamp; round trip</t>
        </is>
      </c>
    </row>
    <row r="7">
      <c r="A7" s="62" t="inlineStr">
        <is>
          <t>Daily realized vol (for impact)</t>
        </is>
      </c>
      <c r="B7" s="65" t="n">
        <v>0.028</v>
      </c>
      <c r="C7" s="64" t="inlineStr">
        <is>
          <t>≈45% ann. vol (PDF leg avg) / √252</t>
        </is>
      </c>
    </row>
    <row r="8">
      <c r="A8" s="62" t="inlineStr">
        <is>
          <t>ADV notional (₹)</t>
        </is>
      </c>
      <c r="B8" s="66" t="n">
        <v>37800000000</v>
      </c>
      <c r="C8" s="64" t="inlineStr">
        <is>
          <t>≈100,000 lots/day (PDF 2025-26 legs) × 1,250 mmBtu × ₹302.4 ≈ ₹3,780 Cr</t>
        </is>
      </c>
    </row>
    <row r="9">
      <c r="A9" s="62" t="inlineStr">
        <is>
          <t>Max notional per position (₹)</t>
        </is>
      </c>
      <c r="B9" s="66" t="n">
        <v>3780000000</v>
      </c>
      <c r="C9" s="64" t="inlineStr">
        <is>
          <t>10% of ADV: ≤2%/day participation × ~5-day entry+exit. HARD liquidity ceiling</t>
        </is>
      </c>
    </row>
    <row r="10">
      <c r="A10" s="62" t="inlineStr">
        <is>
          <t>Idle-capital yield (liquid fund)</t>
        </is>
      </c>
      <c r="B10" s="67" t="n">
        <v>0.065</v>
      </c>
      <c r="C10" s="64" t="inlineStr">
        <is>
          <t>Undeployable capital above ceiling parked in liquid funds</t>
        </is>
      </c>
    </row>
    <row r="11">
      <c r="A11" s="62" t="inlineStr">
        <is>
          <t>GIFT gateway capital (₹)</t>
        </is>
      </c>
      <c r="B11" s="68" t="n">
        <v>200000000</v>
      </c>
      <c r="C11" s="64" t="inlineStr">
        <is>
          <t>₹20 Cr — corporate wrapper inflection from US ETF tab</t>
        </is>
      </c>
    </row>
    <row r="12">
      <c r="A12" s="62" t="inlineStr">
        <is>
          <t>Deployment fraction of corpus</t>
        </is>
      </c>
      <c r="B12" s="67" t="n">
        <v>1</v>
      </c>
      <c r="C12" s="64" t="inlineStr">
        <is>
          <t>Set &lt;1 to apply Kelly sizing from Kelly tab</t>
        </is>
      </c>
    </row>
    <row r="14">
      <c r="A14" s="69" t="inlineStr">
        <is>
          <t>PERSONAL TAX TABLES  —  new regime, used by the MCX Company vs Personal tab (business income of an individual trader)</t>
        </is>
      </c>
    </row>
    <row r="15">
      <c r="A15" s="56" t="inlineStr">
        <is>
          <t>Income above ₹ Cr</t>
        </is>
      </c>
      <c r="B15" s="56" t="inlineStr">
        <is>
          <t>Slab rate</t>
        </is>
      </c>
      <c r="C15" s="56" t="inlineStr">
        <is>
          <t>Rate step (used in the formula)</t>
        </is>
      </c>
    </row>
    <row r="16">
      <c r="A16" s="41" t="n">
        <v>0</v>
      </c>
      <c r="B16" s="50" t="n">
        <v>0</v>
      </c>
      <c r="C16" s="70">
        <f>B16</f>
        <v/>
      </c>
    </row>
    <row r="17">
      <c r="A17" s="41" t="n">
        <v>0.04</v>
      </c>
      <c r="B17" s="50" t="n">
        <v>0.05</v>
      </c>
      <c r="C17" s="70">
        <f>B17-B16</f>
        <v/>
      </c>
    </row>
    <row r="18">
      <c r="A18" s="41" t="n">
        <v>0.08</v>
      </c>
      <c r="B18" s="50" t="n">
        <v>0.1</v>
      </c>
      <c r="C18" s="70">
        <f>B18-B17</f>
        <v/>
      </c>
    </row>
    <row r="19">
      <c r="A19" s="41" t="n">
        <v>0.12</v>
      </c>
      <c r="B19" s="50" t="n">
        <v>0.15</v>
      </c>
      <c r="C19" s="70">
        <f>B19-B18</f>
        <v/>
      </c>
    </row>
    <row r="20">
      <c r="A20" s="41" t="n">
        <v>0.16</v>
      </c>
      <c r="B20" s="50" t="n">
        <v>0.2</v>
      </c>
      <c r="C20" s="70">
        <f>B20-B19</f>
        <v/>
      </c>
    </row>
    <row r="21">
      <c r="A21" s="41" t="n">
        <v>0.2</v>
      </c>
      <c r="B21" s="50" t="n">
        <v>0.25</v>
      </c>
      <c r="C21" s="70">
        <f>B21-B20</f>
        <v/>
      </c>
    </row>
    <row r="22">
      <c r="A22" s="41" t="n">
        <v>0.24</v>
      </c>
      <c r="B22" s="50" t="n">
        <v>0.3</v>
      </c>
      <c r="C22" s="70">
        <f>B22-B21</f>
        <v/>
      </c>
    </row>
    <row r="25">
      <c r="A25" s="56" t="inlineStr">
        <is>
          <t>Income above ₹ Cr</t>
        </is>
      </c>
      <c r="B25" s="56" t="inlineStr">
        <is>
          <t>Surcharge</t>
        </is>
      </c>
      <c r="C25" s="56" t="inlineStr">
        <is>
          <t>Note</t>
        </is>
      </c>
    </row>
    <row r="26">
      <c r="A26" s="47" t="n">
        <v>0</v>
      </c>
      <c r="B26" s="50" t="n">
        <v>0</v>
      </c>
      <c r="C26" s="38" t="inlineStr">
        <is>
          <t>Surcharge on total income; no marginal relief modelled (slightly conservative)</t>
        </is>
      </c>
    </row>
    <row r="27">
      <c r="A27" s="47" t="n">
        <v>0.5</v>
      </c>
      <c r="B27" s="50" t="n">
        <v>0.1</v>
      </c>
    </row>
    <row r="28">
      <c r="A28" s="47" t="n">
        <v>1</v>
      </c>
      <c r="B28" s="50" t="n">
        <v>0.15</v>
      </c>
    </row>
    <row r="29">
      <c r="A29" s="47" t="n">
        <v>2</v>
      </c>
      <c r="B29" s="50" t="n">
        <v>0.25</v>
      </c>
    </row>
    <row r="31">
      <c r="A31" s="38" t="inlineStr">
        <is>
          <t>Health &amp; education cess</t>
        </is>
      </c>
      <c r="B31" s="50" t="n">
        <v>0.04</v>
      </c>
    </row>
    <row r="32">
      <c r="A32" s="38" t="inlineStr">
        <is>
          <t>s.87A rebate: no tax up to ₹ Cr</t>
        </is>
      </c>
      <c r="B32" s="41" t="n">
        <v>0.12</v>
      </c>
      <c r="C32" s="40" t="inlineStr">
        <is>
          <t>Slabs as understood for FY2025-26 — confirm current slabs with your CA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30" customWidth="1" min="6" max="6"/>
  </cols>
  <sheetData>
    <row r="1">
      <c r="A1" s="59" t="inlineStr">
        <is>
          <t>DYNAMIC MARGIN ↔ MOVE LINK</t>
        </is>
      </c>
    </row>
    <row r="2">
      <c r="A2" s="60" t="inlineStr">
        <is>
          <t>123 contract legs (2020-2026) from the PDF Leg Dynamics table — kills the Static Margin Fallacy.</t>
        </is>
      </c>
    </row>
    <row r="4">
      <c r="A4" s="61" t="inlineStr">
        <is>
          <t>Year</t>
        </is>
      </c>
      <c r="B4" s="61" t="inlineStr">
        <is>
          <t>Move %</t>
        </is>
      </c>
      <c r="C4" s="61" t="inlineStr">
        <is>
          <t>Avg Margin % during leg</t>
        </is>
      </c>
      <c r="D4" s="61" t="inlineStr">
        <is>
          <t>|Move| %</t>
        </is>
      </c>
      <c r="E4" s="61" t="inlineStr">
        <is>
          <t>Lev. Eff. (|move|/margin)</t>
        </is>
      </c>
    </row>
    <row r="5">
      <c r="A5" s="71" t="n">
        <v>2020</v>
      </c>
      <c r="B5" s="72" t="n">
        <v>-0.2431</v>
      </c>
      <c r="C5" s="72" t="n">
        <v>0.1412</v>
      </c>
      <c r="D5" s="72">
        <f>ABS(B5)</f>
        <v/>
      </c>
      <c r="E5" s="73">
        <f>D5/C5</f>
        <v/>
      </c>
    </row>
    <row r="6">
      <c r="A6" s="74" t="n">
        <v>2020</v>
      </c>
      <c r="B6" s="75" t="n">
        <v>-0.1927</v>
      </c>
      <c r="C6" s="75" t="n">
        <v>0.1153</v>
      </c>
      <c r="D6" s="75">
        <f>ABS(B6)</f>
        <v/>
      </c>
      <c r="E6" s="76">
        <f>D6/C6</f>
        <v/>
      </c>
    </row>
    <row r="7">
      <c r="A7" s="71" t="n">
        <v>2020</v>
      </c>
      <c r="B7" s="72" t="n">
        <v>0.1746</v>
      </c>
      <c r="C7" s="72" t="n">
        <v>0.1417</v>
      </c>
      <c r="D7" s="72">
        <f>ABS(B7)</f>
        <v/>
      </c>
      <c r="E7" s="73">
        <f>D7/C7</f>
        <v/>
      </c>
    </row>
    <row r="8">
      <c r="A8" s="74" t="n">
        <v>2020</v>
      </c>
      <c r="B8" s="75" t="n">
        <v>0.1665</v>
      </c>
      <c r="C8" s="75" t="n">
        <v>0.1297</v>
      </c>
      <c r="D8" s="75">
        <f>ABS(B8)</f>
        <v/>
      </c>
      <c r="E8" s="76">
        <f>D8/C8</f>
        <v/>
      </c>
    </row>
    <row r="9">
      <c r="A9" s="71" t="n">
        <v>2020</v>
      </c>
      <c r="B9" s="72" t="n">
        <v>-0.1842</v>
      </c>
      <c r="C9" s="72" t="n">
        <v>0.1728</v>
      </c>
      <c r="D9" s="72">
        <f>ABS(B9)</f>
        <v/>
      </c>
      <c r="E9" s="73">
        <f>D9/C9</f>
        <v/>
      </c>
    </row>
    <row r="10">
      <c r="A10" s="74" t="n">
        <v>2020</v>
      </c>
      <c r="B10" s="75" t="n">
        <v>-0.1901</v>
      </c>
      <c r="C10" s="75" t="n">
        <v>0.1709</v>
      </c>
      <c r="D10" s="75">
        <f>ABS(B10)</f>
        <v/>
      </c>
      <c r="E10" s="76">
        <f>D10/C10</f>
        <v/>
      </c>
    </row>
    <row r="11">
      <c r="A11" s="71" t="n">
        <v>2020</v>
      </c>
      <c r="B11" s="72" t="n">
        <v>0.2155</v>
      </c>
      <c r="C11" s="72" t="n">
        <v>0.2316</v>
      </c>
      <c r="D11" s="72">
        <f>ABS(B11)</f>
        <v/>
      </c>
      <c r="E11" s="73">
        <f>D11/C11</f>
        <v/>
      </c>
    </row>
    <row r="12">
      <c r="A12" s="74" t="n">
        <v>2020</v>
      </c>
      <c r="B12" s="75" t="n">
        <v>0.2158</v>
      </c>
      <c r="C12" s="75" t="n">
        <v>0.2428</v>
      </c>
      <c r="D12" s="75">
        <f>ABS(B12)</f>
        <v/>
      </c>
      <c r="E12" s="76">
        <f>D12/C12</f>
        <v/>
      </c>
    </row>
    <row r="13">
      <c r="A13" s="71" t="n">
        <v>2020</v>
      </c>
      <c r="B13" s="72" t="n">
        <v>-0.2978</v>
      </c>
      <c r="C13" s="72" t="n">
        <v>0.2164</v>
      </c>
      <c r="D13" s="72">
        <f>ABS(B13)</f>
        <v/>
      </c>
      <c r="E13" s="73">
        <f>D13/C13</f>
        <v/>
      </c>
    </row>
    <row r="14">
      <c r="A14" s="74" t="n">
        <v>2020</v>
      </c>
      <c r="B14" s="75" t="n">
        <v>-0.2316</v>
      </c>
      <c r="C14" s="75" t="n">
        <v>0.2691</v>
      </c>
      <c r="D14" s="75">
        <f>ABS(B14)</f>
        <v/>
      </c>
      <c r="E14" s="76">
        <f>D14/C14</f>
        <v/>
      </c>
    </row>
    <row r="15">
      <c r="A15" s="71" t="n">
        <v>2020</v>
      </c>
      <c r="B15" s="72" t="n">
        <v>-0.1927</v>
      </c>
      <c r="C15" s="72" t="n">
        <v>0.1675</v>
      </c>
      <c r="D15" s="72">
        <f>ABS(B15)</f>
        <v/>
      </c>
      <c r="E15" s="73">
        <f>D15/C15</f>
        <v/>
      </c>
    </row>
    <row r="16">
      <c r="A16" s="74" t="n">
        <v>2020</v>
      </c>
      <c r="B16" s="75" t="n">
        <v>0.209</v>
      </c>
      <c r="C16" s="75" t="n">
        <v>0.2228</v>
      </c>
      <c r="D16" s="75">
        <f>ABS(B16)</f>
        <v/>
      </c>
      <c r="E16" s="76">
        <f>D16/C16</f>
        <v/>
      </c>
    </row>
    <row r="17">
      <c r="A17" s="71" t="n">
        <v>2020</v>
      </c>
      <c r="B17" s="72" t="n">
        <v>0.433</v>
      </c>
      <c r="C17" s="72" t="n">
        <v>0.2528</v>
      </c>
      <c r="D17" s="72">
        <f>ABS(B17)</f>
        <v/>
      </c>
      <c r="E17" s="73">
        <f>D17/C17</f>
        <v/>
      </c>
    </row>
    <row r="18">
      <c r="A18" s="74" t="n">
        <v>2020</v>
      </c>
      <c r="B18" s="75" t="n">
        <v>0.3609</v>
      </c>
      <c r="C18" s="75" t="n">
        <v>0.2319</v>
      </c>
      <c r="D18" s="75">
        <f>ABS(B18)</f>
        <v/>
      </c>
      <c r="E18" s="76">
        <f>D18/C18</f>
        <v/>
      </c>
    </row>
    <row r="19">
      <c r="A19" s="71" t="n">
        <v>2020</v>
      </c>
      <c r="B19" s="72" t="n">
        <v>-0.2441</v>
      </c>
      <c r="C19" s="72" t="n">
        <v>0.2014</v>
      </c>
      <c r="D19" s="72">
        <f>ABS(B19)</f>
        <v/>
      </c>
      <c r="E19" s="73">
        <f>D19/C19</f>
        <v/>
      </c>
    </row>
    <row r="20">
      <c r="A20" s="74" t="n">
        <v>2020</v>
      </c>
      <c r="B20" s="75" t="n">
        <v>-0.1704</v>
      </c>
      <c r="C20" s="75" t="n">
        <v>0.1588</v>
      </c>
      <c r="D20" s="75">
        <f>ABS(B20)</f>
        <v/>
      </c>
      <c r="E20" s="76">
        <f>D20/C20</f>
        <v/>
      </c>
    </row>
    <row r="21">
      <c r="A21" s="71" t="n">
        <v>2020</v>
      </c>
      <c r="B21" s="72" t="n">
        <v>0.2207</v>
      </c>
      <c r="C21" s="72" t="n">
        <v>0.2353</v>
      </c>
      <c r="D21" s="72">
        <f>ABS(B21)</f>
        <v/>
      </c>
      <c r="E21" s="73">
        <f>D21/C21</f>
        <v/>
      </c>
    </row>
    <row r="22">
      <c r="A22" s="74" t="n">
        <v>2020</v>
      </c>
      <c r="B22" s="75" t="n">
        <v>-0.2124</v>
      </c>
      <c r="C22" s="75" t="n">
        <v>0.1487</v>
      </c>
      <c r="D22" s="75">
        <f>ABS(B22)</f>
        <v/>
      </c>
      <c r="E22" s="76">
        <f>D22/C22</f>
        <v/>
      </c>
    </row>
    <row r="23">
      <c r="A23" s="71" t="n">
        <v>2020</v>
      </c>
      <c r="B23" s="72" t="n">
        <v>-0.3027</v>
      </c>
      <c r="C23" s="72" t="n">
        <v>0.1553</v>
      </c>
      <c r="D23" s="72">
        <f>ABS(B23)</f>
        <v/>
      </c>
      <c r="E23" s="73">
        <f>D23/C23</f>
        <v/>
      </c>
    </row>
    <row r="24">
      <c r="A24" s="74" t="n">
        <v>2020</v>
      </c>
      <c r="B24" s="75" t="n">
        <v>0.154</v>
      </c>
      <c r="C24" s="75" t="n">
        <v>0.2152</v>
      </c>
      <c r="D24" s="75">
        <f>ABS(B24)</f>
        <v/>
      </c>
      <c r="E24" s="76">
        <f>D24/C24</f>
        <v/>
      </c>
    </row>
    <row r="25">
      <c r="A25" s="71" t="n">
        <v>2021</v>
      </c>
      <c r="B25" s="72" t="n">
        <v>-0.2063</v>
      </c>
      <c r="C25" s="72" t="n">
        <v>0.1997</v>
      </c>
      <c r="D25" s="72">
        <f>ABS(B25)</f>
        <v/>
      </c>
      <c r="E25" s="73">
        <f>D25/C25</f>
        <v/>
      </c>
    </row>
    <row r="26">
      <c r="A26" s="74" t="n">
        <v>2021</v>
      </c>
      <c r="B26" s="75" t="n">
        <v>0.3672</v>
      </c>
      <c r="C26" s="75" t="n">
        <v>0.2127</v>
      </c>
      <c r="D26" s="75">
        <f>ABS(B26)</f>
        <v/>
      </c>
      <c r="E26" s="76">
        <f>D26/C26</f>
        <v/>
      </c>
    </row>
    <row r="27">
      <c r="A27" s="71" t="n">
        <v>2021</v>
      </c>
      <c r="B27" s="72" t="n">
        <v>0.2075</v>
      </c>
      <c r="C27" s="72" t="n">
        <v>0.2348</v>
      </c>
      <c r="D27" s="72">
        <f>ABS(B27)</f>
        <v/>
      </c>
      <c r="E27" s="73">
        <f>D27/C27</f>
        <v/>
      </c>
    </row>
    <row r="28">
      <c r="A28" s="74" t="n">
        <v>2021</v>
      </c>
      <c r="B28" s="75" t="n">
        <v>0.1582</v>
      </c>
      <c r="C28" s="75" t="n">
        <v>0.1839</v>
      </c>
      <c r="D28" s="75">
        <f>ABS(B28)</f>
        <v/>
      </c>
      <c r="E28" s="76">
        <f>D28/C28</f>
        <v/>
      </c>
    </row>
    <row r="29">
      <c r="A29" s="71" t="n">
        <v>2021</v>
      </c>
      <c r="B29" s="72" t="n">
        <v>-0.174</v>
      </c>
      <c r="C29" s="72" t="n">
        <v>0.1449</v>
      </c>
      <c r="D29" s="72">
        <f>ABS(B29)</f>
        <v/>
      </c>
      <c r="E29" s="73">
        <f>D29/C29</f>
        <v/>
      </c>
    </row>
    <row r="30">
      <c r="A30" s="74" t="n">
        <v>2021</v>
      </c>
      <c r="B30" s="75" t="n">
        <v>0.2223</v>
      </c>
      <c r="C30" s="75" t="n">
        <v>0.1112</v>
      </c>
      <c r="D30" s="75">
        <f>ABS(B30)</f>
        <v/>
      </c>
      <c r="E30" s="76">
        <f>D30/C30</f>
        <v/>
      </c>
    </row>
    <row r="31">
      <c r="A31" s="71" t="n">
        <v>2021</v>
      </c>
      <c r="B31" s="72" t="n">
        <v>0.3473</v>
      </c>
      <c r="C31" s="72" t="n">
        <v>0.1226</v>
      </c>
      <c r="D31" s="72">
        <f>ABS(B31)</f>
        <v/>
      </c>
      <c r="E31" s="73">
        <f>D31/C31</f>
        <v/>
      </c>
    </row>
    <row r="32">
      <c r="A32" s="74" t="n">
        <v>2021</v>
      </c>
      <c r="B32" s="75" t="n">
        <v>0.1633</v>
      </c>
      <c r="C32" s="75" t="n">
        <v>0.1175</v>
      </c>
      <c r="D32" s="75">
        <f>ABS(B32)</f>
        <v/>
      </c>
      <c r="E32" s="76">
        <f>D32/C32</f>
        <v/>
      </c>
    </row>
    <row r="33">
      <c r="A33" s="71" t="n">
        <v>2021</v>
      </c>
      <c r="B33" s="72" t="n">
        <v>0.4003</v>
      </c>
      <c r="C33" s="72" t="n">
        <v>0.16</v>
      </c>
      <c r="D33" s="72">
        <f>ABS(B33)</f>
        <v/>
      </c>
      <c r="E33" s="73">
        <f>D33/C33</f>
        <v/>
      </c>
    </row>
    <row r="34">
      <c r="A34" s="74" t="n">
        <v>2021</v>
      </c>
      <c r="B34" s="75" t="n">
        <v>0.4764</v>
      </c>
      <c r="C34" s="75" t="n">
        <v>0.1966</v>
      </c>
      <c r="D34" s="75">
        <f>ABS(B34)</f>
        <v/>
      </c>
      <c r="E34" s="76">
        <f>D34/C34</f>
        <v/>
      </c>
    </row>
    <row r="35">
      <c r="A35" s="71" t="n">
        <v>2021</v>
      </c>
      <c r="B35" s="72" t="n">
        <v>0.1582</v>
      </c>
      <c r="C35" s="72" t="n">
        <v>0.2413</v>
      </c>
      <c r="D35" s="72">
        <f>ABS(B35)</f>
        <v/>
      </c>
      <c r="E35" s="73">
        <f>D35/C35</f>
        <v/>
      </c>
    </row>
    <row r="36">
      <c r="A36" s="74" t="n">
        <v>2021</v>
      </c>
      <c r="B36" s="75" t="n">
        <v>-0.2537</v>
      </c>
      <c r="C36" s="75" t="n">
        <v>0.2826</v>
      </c>
      <c r="D36" s="75">
        <f>ABS(B36)</f>
        <v/>
      </c>
      <c r="E36" s="76">
        <f>D36/C36</f>
        <v/>
      </c>
    </row>
    <row r="37">
      <c r="A37" s="71" t="n">
        <v>2021</v>
      </c>
      <c r="B37" s="72" t="n">
        <v>-0.1969</v>
      </c>
      <c r="C37" s="72" t="n">
        <v>0.2841</v>
      </c>
      <c r="D37" s="72">
        <f>ABS(B37)</f>
        <v/>
      </c>
      <c r="E37" s="73">
        <f>D37/C37</f>
        <v/>
      </c>
    </row>
    <row r="38">
      <c r="A38" s="74" t="n">
        <v>2021</v>
      </c>
      <c r="B38" s="75" t="n">
        <v>-0.366</v>
      </c>
      <c r="C38" s="75" t="n">
        <v>0.3106</v>
      </c>
      <c r="D38" s="75">
        <f>ABS(B38)</f>
        <v/>
      </c>
      <c r="E38" s="76">
        <f>D38/C38</f>
        <v/>
      </c>
    </row>
    <row r="39">
      <c r="A39" s="71" t="n">
        <v>2022</v>
      </c>
      <c r="B39" s="72" t="n">
        <v>-0.3089</v>
      </c>
      <c r="C39" s="72" t="n">
        <v>0.312</v>
      </c>
      <c r="D39" s="72">
        <f>ABS(B39)</f>
        <v/>
      </c>
      <c r="E39" s="73">
        <f>D39/C39</f>
        <v/>
      </c>
    </row>
    <row r="40">
      <c r="A40" s="74" t="n">
        <v>2022</v>
      </c>
      <c r="B40" s="75" t="n">
        <v>0.5343</v>
      </c>
      <c r="C40" s="75" t="n">
        <v>0.2503</v>
      </c>
      <c r="D40" s="75">
        <f>ABS(B40)</f>
        <v/>
      </c>
      <c r="E40" s="76">
        <f>D40/C40</f>
        <v/>
      </c>
    </row>
    <row r="41">
      <c r="A41" s="71" t="n">
        <v>2022</v>
      </c>
      <c r="B41" s="72" t="n">
        <v>0.2662</v>
      </c>
      <c r="C41" s="72" t="n">
        <v>0.2663</v>
      </c>
      <c r="D41" s="72">
        <f>ABS(B41)</f>
        <v/>
      </c>
      <c r="E41" s="73">
        <f>D41/C41</f>
        <v/>
      </c>
    </row>
    <row r="42">
      <c r="A42" s="74" t="n">
        <v>2022</v>
      </c>
      <c r="B42" s="75" t="n">
        <v>-0.176</v>
      </c>
      <c r="C42" s="75" t="n">
        <v>0.3123</v>
      </c>
      <c r="D42" s="75">
        <f>ABS(B42)</f>
        <v/>
      </c>
      <c r="E42" s="76">
        <f>D42/C42</f>
        <v/>
      </c>
    </row>
    <row r="43">
      <c r="A43" s="71" t="n">
        <v>2022</v>
      </c>
      <c r="B43" s="72" t="n">
        <v>0.1798</v>
      </c>
      <c r="C43" s="72" t="n">
        <v>0.2608</v>
      </c>
      <c r="D43" s="72">
        <f>ABS(B43)</f>
        <v/>
      </c>
      <c r="E43" s="73">
        <f>D43/C43</f>
        <v/>
      </c>
    </row>
    <row r="44">
      <c r="A44" s="74" t="n">
        <v>2022</v>
      </c>
      <c r="B44" s="75" t="n">
        <v>-0.2778</v>
      </c>
      <c r="C44" s="75" t="n">
        <v>0.4162</v>
      </c>
      <c r="D44" s="75">
        <f>ABS(B44)</f>
        <v/>
      </c>
      <c r="E44" s="76">
        <f>D44/C44</f>
        <v/>
      </c>
    </row>
    <row r="45">
      <c r="A45" s="71" t="n">
        <v>2022</v>
      </c>
      <c r="B45" s="72" t="n">
        <v>-0.2081</v>
      </c>
      <c r="C45" s="72" t="n">
        <v>0.3021</v>
      </c>
      <c r="D45" s="72">
        <f>ABS(B45)</f>
        <v/>
      </c>
      <c r="E45" s="73">
        <f>D45/C45</f>
        <v/>
      </c>
    </row>
    <row r="46">
      <c r="A46" s="74" t="n">
        <v>2022</v>
      </c>
      <c r="B46" s="75" t="n">
        <v>0.3437</v>
      </c>
      <c r="C46" s="75" t="n">
        <v>0.2723</v>
      </c>
      <c r="D46" s="75">
        <f>ABS(B46)</f>
        <v/>
      </c>
      <c r="E46" s="76">
        <f>D46/C46</f>
        <v/>
      </c>
    </row>
    <row r="47">
      <c r="A47" s="71" t="n">
        <v>2022</v>
      </c>
      <c r="B47" s="72" t="n">
        <v>0.7635</v>
      </c>
      <c r="C47" s="72" t="n">
        <v>0.234</v>
      </c>
      <c r="D47" s="72">
        <f>ABS(B47)</f>
        <v/>
      </c>
      <c r="E47" s="73">
        <f>D47/C47</f>
        <v/>
      </c>
    </row>
    <row r="48">
      <c r="A48" s="74" t="n">
        <v>2022</v>
      </c>
      <c r="B48" s="75" t="n">
        <v>0.6106</v>
      </c>
      <c r="C48" s="75" t="n">
        <v>0.2375</v>
      </c>
      <c r="D48" s="75">
        <f>ABS(B48)</f>
        <v/>
      </c>
      <c r="E48" s="76">
        <f>D48/C48</f>
        <v/>
      </c>
    </row>
    <row r="49">
      <c r="A49" s="71" t="n">
        <v>2022</v>
      </c>
      <c r="B49" s="72" t="n">
        <v>0.3325</v>
      </c>
      <c r="C49" s="72" t="n">
        <v>0.2726</v>
      </c>
      <c r="D49" s="72">
        <f>ABS(B49)</f>
        <v/>
      </c>
      <c r="E49" s="73">
        <f>D49/C49</f>
        <v/>
      </c>
    </row>
    <row r="50">
      <c r="A50" s="74" t="n">
        <v>2022</v>
      </c>
      <c r="B50" s="75" t="n">
        <v>0.1584</v>
      </c>
      <c r="C50" s="75" t="n">
        <v>0.294</v>
      </c>
      <c r="D50" s="75">
        <f>ABS(B50)</f>
        <v/>
      </c>
      <c r="E50" s="76">
        <f>D50/C50</f>
        <v/>
      </c>
    </row>
    <row r="51">
      <c r="A51" s="71" t="n">
        <v>2022</v>
      </c>
      <c r="B51" s="72" t="n">
        <v>-0.4029</v>
      </c>
      <c r="C51" s="72" t="n">
        <v>0.3114</v>
      </c>
      <c r="D51" s="72">
        <f>ABS(B51)</f>
        <v/>
      </c>
      <c r="E51" s="73">
        <f>D51/C51</f>
        <v/>
      </c>
    </row>
    <row r="52">
      <c r="A52" s="74" t="n">
        <v>2022</v>
      </c>
      <c r="B52" s="75" t="n">
        <v>-0.2807</v>
      </c>
      <c r="C52" s="75" t="n">
        <v>0.2989</v>
      </c>
      <c r="D52" s="75">
        <f>ABS(B52)</f>
        <v/>
      </c>
      <c r="E52" s="76">
        <f>D52/C52</f>
        <v/>
      </c>
    </row>
    <row r="53">
      <c r="A53" s="71" t="n">
        <v>2022</v>
      </c>
      <c r="B53" s="72" t="n">
        <v>-0.1838</v>
      </c>
      <c r="C53" s="72" t="n">
        <v>0.3617</v>
      </c>
      <c r="D53" s="72">
        <f>ABS(B53)</f>
        <v/>
      </c>
      <c r="E53" s="73">
        <f>D53/C53</f>
        <v/>
      </c>
    </row>
    <row r="54">
      <c r="A54" s="74" t="n">
        <v>2022</v>
      </c>
      <c r="B54" s="75" t="n">
        <v>0.7156</v>
      </c>
      <c r="C54" s="75" t="n">
        <v>0.3367</v>
      </c>
      <c r="D54" s="75">
        <f>ABS(B54)</f>
        <v/>
      </c>
      <c r="E54" s="76">
        <f>D54/C54</f>
        <v/>
      </c>
    </row>
    <row r="55">
      <c r="A55" s="71" t="n">
        <v>2022</v>
      </c>
      <c r="B55" s="72" t="n">
        <v>0.4761</v>
      </c>
      <c r="C55" s="72" t="n">
        <v>0.3755</v>
      </c>
      <c r="D55" s="72">
        <f>ABS(B55)</f>
        <v/>
      </c>
      <c r="E55" s="73">
        <f>D55/C55</f>
        <v/>
      </c>
    </row>
    <row r="56">
      <c r="A56" s="74" t="n">
        <v>2022</v>
      </c>
      <c r="B56" s="75" t="n">
        <v>0.2693</v>
      </c>
      <c r="C56" s="75" t="n">
        <v>0.2649</v>
      </c>
      <c r="D56" s="75">
        <f>ABS(B56)</f>
        <v/>
      </c>
      <c r="E56" s="76">
        <f>D56/C56</f>
        <v/>
      </c>
    </row>
    <row r="57">
      <c r="A57" s="71" t="n">
        <v>2022</v>
      </c>
      <c r="B57" s="72" t="n">
        <v>-0.2303</v>
      </c>
      <c r="C57" s="72" t="n">
        <v>0.2338</v>
      </c>
      <c r="D57" s="72">
        <f>ABS(B57)</f>
        <v/>
      </c>
      <c r="E57" s="73">
        <f>D57/C57</f>
        <v/>
      </c>
    </row>
    <row r="58">
      <c r="A58" s="74" t="n">
        <v>2022</v>
      </c>
      <c r="B58" s="75" t="n">
        <v>-0.4567</v>
      </c>
      <c r="C58" s="75" t="n">
        <v>0.2275</v>
      </c>
      <c r="D58" s="75">
        <f>ABS(B58)</f>
        <v/>
      </c>
      <c r="E58" s="76">
        <f>D58/C58</f>
        <v/>
      </c>
    </row>
    <row r="59">
      <c r="A59" s="71" t="n">
        <v>2022</v>
      </c>
      <c r="B59" s="72" t="n">
        <v>-0.2441</v>
      </c>
      <c r="C59" s="72" t="n">
        <v>0.2062</v>
      </c>
      <c r="D59" s="72">
        <f>ABS(B59)</f>
        <v/>
      </c>
      <c r="E59" s="73">
        <f>D59/C59</f>
        <v/>
      </c>
    </row>
    <row r="60">
      <c r="A60" s="74" t="n">
        <v>2022</v>
      </c>
      <c r="B60" s="75" t="n">
        <v>0.2785</v>
      </c>
      <c r="C60" s="75" t="n">
        <v>0.2803</v>
      </c>
      <c r="D60" s="75">
        <f>ABS(B60)</f>
        <v/>
      </c>
      <c r="E60" s="76">
        <f>D60/C60</f>
        <v/>
      </c>
    </row>
    <row r="61">
      <c r="A61" s="71" t="n">
        <v>2022</v>
      </c>
      <c r="B61" s="72" t="n">
        <v>0.2692</v>
      </c>
      <c r="C61" s="72" t="n">
        <v>0.303</v>
      </c>
      <c r="D61" s="72">
        <f>ABS(B61)</f>
        <v/>
      </c>
      <c r="E61" s="73">
        <f>D61/C61</f>
        <v/>
      </c>
    </row>
    <row r="62">
      <c r="A62" s="74" t="n">
        <v>2022</v>
      </c>
      <c r="B62" s="75" t="n">
        <v>-0.1809</v>
      </c>
      <c r="C62" s="75" t="n">
        <v>0.4041</v>
      </c>
      <c r="D62" s="75">
        <f>ABS(B62)</f>
        <v/>
      </c>
      <c r="E62" s="76">
        <f>D62/C62</f>
        <v/>
      </c>
    </row>
    <row r="63">
      <c r="A63" s="71" t="n">
        <v>2022</v>
      </c>
      <c r="B63" s="72" t="n">
        <v>-0.3157</v>
      </c>
      <c r="C63" s="72" t="n">
        <v>0.3341</v>
      </c>
      <c r="D63" s="72">
        <f>ABS(B63)</f>
        <v/>
      </c>
      <c r="E63" s="73">
        <f>D63/C63</f>
        <v/>
      </c>
    </row>
    <row r="64">
      <c r="A64" s="74" t="n">
        <v>2023</v>
      </c>
      <c r="B64" s="75" t="n">
        <v>-0.5482</v>
      </c>
      <c r="C64" s="75" t="n">
        <v>0.3509</v>
      </c>
      <c r="D64" s="75">
        <f>ABS(B64)</f>
        <v/>
      </c>
      <c r="E64" s="76">
        <f>D64/C64</f>
        <v/>
      </c>
    </row>
    <row r="65">
      <c r="A65" s="71" t="n">
        <v>2023</v>
      </c>
      <c r="B65" s="72" t="n">
        <v>-0.5364</v>
      </c>
      <c r="C65" s="72" t="n">
        <v>0.2973</v>
      </c>
      <c r="D65" s="72">
        <f>ABS(B65)</f>
        <v/>
      </c>
      <c r="E65" s="73">
        <f>D65/C65</f>
        <v/>
      </c>
    </row>
    <row r="66">
      <c r="A66" s="74" t="n">
        <v>2023</v>
      </c>
      <c r="B66" s="75" t="n">
        <v>-0.2433</v>
      </c>
      <c r="C66" s="75" t="n">
        <v>0.2394</v>
      </c>
      <c r="D66" s="75">
        <f>ABS(B66)</f>
        <v/>
      </c>
      <c r="E66" s="76">
        <f>D66/C66</f>
        <v/>
      </c>
    </row>
    <row r="67">
      <c r="A67" s="71" t="n">
        <v>2023</v>
      </c>
      <c r="B67" s="72" t="n">
        <v>0.3183</v>
      </c>
      <c r="C67" s="72" t="n">
        <v>0.2682</v>
      </c>
      <c r="D67" s="72">
        <f>ABS(B67)</f>
        <v/>
      </c>
      <c r="E67" s="73">
        <f>D67/C67</f>
        <v/>
      </c>
    </row>
    <row r="68">
      <c r="A68" s="74" t="n">
        <v>2023</v>
      </c>
      <c r="B68" s="75" t="n">
        <v>-0.3534</v>
      </c>
      <c r="C68" s="75" t="n">
        <v>0.2627</v>
      </c>
      <c r="D68" s="75">
        <f>ABS(B68)</f>
        <v/>
      </c>
      <c r="E68" s="76">
        <f>D68/C68</f>
        <v/>
      </c>
    </row>
    <row r="69">
      <c r="A69" s="71" t="n">
        <v>2023</v>
      </c>
      <c r="B69" s="72" t="n">
        <v>-0.2704</v>
      </c>
      <c r="C69" s="72" t="n">
        <v>0.3277</v>
      </c>
      <c r="D69" s="72">
        <f>ABS(B69)</f>
        <v/>
      </c>
      <c r="E69" s="73">
        <f>D69/C69</f>
        <v/>
      </c>
    </row>
    <row r="70">
      <c r="A70" s="74" t="n">
        <v>2023</v>
      </c>
      <c r="B70" s="75" t="n">
        <v>-0.1641</v>
      </c>
      <c r="C70" s="75" t="n">
        <v>0.2261</v>
      </c>
      <c r="D70" s="75">
        <f>ABS(B70)</f>
        <v/>
      </c>
      <c r="E70" s="76">
        <f>D70/C70</f>
        <v/>
      </c>
    </row>
    <row r="71">
      <c r="A71" s="71" t="n">
        <v>2023</v>
      </c>
      <c r="B71" s="72" t="n">
        <v>0.2302</v>
      </c>
      <c r="C71" s="72" t="n">
        <v>0.2139</v>
      </c>
      <c r="D71" s="72">
        <f>ABS(B71)</f>
        <v/>
      </c>
      <c r="E71" s="73">
        <f>D71/C71</f>
        <v/>
      </c>
    </row>
    <row r="72">
      <c r="A72" s="74" t="n">
        <v>2023</v>
      </c>
      <c r="B72" s="75" t="n">
        <v>0.1775</v>
      </c>
      <c r="C72" s="75" t="n">
        <v>0.1872</v>
      </c>
      <c r="D72" s="75">
        <f>ABS(B72)</f>
        <v/>
      </c>
      <c r="E72" s="76">
        <f>D72/C72</f>
        <v/>
      </c>
    </row>
    <row r="73">
      <c r="A73" s="71" t="n">
        <v>2023</v>
      </c>
      <c r="B73" s="72" t="n">
        <v>-0.1996</v>
      </c>
      <c r="C73" s="72" t="n">
        <v>0.2011</v>
      </c>
      <c r="D73" s="72">
        <f>ABS(B73)</f>
        <v/>
      </c>
      <c r="E73" s="73">
        <f>D73/C73</f>
        <v/>
      </c>
    </row>
    <row r="74">
      <c r="A74" s="74" t="n">
        <v>2023</v>
      </c>
      <c r="B74" s="75" t="n">
        <v>0.2383</v>
      </c>
      <c r="C74" s="75" t="n">
        <v>0.1868</v>
      </c>
      <c r="D74" s="75">
        <f>ABS(B74)</f>
        <v/>
      </c>
      <c r="E74" s="76">
        <f>D74/C74</f>
        <v/>
      </c>
    </row>
    <row r="75">
      <c r="A75" s="71" t="n">
        <v>2023</v>
      </c>
      <c r="B75" s="72" t="n">
        <v>0.2139</v>
      </c>
      <c r="C75" s="72" t="n">
        <v>0.1965</v>
      </c>
      <c r="D75" s="72">
        <f>ABS(B75)</f>
        <v/>
      </c>
      <c r="E75" s="73">
        <f>D75/C75</f>
        <v/>
      </c>
    </row>
    <row r="76">
      <c r="A76" s="74" t="n">
        <v>2023</v>
      </c>
      <c r="B76" s="75" t="n">
        <v>0.1671</v>
      </c>
      <c r="C76" s="75" t="n">
        <v>0.161</v>
      </c>
      <c r="D76" s="75">
        <f>ABS(B76)</f>
        <v/>
      </c>
      <c r="E76" s="76">
        <f>D76/C76</f>
        <v/>
      </c>
    </row>
    <row r="77">
      <c r="A77" s="71" t="n">
        <v>2023</v>
      </c>
      <c r="B77" s="72" t="n">
        <v>0.1859</v>
      </c>
      <c r="C77" s="72" t="n">
        <v>0.1795</v>
      </c>
      <c r="D77" s="72">
        <f>ABS(B77)</f>
        <v/>
      </c>
      <c r="E77" s="73">
        <f>D77/C77</f>
        <v/>
      </c>
    </row>
    <row r="78">
      <c r="A78" s="74" t="n">
        <v>2023</v>
      </c>
      <c r="B78" s="75" t="n">
        <v>-0.1594</v>
      </c>
      <c r="C78" s="75" t="n">
        <v>0.1793</v>
      </c>
      <c r="D78" s="75">
        <f>ABS(B78)</f>
        <v/>
      </c>
      <c r="E78" s="76">
        <f>D78/C78</f>
        <v/>
      </c>
    </row>
    <row r="79">
      <c r="A79" s="71" t="n">
        <v>2023</v>
      </c>
      <c r="B79" s="72" t="n">
        <v>-0.1506</v>
      </c>
      <c r="C79" s="72" t="n">
        <v>0.2155</v>
      </c>
      <c r="D79" s="72">
        <f>ABS(B79)</f>
        <v/>
      </c>
      <c r="E79" s="73">
        <f>D79/C79</f>
        <v/>
      </c>
    </row>
    <row r="80">
      <c r="A80" s="74" t="n">
        <v>2023</v>
      </c>
      <c r="B80" s="75" t="n">
        <v>0.1864</v>
      </c>
      <c r="C80" s="75" t="n">
        <v>0.1374</v>
      </c>
      <c r="D80" s="75">
        <f>ABS(B80)</f>
        <v/>
      </c>
      <c r="E80" s="76">
        <f>D80/C80</f>
        <v/>
      </c>
    </row>
    <row r="81">
      <c r="A81" s="71" t="n">
        <v>2023</v>
      </c>
      <c r="B81" s="72" t="n">
        <v>-0.2143</v>
      </c>
      <c r="C81" s="72" t="n">
        <v>0.165</v>
      </c>
      <c r="D81" s="72">
        <f>ABS(B81)</f>
        <v/>
      </c>
      <c r="E81" s="73">
        <f>D81/C81</f>
        <v/>
      </c>
    </row>
    <row r="82">
      <c r="A82" s="74" t="n">
        <v>2023</v>
      </c>
      <c r="B82" s="75" t="n">
        <v>-0.389</v>
      </c>
      <c r="C82" s="75" t="n">
        <v>0.1698</v>
      </c>
      <c r="D82" s="75">
        <f>ABS(B82)</f>
        <v/>
      </c>
      <c r="E82" s="76">
        <f>D82/C82</f>
        <v/>
      </c>
    </row>
    <row r="83">
      <c r="A83" s="71" t="n">
        <v>2024</v>
      </c>
      <c r="B83" s="72" t="n">
        <v>-0.2158</v>
      </c>
      <c r="C83" s="72" t="n">
        <v>0.2071</v>
      </c>
      <c r="D83" s="72">
        <f>ABS(B83)</f>
        <v/>
      </c>
      <c r="E83" s="73">
        <f>D83/C83</f>
        <v/>
      </c>
    </row>
    <row r="84">
      <c r="A84" s="74" t="n">
        <v>2024</v>
      </c>
      <c r="B84" s="75" t="n">
        <v>0.4391</v>
      </c>
      <c r="C84" s="75" t="n">
        <v>0.2341</v>
      </c>
      <c r="D84" s="75">
        <f>ABS(B84)</f>
        <v/>
      </c>
      <c r="E84" s="76">
        <f>D84/C84</f>
        <v/>
      </c>
    </row>
    <row r="85">
      <c r="A85" s="71" t="n">
        <v>2024</v>
      </c>
      <c r="B85" s="72" t="n">
        <v>-0.4291</v>
      </c>
      <c r="C85" s="72" t="n">
        <v>0.2149</v>
      </c>
      <c r="D85" s="72">
        <f>ABS(B85)</f>
        <v/>
      </c>
      <c r="E85" s="73">
        <f>D85/C85</f>
        <v/>
      </c>
    </row>
    <row r="86">
      <c r="A86" s="74" t="n">
        <v>2024</v>
      </c>
      <c r="B86" s="75" t="n">
        <v>-0.2303</v>
      </c>
      <c r="C86" s="75" t="n">
        <v>0.3311</v>
      </c>
      <c r="D86" s="75">
        <f>ABS(B86)</f>
        <v/>
      </c>
      <c r="E86" s="76">
        <f>D86/C86</f>
        <v/>
      </c>
    </row>
    <row r="87">
      <c r="A87" s="71" t="n">
        <v>2024</v>
      </c>
      <c r="B87" s="72" t="n">
        <v>-0.255</v>
      </c>
      <c r="C87" s="72" t="n">
        <v>0.1983</v>
      </c>
      <c r="D87" s="72">
        <f>ABS(B87)</f>
        <v/>
      </c>
      <c r="E87" s="73">
        <f>D87/C87</f>
        <v/>
      </c>
    </row>
    <row r="88">
      <c r="A88" s="74" t="n">
        <v>2024</v>
      </c>
      <c r="B88" s="75" t="n">
        <v>0.1766</v>
      </c>
      <c r="C88" s="75" t="n">
        <v>0.2445</v>
      </c>
      <c r="D88" s="75">
        <f>ABS(B88)</f>
        <v/>
      </c>
      <c r="E88" s="76">
        <f>D88/C88</f>
        <v/>
      </c>
    </row>
    <row r="89">
      <c r="A89" s="71" t="n">
        <v>2024</v>
      </c>
      <c r="B89" s="72" t="n">
        <v>-0.1945</v>
      </c>
      <c r="C89" s="72" t="n">
        <v>0.1954</v>
      </c>
      <c r="D89" s="72">
        <f>ABS(B89)</f>
        <v/>
      </c>
      <c r="E89" s="73">
        <f>D89/C89</f>
        <v/>
      </c>
    </row>
    <row r="90">
      <c r="A90" s="74" t="n">
        <v>2024</v>
      </c>
      <c r="B90" s="75" t="n">
        <v>0.3429</v>
      </c>
      <c r="C90" s="75" t="n">
        <v>0.1784</v>
      </c>
      <c r="D90" s="75">
        <f>ABS(B90)</f>
        <v/>
      </c>
      <c r="E90" s="76">
        <f>D90/C90</f>
        <v/>
      </c>
    </row>
    <row r="91">
      <c r="A91" s="71" t="n">
        <v>2024</v>
      </c>
      <c r="B91" s="72" t="n">
        <v>0.4592</v>
      </c>
      <c r="C91" s="72" t="n">
        <v>0.1767</v>
      </c>
      <c r="D91" s="72">
        <f>ABS(B91)</f>
        <v/>
      </c>
      <c r="E91" s="73">
        <f>D91/C91</f>
        <v/>
      </c>
    </row>
    <row r="92">
      <c r="A92" s="74" t="n">
        <v>2024</v>
      </c>
      <c r="B92" s="75" t="n">
        <v>0.1768</v>
      </c>
      <c r="C92" s="75" t="n">
        <v>0.1792</v>
      </c>
      <c r="D92" s="75">
        <f>ABS(B92)</f>
        <v/>
      </c>
      <c r="E92" s="76">
        <f>D92/C92</f>
        <v/>
      </c>
    </row>
    <row r="93">
      <c r="A93" s="71" t="n">
        <v>2024</v>
      </c>
      <c r="B93" s="72" t="n">
        <v>-0.35</v>
      </c>
      <c r="C93" s="72" t="n">
        <v>0.202</v>
      </c>
      <c r="D93" s="72">
        <f>ABS(B93)</f>
        <v/>
      </c>
      <c r="E93" s="73">
        <f>D93/C93</f>
        <v/>
      </c>
    </row>
    <row r="94">
      <c r="A94" s="74" t="n">
        <v>2024</v>
      </c>
      <c r="B94" s="75" t="n">
        <v>-0.2462</v>
      </c>
      <c r="C94" s="75" t="n">
        <v>0.1859</v>
      </c>
      <c r="D94" s="75">
        <f>ABS(B94)</f>
        <v/>
      </c>
      <c r="E94" s="76">
        <f>D94/C94</f>
        <v/>
      </c>
    </row>
    <row r="95">
      <c r="A95" s="71" t="n">
        <v>2024</v>
      </c>
      <c r="B95" s="72" t="n">
        <v>0.1649</v>
      </c>
      <c r="C95" s="72" t="n">
        <v>0.182</v>
      </c>
      <c r="D95" s="72">
        <f>ABS(B95)</f>
        <v/>
      </c>
      <c r="E95" s="73">
        <f>D95/C95</f>
        <v/>
      </c>
    </row>
    <row r="96">
      <c r="A96" s="74" t="n">
        <v>2024</v>
      </c>
      <c r="B96" s="75" t="n">
        <v>0.1827</v>
      </c>
      <c r="C96" s="75" t="n">
        <v>0.1605</v>
      </c>
      <c r="D96" s="75">
        <f>ABS(B96)</f>
        <v/>
      </c>
      <c r="E96" s="76">
        <f>D96/C96</f>
        <v/>
      </c>
    </row>
    <row r="97">
      <c r="A97" s="71" t="n">
        <v>2024</v>
      </c>
      <c r="B97" s="72" t="n">
        <v>-0.204</v>
      </c>
      <c r="C97" s="72" t="n">
        <v>0.1877</v>
      </c>
      <c r="D97" s="72">
        <f>ABS(B97)</f>
        <v/>
      </c>
      <c r="E97" s="73">
        <f>D97/C97</f>
        <v/>
      </c>
    </row>
    <row r="98">
      <c r="A98" s="74" t="n">
        <v>2024</v>
      </c>
      <c r="B98" s="75" t="n">
        <v>-0.2339</v>
      </c>
      <c r="C98" s="75" t="n">
        <v>0.1805</v>
      </c>
      <c r="D98" s="75">
        <f>ABS(B98)</f>
        <v/>
      </c>
      <c r="E98" s="76">
        <f>D98/C98</f>
        <v/>
      </c>
    </row>
    <row r="99">
      <c r="A99" s="71" t="n">
        <v>2024</v>
      </c>
      <c r="B99" s="72" t="n">
        <v>0.1922</v>
      </c>
      <c r="C99" s="72" t="n">
        <v>0.2252</v>
      </c>
      <c r="D99" s="72">
        <f>ABS(B99)</f>
        <v/>
      </c>
      <c r="E99" s="73">
        <f>D99/C99</f>
        <v/>
      </c>
    </row>
    <row r="100">
      <c r="A100" s="74" t="n">
        <v>2024</v>
      </c>
      <c r="B100" s="75" t="n">
        <v>0.2964</v>
      </c>
      <c r="C100" s="75" t="n">
        <v>0.2093</v>
      </c>
      <c r="D100" s="75">
        <f>ABS(B100)</f>
        <v/>
      </c>
      <c r="E100" s="76">
        <f>D100/C100</f>
        <v/>
      </c>
    </row>
    <row r="101">
      <c r="A101" s="71" t="n">
        <v>2025</v>
      </c>
      <c r="B101" s="72" t="n">
        <v>0.4303</v>
      </c>
      <c r="C101" s="72" t="n">
        <v>0.3019</v>
      </c>
      <c r="D101" s="72">
        <f>ABS(B101)</f>
        <v/>
      </c>
      <c r="E101" s="73">
        <f>D101/C101</f>
        <v/>
      </c>
    </row>
    <row r="102">
      <c r="A102" s="74" t="n">
        <v>2025</v>
      </c>
      <c r="B102" s="75" t="n">
        <v>0.4693</v>
      </c>
      <c r="C102" s="75" t="n">
        <v>0.2364</v>
      </c>
      <c r="D102" s="75">
        <f>ABS(B102)</f>
        <v/>
      </c>
      <c r="E102" s="76">
        <f>D102/C102</f>
        <v/>
      </c>
    </row>
    <row r="103">
      <c r="A103" s="71" t="n">
        <v>2025</v>
      </c>
      <c r="B103" s="72" t="n">
        <v>0.4703</v>
      </c>
      <c r="C103" s="72" t="n">
        <v>0.2269</v>
      </c>
      <c r="D103" s="72">
        <f>ABS(B103)</f>
        <v/>
      </c>
      <c r="E103" s="73">
        <f>D103/C103</f>
        <v/>
      </c>
    </row>
    <row r="104">
      <c r="A104" s="74" t="n">
        <v>2025</v>
      </c>
      <c r="B104" s="75" t="n">
        <v>0.1612</v>
      </c>
      <c r="C104" s="75" t="n">
        <v>0.31</v>
      </c>
      <c r="D104" s="75">
        <f>ABS(B104)</f>
        <v/>
      </c>
      <c r="E104" s="76">
        <f>D104/C104</f>
        <v/>
      </c>
    </row>
    <row r="105">
      <c r="A105" s="71" t="n">
        <v>2025</v>
      </c>
      <c r="B105" s="72" t="n">
        <v>-0.3054</v>
      </c>
      <c r="C105" s="72" t="n">
        <v>0.2603</v>
      </c>
      <c r="D105" s="72">
        <f>ABS(B105)</f>
        <v/>
      </c>
      <c r="E105" s="73">
        <f>D105/C105</f>
        <v/>
      </c>
    </row>
    <row r="106">
      <c r="A106" s="74" t="n">
        <v>2025</v>
      </c>
      <c r="B106" s="75" t="n">
        <v>-0.2769</v>
      </c>
      <c r="C106" s="75" t="n">
        <v>0.2908</v>
      </c>
      <c r="D106" s="75">
        <f>ABS(B106)</f>
        <v/>
      </c>
      <c r="E106" s="76">
        <f>D106/C106</f>
        <v/>
      </c>
    </row>
    <row r="107">
      <c r="A107" s="71" t="n">
        <v>2025</v>
      </c>
      <c r="B107" s="72" t="n">
        <v>0.2235</v>
      </c>
      <c r="C107" s="72" t="n">
        <v>0.262</v>
      </c>
      <c r="D107" s="72">
        <f>ABS(B107)</f>
        <v/>
      </c>
      <c r="E107" s="73">
        <f>D107/C107</f>
        <v/>
      </c>
    </row>
    <row r="108">
      <c r="A108" s="74" t="n">
        <v>2025</v>
      </c>
      <c r="B108" s="75" t="n">
        <v>-0.169</v>
      </c>
      <c r="C108" s="75" t="n">
        <v>0.2465</v>
      </c>
      <c r="D108" s="75">
        <f>ABS(B108)</f>
        <v/>
      </c>
      <c r="E108" s="76">
        <f>D108/C108</f>
        <v/>
      </c>
    </row>
    <row r="109">
      <c r="A109" s="71" t="n">
        <v>2025</v>
      </c>
      <c r="B109" s="72" t="n">
        <v>0.1899</v>
      </c>
      <c r="C109" s="72" t="n">
        <v>0.223</v>
      </c>
      <c r="D109" s="72">
        <f>ABS(B109)</f>
        <v/>
      </c>
      <c r="E109" s="73">
        <f>D109/C109</f>
        <v/>
      </c>
    </row>
    <row r="110">
      <c r="A110" s="74" t="n">
        <v>2025</v>
      </c>
      <c r="B110" s="75" t="n">
        <v>0.1877</v>
      </c>
      <c r="C110" s="75" t="n">
        <v>0.2169</v>
      </c>
      <c r="D110" s="75">
        <f>ABS(B110)</f>
        <v/>
      </c>
      <c r="E110" s="76">
        <f>D110/C110</f>
        <v/>
      </c>
    </row>
    <row r="111">
      <c r="A111" s="71" t="n">
        <v>2025</v>
      </c>
      <c r="B111" s="72" t="n">
        <v>-0.2601</v>
      </c>
      <c r="C111" s="72" t="n">
        <v>0.2269</v>
      </c>
      <c r="D111" s="72">
        <f>ABS(B111)</f>
        <v/>
      </c>
      <c r="E111" s="73">
        <f>D111/C111</f>
        <v/>
      </c>
    </row>
    <row r="112">
      <c r="A112" s="74" t="n">
        <v>2025</v>
      </c>
      <c r="B112" s="75" t="n">
        <v>-0.2548</v>
      </c>
      <c r="C112" s="75" t="n">
        <v>0.2176</v>
      </c>
      <c r="D112" s="75">
        <f>ABS(B112)</f>
        <v/>
      </c>
      <c r="E112" s="76">
        <f>D112/C112</f>
        <v/>
      </c>
    </row>
    <row r="113">
      <c r="A113" s="71" t="n">
        <v>2025</v>
      </c>
      <c r="B113" s="72" t="n">
        <v>-0.157</v>
      </c>
      <c r="C113" s="72" t="n">
        <v>0.1486</v>
      </c>
      <c r="D113" s="72">
        <f>ABS(B113)</f>
        <v/>
      </c>
      <c r="E113" s="73">
        <f>D113/C113</f>
        <v/>
      </c>
    </row>
    <row r="114">
      <c r="A114" s="74" t="n">
        <v>2025</v>
      </c>
      <c r="B114" s="75" t="n">
        <v>0.2851</v>
      </c>
      <c r="C114" s="75" t="n">
        <v>0.1614</v>
      </c>
      <c r="D114" s="75">
        <f>ABS(B114)</f>
        <v/>
      </c>
      <c r="E114" s="76">
        <f>D114/C114</f>
        <v/>
      </c>
    </row>
    <row r="115">
      <c r="A115" s="71" t="n">
        <v>2025</v>
      </c>
      <c r="B115" s="72" t="n">
        <v>0.1755</v>
      </c>
      <c r="C115" s="72" t="n">
        <v>0.1964</v>
      </c>
      <c r="D115" s="72">
        <f>ABS(B115)</f>
        <v/>
      </c>
      <c r="E115" s="73">
        <f>D115/C115</f>
        <v/>
      </c>
    </row>
    <row r="116">
      <c r="A116" s="74" t="n">
        <v>2025</v>
      </c>
      <c r="B116" s="75" t="n">
        <v>0.3385</v>
      </c>
      <c r="C116" s="75" t="n">
        <v>0.1493</v>
      </c>
      <c r="D116" s="75">
        <f>ABS(B116)</f>
        <v/>
      </c>
      <c r="E116" s="76">
        <f>D116/C116</f>
        <v/>
      </c>
    </row>
    <row r="117">
      <c r="A117" s="71" t="n">
        <v>2025</v>
      </c>
      <c r="B117" s="72" t="n">
        <v>-0.2705</v>
      </c>
      <c r="C117" s="72" t="n">
        <v>0.2533</v>
      </c>
      <c r="D117" s="72">
        <f>ABS(B117)</f>
        <v/>
      </c>
      <c r="E117" s="73">
        <f>D117/C117</f>
        <v/>
      </c>
    </row>
    <row r="118">
      <c r="A118" s="74" t="n">
        <v>2026</v>
      </c>
      <c r="B118" s="75" t="n">
        <v>-0.3744</v>
      </c>
      <c r="C118" s="75" t="n">
        <v>0.2346</v>
      </c>
      <c r="D118" s="75">
        <f>ABS(B118)</f>
        <v/>
      </c>
      <c r="E118" s="76">
        <f>D118/C118</f>
        <v/>
      </c>
    </row>
    <row r="119">
      <c r="A119" s="71" t="n">
        <v>2026</v>
      </c>
      <c r="B119" s="72" t="n">
        <v>-0.2048</v>
      </c>
      <c r="C119" s="72" t="n">
        <v>0.2157</v>
      </c>
      <c r="D119" s="72">
        <f>ABS(B119)</f>
        <v/>
      </c>
      <c r="E119" s="73">
        <f>D119/C119</f>
        <v/>
      </c>
    </row>
    <row r="120">
      <c r="A120" s="74" t="n">
        <v>2026</v>
      </c>
      <c r="B120" s="75" t="n">
        <v>0.609</v>
      </c>
      <c r="C120" s="75" t="n">
        <v>0.297</v>
      </c>
      <c r="D120" s="75">
        <f>ABS(B120)</f>
        <v/>
      </c>
      <c r="E120" s="76">
        <f>D120/C120</f>
        <v/>
      </c>
    </row>
    <row r="121">
      <c r="A121" s="71" t="n">
        <v>2026</v>
      </c>
      <c r="B121" s="72" t="n">
        <v>0.6523</v>
      </c>
      <c r="C121" s="72" t="n">
        <v>0.4129</v>
      </c>
      <c r="D121" s="72">
        <f>ABS(B121)</f>
        <v/>
      </c>
      <c r="E121" s="73">
        <f>D121/C121</f>
        <v/>
      </c>
    </row>
    <row r="122">
      <c r="A122" s="74" t="n">
        <v>2026</v>
      </c>
      <c r="B122" s="75" t="n">
        <v>-0.3114</v>
      </c>
      <c r="C122" s="75" t="n">
        <v>0.549</v>
      </c>
      <c r="D122" s="75">
        <f>ABS(B122)</f>
        <v/>
      </c>
      <c r="E122" s="76">
        <f>D122/C122</f>
        <v/>
      </c>
    </row>
    <row r="123">
      <c r="A123" s="71" t="n">
        <v>2026</v>
      </c>
      <c r="B123" s="72" t="n">
        <v>-0.2866</v>
      </c>
      <c r="C123" s="72" t="n">
        <v>0.4225</v>
      </c>
      <c r="D123" s="72">
        <f>ABS(B123)</f>
        <v/>
      </c>
      <c r="E123" s="73">
        <f>D123/C123</f>
        <v/>
      </c>
    </row>
    <row r="124">
      <c r="A124" s="74" t="n">
        <v>2026</v>
      </c>
      <c r="B124" s="75" t="n">
        <v>0.1575</v>
      </c>
      <c r="C124" s="75" t="n">
        <v>0.3249</v>
      </c>
      <c r="D124" s="75">
        <f>ABS(B124)</f>
        <v/>
      </c>
      <c r="E124" s="76">
        <f>D124/C124</f>
        <v/>
      </c>
    </row>
    <row r="125">
      <c r="A125" s="71" t="n">
        <v>2026</v>
      </c>
      <c r="B125" s="72" t="n">
        <v>-0.1874</v>
      </c>
      <c r="C125" s="72" t="n">
        <v>0.2611</v>
      </c>
      <c r="D125" s="72">
        <f>ABS(B125)</f>
        <v/>
      </c>
      <c r="E125" s="73">
        <f>D125/C125</f>
        <v/>
      </c>
    </row>
    <row r="126">
      <c r="A126" s="74" t="n">
        <v>2026</v>
      </c>
      <c r="B126" s="75" t="n">
        <v>-0.1705</v>
      </c>
      <c r="C126" s="75" t="n">
        <v>0.1816</v>
      </c>
      <c r="D126" s="75">
        <f>ABS(B126)</f>
        <v/>
      </c>
      <c r="E126" s="76">
        <f>D126/C126</f>
        <v/>
      </c>
    </row>
    <row r="127">
      <c r="A127" s="71" t="n">
        <v>2026</v>
      </c>
      <c r="B127" s="72" t="n">
        <v>0.1876</v>
      </c>
      <c r="C127" s="72" t="n">
        <v>0.1644</v>
      </c>
      <c r="D127" s="72">
        <f>ABS(B127)</f>
        <v/>
      </c>
      <c r="E127" s="73">
        <f>D127/C127</f>
        <v/>
      </c>
    </row>
    <row r="130">
      <c r="A130" s="77" t="inlineStr">
        <is>
          <t>BUCKET STATISTICS (live formulas)</t>
        </is>
      </c>
    </row>
    <row r="131">
      <c r="A131" s="61" t="inlineStr">
        <is>
          <t>Bucket |move|</t>
        </is>
      </c>
      <c r="B131" s="61" t="inlineStr">
        <is>
          <t>n legs</t>
        </is>
      </c>
      <c r="C131" s="61" t="inlineStr">
        <is>
          <t>Avg |move|</t>
        </is>
      </c>
      <c r="D131" s="61" t="inlineStr">
        <is>
          <t>Avg margin during leg</t>
        </is>
      </c>
      <c r="E131" s="61" t="inlineStr">
        <is>
          <t>Avg Lev. Eff.</t>
        </is>
      </c>
      <c r="F131" s="61" t="inlineStr">
        <is>
          <t>Implied gross ROC (avg|move|/avg margin)</t>
        </is>
      </c>
    </row>
    <row r="132">
      <c r="A132" s="78" t="inlineStr">
        <is>
          <t>15–20%</t>
        </is>
      </c>
      <c r="B132" s="79">
        <f>COUNTIFS(D5:D127,"&gt;="&amp;0.15,D5:D127,"&lt;"&amp;0.2)</f>
        <v/>
      </c>
      <c r="C132" s="80">
        <f>AVERAGEIFS(D5:D127,D5:D127,"&gt;="&amp;0.15,D5:D127,"&lt;"&amp;0.2)</f>
        <v/>
      </c>
      <c r="D132" s="80">
        <f>AVERAGEIFS(C5:C127,D5:D127,"&gt;="&amp;0.15,D5:D127,"&lt;"&amp;0.2)</f>
        <v/>
      </c>
      <c r="E132" s="81">
        <f>AVERAGEIFS(E5:E127,D5:D127,"&gt;="&amp;0.15,D5:D127,"&lt;"&amp;0.2)</f>
        <v/>
      </c>
      <c r="F132" s="82">
        <f>C132/D132</f>
        <v/>
      </c>
    </row>
    <row r="133">
      <c r="A133" s="83" t="inlineStr">
        <is>
          <t>20–25%</t>
        </is>
      </c>
      <c r="B133" s="84">
        <f>COUNTIFS(D5:D127,"&gt;="&amp;0.2,D5:D127,"&lt;"&amp;0.25)</f>
        <v/>
      </c>
      <c r="C133" s="85">
        <f>AVERAGEIFS(D5:D127,D5:D127,"&gt;="&amp;0.2,D5:D127,"&lt;"&amp;0.25)</f>
        <v/>
      </c>
      <c r="D133" s="85">
        <f>AVERAGEIFS(C5:C127,D5:D127,"&gt;="&amp;0.2,D5:D127,"&lt;"&amp;0.25)</f>
        <v/>
      </c>
      <c r="E133" s="86">
        <f>AVERAGEIFS(E5:E127,D5:D127,"&gt;="&amp;0.2,D5:D127,"&lt;"&amp;0.25)</f>
        <v/>
      </c>
      <c r="F133" s="87">
        <f>C133/D133</f>
        <v/>
      </c>
    </row>
    <row r="134">
      <c r="A134" s="78" t="inlineStr">
        <is>
          <t>25–30%</t>
        </is>
      </c>
      <c r="B134" s="79">
        <f>COUNTIFS(D5:D127,"&gt;="&amp;0.25,D5:D127,"&lt;"&amp;0.3)</f>
        <v/>
      </c>
      <c r="C134" s="80">
        <f>AVERAGEIFS(D5:D127,D5:D127,"&gt;="&amp;0.25,D5:D127,"&lt;"&amp;0.3)</f>
        <v/>
      </c>
      <c r="D134" s="80">
        <f>AVERAGEIFS(C5:C127,D5:D127,"&gt;="&amp;0.25,D5:D127,"&lt;"&amp;0.3)</f>
        <v/>
      </c>
      <c r="E134" s="81">
        <f>AVERAGEIFS(E5:E127,D5:D127,"&gt;="&amp;0.25,D5:D127,"&lt;"&amp;0.3)</f>
        <v/>
      </c>
      <c r="F134" s="82">
        <f>C134/D134</f>
        <v/>
      </c>
    </row>
    <row r="135">
      <c r="A135" s="83" t="inlineStr">
        <is>
          <t>≥30%</t>
        </is>
      </c>
      <c r="B135" s="84">
        <f>COUNTIFS(D5:D127,"&gt;="&amp;0.3,D5:D127,"&lt;"&amp;10)</f>
        <v/>
      </c>
      <c r="C135" s="85">
        <f>AVERAGEIFS(D5:D127,D5:D127,"&gt;="&amp;0.3,D5:D127,"&lt;"&amp;10)</f>
        <v/>
      </c>
      <c r="D135" s="85">
        <f>AVERAGEIFS(C5:C127,D5:D127,"&gt;="&amp;0.3,D5:D127,"&lt;"&amp;10)</f>
        <v/>
      </c>
      <c r="E135" s="86">
        <f>AVERAGEIFS(E5:E127,D5:D127,"&gt;="&amp;0.3,D5:D127,"&lt;"&amp;10)</f>
        <v/>
      </c>
      <c r="F135" s="87">
        <f>C135/D135</f>
        <v/>
      </c>
    </row>
    <row r="137">
      <c r="A137" s="88" t="inlineStr">
        <is>
          <t>Correlation |move| vs margin</t>
        </is>
      </c>
      <c r="B137" s="89">
        <f>CORREL(D5:D127,C5:C127)</f>
        <v/>
      </c>
    </row>
    <row r="138">
      <c r="A138" s="88" t="inlineStr">
        <is>
          <t>Linear fit: margin = a + b·|move|</t>
        </is>
      </c>
      <c r="B138" s="90">
        <f>INTERCEPT(C5:C127,D5:D127)</f>
        <v/>
      </c>
      <c r="C138" s="91">
        <f>SLOPE(C5:C127,D5:D127)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2026-10-17T07:52:54Z</dcterms:created>
  <dcterms:modified xmlns:dcterms="http://purl.org/dc/terms/" xmlns:xsi="http://www.w3.org/2001/XMLSchema-instance" xsi:type="dcterms:W3CDTF">2026-10-17T08:21:23Z</dcterms:modified>
</cp:coreProperties>
</file>