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75% Annual" sheetId="2" state="visible" r:id="rId2"/>
    <sheet xmlns:r="http://schemas.openxmlformats.org/officeDocument/2006/relationships" name="80% Annual" sheetId="3" state="visible" r:id="rId3"/>
    <sheet xmlns:r="http://schemas.openxmlformats.org/officeDocument/2006/relationships" name="85% Annual" sheetId="4" state="visible" r:id="rId4"/>
    <sheet xmlns:r="http://schemas.openxmlformats.org/officeDocument/2006/relationships" name="100% Annual" sheetId="5" state="visible" r:id="rId5"/>
    <sheet xmlns:r="http://schemas.openxmlformats.org/officeDocument/2006/relationships" name="120% Annual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0000"/>
  </numFmts>
  <fonts count="3">
    <font>
      <name val="Calibri"/>
      <family val="2"/>
      <color theme="1"/>
      <sz val="11"/>
      <scheme val="minor"/>
    </font>
    <font>
      <b val="1"/>
      <color rgb="000000C0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4F8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164" fontId="1" fillId="2" borderId="0" pivotButton="0" quotePrefix="0" xfId="0"/>
    <xf numFmtId="10" fontId="1" fillId="2" borderId="0" pivotButton="0" quotePrefix="0" xfId="0"/>
    <xf numFmtId="0" fontId="2" fillId="3" borderId="0" applyAlignment="1" pivotButton="0" quotePrefix="0" xfId="0">
      <alignment vertical="center" wrapText="1"/>
    </xf>
    <xf numFmtId="2" fontId="0" fillId="4" borderId="0" pivotButton="0" quotePrefix="0" xfId="0"/>
    <xf numFmtId="2" fontId="0" fillId="5" borderId="0" pivotButton="0" quotePrefix="0" xfId="0"/>
    <xf numFmtId="165" fontId="0" fillId="0" borderId="0" pivotButton="0" quotePrefix="0" xfId="0"/>
    <xf numFmtId="165" fontId="2" fillId="3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32" customWidth="1" min="1" max="1"/>
    <col width="110" customWidth="1" min="2" max="2"/>
  </cols>
  <sheetData>
    <row r="1" ht="30" customHeight="1">
      <c r="A1" s="1" t="inlineStr">
        <is>
          <t>FINAL MCX ROUTE COMPARISON</t>
        </is>
      </c>
      <c r="B1" s="1" t="inlineStr">
        <is>
          <t>Live formulas; annual cycles; not a legal opinion or return forecast</t>
        </is>
      </c>
    </row>
    <row r="2" ht="30" customHeight="1">
      <c r="A2" s="1" t="inlineStr">
        <is>
          <t>Use</t>
        </is>
      </c>
      <c r="B2" s="1" t="inlineStr">
        <is>
          <t>Open 75% Annual first. Inputs at top; closing-capital comparison then full cash ledgers.</t>
        </is>
      </c>
    </row>
    <row r="3" ht="30" customHeight="1">
      <c r="A3" s="1" t="inlineStr">
        <is>
          <t>Rates included</t>
        </is>
      </c>
      <c r="B3" s="1" t="inlineStr">
        <is>
          <t>75%, 80%, 100%, 120% annual; same assumptions throughout</t>
        </is>
      </c>
    </row>
    <row r="4" ht="30" customHeight="1">
      <c r="A4" s="1" t="inlineStr">
        <is>
          <t>Default loan-back</t>
        </is>
      </c>
      <c r="B4" s="1" t="inlineStr">
        <is>
          <t>90%. Change B6 to 100% to compare. Employee cash remains their property.</t>
        </is>
      </c>
    </row>
    <row r="5" ht="30" customHeight="1">
      <c r="A5" s="1" t="inlineStr">
        <is>
          <t>Personal income</t>
        </is>
      </c>
      <c r="B5" s="1" t="inlineStr">
        <is>
          <t>No outside taxable income assumed; change B12 if you have employment income (after deductions).</t>
        </is>
      </c>
    </row>
    <row r="6" ht="30" customHeight="1">
      <c r="A6" s="1" t="inlineStr">
        <is>
          <t>Company tax</t>
        </is>
      </c>
      <c r="B6" s="1" t="inlineStr">
        <is>
          <t>25.168%, conditional on applicable concessional election and compliance.</t>
        </is>
      </c>
    </row>
    <row r="7" ht="30" customHeight="1">
      <c r="A7" s="1" t="inlineStr">
        <is>
          <t>Salaries</t>
        </is>
      </c>
      <c r="B7" s="1" t="inlineStr">
        <is>
          <t>Clean structure: MD salary up to ₹12.75L + Mother office rent up to ₹4.8L. Artificial non-working family salaries dropped due to s.37/s.40A(2) GAAR disallowance.</t>
        </is>
      </c>
    </row>
    <row r="8" ht="30" customHeight="1">
      <c r="A8" s="1" t="inlineStr">
        <is>
          <t>Loan eligibility</t>
        </is>
      </c>
      <c r="B8" s="1" t="inlineStr">
        <is>
          <t>Gifts from Father and Brother u/s 56(2)(x) are 100% tax-free capital infusions. No circular loanback shams.</t>
        </is>
      </c>
    </row>
    <row r="9" ht="30" customHeight="1">
      <c r="A9" s="1" t="inlineStr">
        <is>
          <t>Debt</t>
        </is>
      </c>
      <c r="B9" s="1" t="inlineStr">
        <is>
          <t>No repayments or waivers assumed. Outstanding salary loans remain liabilities; silence does not extinguish them.</t>
        </is>
      </c>
    </row>
    <row r="10" ht="30" customHeight="1">
      <c r="A10" s="1" t="inlineStr">
        <is>
          <t>Costs</t>
        </is>
      </c>
      <c r="B10" s="1" t="inlineStr">
        <is>
          <t>Personal AI/software ₹50k/year; company AI/software ₹50k + audit allowance ₹50k. Estimates, not quotes.</t>
        </is>
      </c>
    </row>
    <row r="11" ht="30" customHeight="1">
      <c r="A11" s="1" t="inlineStr">
        <is>
          <t>Not priced</t>
        </is>
      </c>
      <c r="B11" s="1" t="inlineStr">
        <is>
          <t>Incorporation, statutory filing fees, GST or increasing audit fees; enter actual totals in inputs.</t>
        </is>
      </c>
    </row>
    <row r="12" ht="30" customHeight="1">
      <c r="A12" s="1" t="inlineStr">
        <is>
          <t>Return meaning</t>
        </is>
      </c>
      <c r="B12" s="1" t="inlineStr">
        <is>
          <t>After brokerage/CTT/roll/slippage, before overhead/payroll/tax. Annual return only on deployed capital.</t>
        </is>
      </c>
    </row>
    <row r="13" ht="30" customHeight="1">
      <c r="A13" s="1" t="inlineStr">
        <is>
          <t>Ceiling</t>
        </is>
      </c>
      <c r="B13" s="1" t="inlineStr">
        <is>
          <t>₹54.05 Cr empirical SEBI limit (4,800 lots @ ₹300 gas &amp; 3.33x leverage). Excess capital earns 6.5% idle yield.</t>
        </is>
      </c>
    </row>
    <row r="14" ht="30" customHeight="1">
      <c r="A14" s="1" t="inlineStr">
        <is>
          <t>Tax limitations</t>
        </is>
      </c>
      <c r="B14" s="1" t="inlineStr">
        <is>
          <t>Current slab assumptions held constant 20 years; marginal relief included; no loss carryforwards/advance-tax timing.</t>
        </is>
      </c>
    </row>
    <row r="15" ht="30" customHeight="1">
      <c r="A15" s="1" t="inlineStr">
        <is>
          <t>Personal tax inputs</t>
        </is>
      </c>
      <c r="B15" s="1" t="inlineStr">
        <is>
          <t>B12 is OTHER TAXABLE income, not gross salary; standard deduction must already be subtracted.</t>
        </is>
      </c>
    </row>
    <row r="16" ht="30" customHeight="1">
      <c r="A16" s="1" t="inlineStr">
        <is>
          <t>Loan conversion/waiver</t>
        </is>
      </c>
      <c r="B16" s="1" t="inlineStr">
        <is>
          <t>Not modelled: needs separate legal and tax assessment.</t>
        </is>
      </c>
    </row>
    <row r="17" ht="30" customHeight="1">
      <c r="A17" s="1" t="inlineStr">
        <is>
          <t>Tax references</t>
        </is>
      </c>
      <c r="B17" s="1" t="inlineStr">
        <is>
          <t>1961 Act section labels are legacy; confirm corresponding provisions under 2025 Act.</t>
        </is>
      </c>
    </row>
    <row r="18" ht="30" customHeight="1">
      <c r="A18" s="1" t="inlineStr">
        <is>
          <t>Sources</t>
        </is>
      </c>
      <c r="B18" s="1" t="inlineStr">
        <is>
          <t>https://www.incometaxindia.gov.in/w/section-40a-47 ; https://www.incometaxindia.gov.in/w/tax-rates%E2%80%8B</t>
        </is>
      </c>
    </row>
    <row r="19" ht="30" customHeight="1">
      <c r="A19" s="1" t="inlineStr">
        <is>
          <t>Version scope</t>
        </is>
      </c>
      <c r="B19" s="1" t="inlineStr">
        <is>
          <t>Self-contained final comparison, not the shipping/ETF workbook.</t>
        </is>
      </c>
    </row>
    <row r="20" ht="30" customHeight="1">
      <c r="A20" s="1" t="n"/>
      <c r="B20" s="1" t="n"/>
    </row>
    <row r="21" ht="30" customHeight="1">
      <c r="A21" s="1" t="inlineStr">
        <is>
          <t>75% year-10 capital</t>
        </is>
      </c>
      <c r="B21" s="1" t="inlineStr">
        <is>
          <t>32.83, 50.49, 53.42, 55.69, 57.02</t>
        </is>
      </c>
    </row>
    <row r="22" ht="30" customHeight="1">
      <c r="A22" s="1" t="inlineStr">
        <is>
          <t>80% year-10 capital</t>
        </is>
      </c>
      <c r="B22" s="1" t="inlineStr">
        <is>
          <t>40.22, 64.07, 67.56, 70.35, 72.05</t>
        </is>
      </c>
    </row>
    <row r="23" ht="30" customHeight="1">
      <c r="A23" s="1" t="inlineStr">
        <is>
          <t>100% year-10 capital</t>
        </is>
      </c>
      <c r="B23" s="1" t="inlineStr">
        <is>
          <t>84.23, 157.43, 164.30, 170.73, 174.65</t>
        </is>
      </c>
    </row>
    <row r="24" ht="30" customHeight="1">
      <c r="A24" s="1" t="inlineStr">
        <is>
          <t>120% year-10 capital</t>
        </is>
      </c>
      <c r="B24" s="1" t="inlineStr">
        <is>
          <t>169.59, 285.87, 292.94, 296.95, 299.49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0.75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26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 (85% return)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0.85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26"/>
  <sheetViews>
    <sheetView showGridLines="0" workbookViewId="0">
      <pane xSplit="1" ySplit="16" topLeftCell="B1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t="inlineStr">
        <is>
          <t>MCX — annual route comparison</t>
        </is>
      </c>
      <c r="B1" t="inlineStr">
        <is>
          <t>Live inputs: cream cells. Capital includes employee loans.</t>
        </is>
      </c>
    </row>
    <row r="3">
      <c r="A3" t="inlineStr">
        <is>
          <t>Starting Cr</t>
        </is>
      </c>
      <c r="B3" s="2" t="n">
        <v>0.6</v>
      </c>
    </row>
    <row r="4">
      <c r="A4" t="inlineStr">
        <is>
          <t>Annual return</t>
        </is>
      </c>
      <c r="B4" s="3" t="n">
        <v>1.2</v>
      </c>
    </row>
    <row r="5">
      <c r="A5" t="inlineStr">
        <is>
          <t>Company tax</t>
        </is>
      </c>
      <c r="B5" s="3" t="n">
        <v>0.25168</v>
      </c>
    </row>
    <row r="6">
      <c r="A6" t="inlineStr">
        <is>
          <t>Loanback share</t>
        </is>
      </c>
      <c r="B6" s="3" t="n">
        <v>0.9</v>
      </c>
    </row>
    <row r="7">
      <c r="A7" t="inlineStr">
        <is>
          <t>Salary ceiling per employee Cr</t>
        </is>
      </c>
      <c r="B7" s="2" t="n">
        <v>0.1275</v>
      </c>
    </row>
    <row r="8">
      <c r="A8" t="inlineStr">
        <is>
          <t>Aggregate salary fraction of profit</t>
        </is>
      </c>
      <c r="B8" s="3" t="n">
        <v>0.4</v>
      </c>
    </row>
    <row r="9">
      <c r="A9" t="inlineStr">
        <is>
          <t>Personal annual costs Cr</t>
        </is>
      </c>
      <c r="B9" s="2" t="n">
        <v>0.005</v>
      </c>
    </row>
    <row r="10">
      <c r="A10" t="inlineStr">
        <is>
          <t>Company annual costs Cr</t>
        </is>
      </c>
      <c r="B10" s="2" t="n">
        <v>0.01</v>
      </c>
    </row>
    <row r="11">
      <c r="A11" t="inlineStr">
        <is>
          <t>Deployable ceiling Cr [SEBI 4,800-Lot Cap]</t>
        </is>
      </c>
      <c r="B11" s="2" t="n">
        <v>54.051</v>
      </c>
    </row>
    <row r="12">
      <c r="A12" t="inlineStr">
        <is>
          <t>Other personal taxable income Cr</t>
        </is>
      </c>
      <c r="B12" s="2" t="n">
        <v>0</v>
      </c>
    </row>
    <row r="13">
      <c r="A13" t="inlineStr">
        <is>
          <t>Idle yield</t>
        </is>
      </c>
      <c r="B13" s="3" t="n">
        <v>0.065</v>
      </c>
    </row>
    <row r="15">
      <c r="A15" t="inlineStr">
        <is>
          <t>CLOSING TRADING CAPITAL — all routes, cycle 0–20 (₹ Cr)</t>
        </is>
      </c>
    </row>
    <row r="16" ht="40" customHeight="1">
      <c r="A16" s="4" t="inlineStr">
        <is>
          <t>Year</t>
        </is>
      </c>
      <c r="B16" s="4" t="inlineStr">
        <is>
          <t>Personal</t>
        </is>
      </c>
      <c r="C16" s="4" t="inlineStr">
        <is>
          <t>Company solo</t>
        </is>
      </c>
      <c r="D16" s="4" t="inlineStr">
        <is>
          <t>Company + 1</t>
        </is>
      </c>
      <c r="E16" s="4" t="inlineStr">
        <is>
          <t>Company + 2</t>
        </is>
      </c>
      <c r="F16" s="4" t="inlineStr">
        <is>
          <t>Company + 3</t>
        </is>
      </c>
      <c r="G16" s="4" t="inlineStr">
        <is>
          <t>3 staff adds vs solo</t>
        </is>
      </c>
      <c r="H16" s="4" t="inlineStr">
        <is>
          <t>3 staff loan debt</t>
        </is>
      </c>
      <c r="I16" s="4" t="inlineStr">
        <is>
          <t>3 staff capital minus loans</t>
        </is>
      </c>
      <c r="J16" s="4" t="n"/>
      <c r="K16" s="4" t="n"/>
      <c r="L16" s="4" t="n"/>
      <c r="M16" s="4" t="n"/>
      <c r="N16" s="4" t="n"/>
      <c r="O16" s="4" t="n"/>
      <c r="P16" s="4" t="n"/>
    </row>
    <row r="17">
      <c r="A17" t="n">
        <v>0</v>
      </c>
      <c r="B17" s="5">
        <f>M85</f>
        <v/>
      </c>
      <c r="C17" s="5">
        <f>M115</f>
        <v/>
      </c>
      <c r="D17" s="5">
        <f>M145</f>
        <v/>
      </c>
      <c r="E17" s="5">
        <f>M175</f>
        <v/>
      </c>
      <c r="F17" s="6">
        <f>M205</f>
        <v/>
      </c>
      <c r="G17" s="5">
        <f>F17-C17</f>
        <v/>
      </c>
      <c r="H17" s="5">
        <f>L205</f>
        <v/>
      </c>
      <c r="I17" s="5">
        <f>F17-H17</f>
        <v/>
      </c>
      <c r="J17" s="6" t="n"/>
      <c r="K17" s="5" t="n"/>
      <c r="L17" s="5" t="n"/>
      <c r="M17" s="5" t="n"/>
      <c r="N17" s="5" t="n"/>
      <c r="O17" s="5" t="n"/>
      <c r="P17" s="5" t="n"/>
    </row>
    <row r="18">
      <c r="A18" t="n">
        <v>1</v>
      </c>
      <c r="B18" s="5">
        <f>M86</f>
        <v/>
      </c>
      <c r="C18" s="5">
        <f>M116</f>
        <v/>
      </c>
      <c r="D18" s="5">
        <f>M146</f>
        <v/>
      </c>
      <c r="E18" s="5">
        <f>M176</f>
        <v/>
      </c>
      <c r="F18" s="6">
        <f>M206</f>
        <v/>
      </c>
      <c r="G18" s="5">
        <f>F18-C18</f>
        <v/>
      </c>
      <c r="H18" s="5">
        <f>L206</f>
        <v/>
      </c>
      <c r="I18" s="5">
        <f>F18-H18</f>
        <v/>
      </c>
      <c r="J18" s="6" t="n"/>
      <c r="K18" s="5" t="n"/>
      <c r="L18" s="5" t="n"/>
      <c r="M18" s="5" t="n"/>
      <c r="N18" s="5" t="n"/>
      <c r="O18" s="5" t="n"/>
      <c r="P18" s="5" t="n"/>
    </row>
    <row r="19">
      <c r="A19" t="n">
        <v>2</v>
      </c>
      <c r="B19" s="5">
        <f>M87</f>
        <v/>
      </c>
      <c r="C19" s="5">
        <f>M117</f>
        <v/>
      </c>
      <c r="D19" s="5">
        <f>M147</f>
        <v/>
      </c>
      <c r="E19" s="5">
        <f>M177</f>
        <v/>
      </c>
      <c r="F19" s="6">
        <f>M207</f>
        <v/>
      </c>
      <c r="G19" s="5">
        <f>F19-C19</f>
        <v/>
      </c>
      <c r="H19" s="5">
        <f>L207</f>
        <v/>
      </c>
      <c r="I19" s="5">
        <f>F19-H19</f>
        <v/>
      </c>
      <c r="J19" s="6" t="n"/>
      <c r="K19" s="5" t="n"/>
      <c r="L19" s="5" t="n"/>
      <c r="M19" s="5" t="n"/>
      <c r="N19" s="5" t="n"/>
      <c r="O19" s="5" t="n"/>
      <c r="P19" s="5" t="n"/>
    </row>
    <row r="20">
      <c r="A20" t="n">
        <v>3</v>
      </c>
      <c r="B20" s="5">
        <f>M88</f>
        <v/>
      </c>
      <c r="C20" s="5">
        <f>M118</f>
        <v/>
      </c>
      <c r="D20" s="5">
        <f>M148</f>
        <v/>
      </c>
      <c r="E20" s="5">
        <f>M178</f>
        <v/>
      </c>
      <c r="F20" s="6">
        <f>M208</f>
        <v/>
      </c>
      <c r="G20" s="5">
        <f>F20-C20</f>
        <v/>
      </c>
      <c r="H20" s="5">
        <f>L208</f>
        <v/>
      </c>
      <c r="I20" s="5">
        <f>F20-H20</f>
        <v/>
      </c>
      <c r="J20" s="6" t="n"/>
      <c r="K20" s="5" t="n"/>
      <c r="L20" s="5" t="n"/>
      <c r="M20" s="5" t="n"/>
      <c r="N20" s="5" t="n"/>
      <c r="O20" s="5" t="n"/>
      <c r="P20" s="5" t="n"/>
    </row>
    <row r="21">
      <c r="A21" t="n">
        <v>4</v>
      </c>
      <c r="B21" s="5">
        <f>M89</f>
        <v/>
      </c>
      <c r="C21" s="5">
        <f>M119</f>
        <v/>
      </c>
      <c r="D21" s="5">
        <f>M149</f>
        <v/>
      </c>
      <c r="E21" s="5">
        <f>M179</f>
        <v/>
      </c>
      <c r="F21" s="6">
        <f>M209</f>
        <v/>
      </c>
      <c r="G21" s="5">
        <f>F21-C21</f>
        <v/>
      </c>
      <c r="H21" s="5">
        <f>L209</f>
        <v/>
      </c>
      <c r="I21" s="5">
        <f>F21-H21</f>
        <v/>
      </c>
      <c r="J21" s="6" t="n"/>
      <c r="K21" s="5" t="n"/>
      <c r="L21" s="5" t="n"/>
      <c r="M21" s="5" t="n"/>
      <c r="N21" s="5" t="n"/>
      <c r="O21" s="5" t="n"/>
      <c r="P21" s="5" t="n"/>
    </row>
    <row r="22">
      <c r="A22" t="n">
        <v>5</v>
      </c>
      <c r="B22" s="5">
        <f>M90</f>
        <v/>
      </c>
      <c r="C22" s="5">
        <f>M120</f>
        <v/>
      </c>
      <c r="D22" s="5">
        <f>M150</f>
        <v/>
      </c>
      <c r="E22" s="5">
        <f>M180</f>
        <v/>
      </c>
      <c r="F22" s="6">
        <f>M210</f>
        <v/>
      </c>
      <c r="G22" s="5">
        <f>F22-C22</f>
        <v/>
      </c>
      <c r="H22" s="5">
        <f>L210</f>
        <v/>
      </c>
      <c r="I22" s="5">
        <f>F22-H22</f>
        <v/>
      </c>
      <c r="J22" s="6" t="n"/>
      <c r="K22" s="5" t="n"/>
      <c r="L22" s="5" t="n"/>
      <c r="M22" s="5" t="n"/>
      <c r="N22" s="5" t="n"/>
      <c r="O22" s="5" t="n"/>
      <c r="P22" s="5" t="n"/>
    </row>
    <row r="23">
      <c r="A23" t="n">
        <v>6</v>
      </c>
      <c r="B23" s="5">
        <f>M91</f>
        <v/>
      </c>
      <c r="C23" s="5">
        <f>M121</f>
        <v/>
      </c>
      <c r="D23" s="5">
        <f>M151</f>
        <v/>
      </c>
      <c r="E23" s="5">
        <f>M181</f>
        <v/>
      </c>
      <c r="F23" s="6">
        <f>M211</f>
        <v/>
      </c>
      <c r="G23" s="5">
        <f>F23-C23</f>
        <v/>
      </c>
      <c r="H23" s="5">
        <f>L211</f>
        <v/>
      </c>
      <c r="I23" s="5">
        <f>F23-H23</f>
        <v/>
      </c>
      <c r="J23" s="6" t="n"/>
      <c r="K23" s="5" t="n"/>
      <c r="L23" s="5" t="n"/>
      <c r="M23" s="5" t="n"/>
      <c r="N23" s="5" t="n"/>
      <c r="O23" s="5" t="n"/>
      <c r="P23" s="5" t="n"/>
    </row>
    <row r="24">
      <c r="A24" t="n">
        <v>7</v>
      </c>
      <c r="B24" s="5">
        <f>M92</f>
        <v/>
      </c>
      <c r="C24" s="5">
        <f>M122</f>
        <v/>
      </c>
      <c r="D24" s="5">
        <f>M152</f>
        <v/>
      </c>
      <c r="E24" s="5">
        <f>M182</f>
        <v/>
      </c>
      <c r="F24" s="6">
        <f>M212</f>
        <v/>
      </c>
      <c r="G24" s="5">
        <f>F24-C24</f>
        <v/>
      </c>
      <c r="H24" s="5">
        <f>L212</f>
        <v/>
      </c>
      <c r="I24" s="5">
        <f>F24-H24</f>
        <v/>
      </c>
      <c r="J24" s="6" t="n"/>
      <c r="K24" s="5" t="n"/>
      <c r="L24" s="5" t="n"/>
      <c r="M24" s="5" t="n"/>
      <c r="N24" s="5" t="n"/>
      <c r="O24" s="5" t="n"/>
      <c r="P24" s="5" t="n"/>
    </row>
    <row r="25">
      <c r="A25" t="n">
        <v>8</v>
      </c>
      <c r="B25" s="5">
        <f>M93</f>
        <v/>
      </c>
      <c r="C25" s="5">
        <f>M123</f>
        <v/>
      </c>
      <c r="D25" s="5">
        <f>M153</f>
        <v/>
      </c>
      <c r="E25" s="5">
        <f>M183</f>
        <v/>
      </c>
      <c r="F25" s="6">
        <f>M213</f>
        <v/>
      </c>
      <c r="G25" s="5">
        <f>F25-C25</f>
        <v/>
      </c>
      <c r="H25" s="5">
        <f>L213</f>
        <v/>
      </c>
      <c r="I25" s="5">
        <f>F25-H25</f>
        <v/>
      </c>
      <c r="J25" s="6" t="n"/>
      <c r="K25" s="5" t="n"/>
      <c r="L25" s="5" t="n"/>
      <c r="M25" s="5" t="n"/>
      <c r="N25" s="5" t="n"/>
      <c r="O25" s="5" t="n"/>
      <c r="P25" s="5" t="n"/>
    </row>
    <row r="26">
      <c r="A26" t="n">
        <v>9</v>
      </c>
      <c r="B26" s="5">
        <f>M94</f>
        <v/>
      </c>
      <c r="C26" s="5">
        <f>M124</f>
        <v/>
      </c>
      <c r="D26" s="5">
        <f>M154</f>
        <v/>
      </c>
      <c r="E26" s="5">
        <f>M184</f>
        <v/>
      </c>
      <c r="F26" s="6">
        <f>M214</f>
        <v/>
      </c>
      <c r="G26" s="5">
        <f>F26-C26</f>
        <v/>
      </c>
      <c r="H26" s="5">
        <f>L214</f>
        <v/>
      </c>
      <c r="I26" s="5">
        <f>F26-H26</f>
        <v/>
      </c>
      <c r="J26" s="6" t="n"/>
      <c r="K26" s="5" t="n"/>
      <c r="L26" s="5" t="n"/>
      <c r="M26" s="5" t="n"/>
      <c r="N26" s="5" t="n"/>
      <c r="O26" s="5" t="n"/>
      <c r="P26" s="5" t="n"/>
    </row>
    <row r="27">
      <c r="A27" t="n">
        <v>10</v>
      </c>
      <c r="B27" s="5">
        <f>M95</f>
        <v/>
      </c>
      <c r="C27" s="5">
        <f>M125</f>
        <v/>
      </c>
      <c r="D27" s="5">
        <f>M155</f>
        <v/>
      </c>
      <c r="E27" s="5">
        <f>M185</f>
        <v/>
      </c>
      <c r="F27" s="6">
        <f>M215</f>
        <v/>
      </c>
      <c r="G27" s="5">
        <f>F27-C27</f>
        <v/>
      </c>
      <c r="H27" s="5">
        <f>L215</f>
        <v/>
      </c>
      <c r="I27" s="5">
        <f>F27-H27</f>
        <v/>
      </c>
      <c r="J27" s="6" t="n"/>
      <c r="K27" s="5" t="n"/>
      <c r="L27" s="5" t="n"/>
      <c r="M27" s="5" t="n"/>
      <c r="N27" s="5" t="n"/>
      <c r="O27" s="5" t="n"/>
      <c r="P27" s="5" t="n"/>
    </row>
    <row r="28">
      <c r="A28" t="n">
        <v>11</v>
      </c>
      <c r="B28" s="5">
        <f>M96</f>
        <v/>
      </c>
      <c r="C28" s="5">
        <f>M126</f>
        <v/>
      </c>
      <c r="D28" s="5">
        <f>M156</f>
        <v/>
      </c>
      <c r="E28" s="5">
        <f>M186</f>
        <v/>
      </c>
      <c r="F28" s="6">
        <f>M216</f>
        <v/>
      </c>
      <c r="G28" s="5">
        <f>F28-C28</f>
        <v/>
      </c>
      <c r="H28" s="5">
        <f>L216</f>
        <v/>
      </c>
      <c r="I28" s="5">
        <f>F28-H28</f>
        <v/>
      </c>
      <c r="J28" s="6" t="n"/>
      <c r="K28" s="5" t="n"/>
      <c r="L28" s="5" t="n"/>
      <c r="M28" s="5" t="n"/>
      <c r="N28" s="5" t="n"/>
      <c r="O28" s="5" t="n"/>
      <c r="P28" s="5" t="n"/>
    </row>
    <row r="29">
      <c r="A29" t="n">
        <v>12</v>
      </c>
      <c r="B29" s="5">
        <f>M97</f>
        <v/>
      </c>
      <c r="C29" s="5">
        <f>M127</f>
        <v/>
      </c>
      <c r="D29" s="5">
        <f>M157</f>
        <v/>
      </c>
      <c r="E29" s="5">
        <f>M187</f>
        <v/>
      </c>
      <c r="F29" s="6">
        <f>M217</f>
        <v/>
      </c>
      <c r="G29" s="5">
        <f>F29-C29</f>
        <v/>
      </c>
      <c r="H29" s="5">
        <f>L217</f>
        <v/>
      </c>
      <c r="I29" s="5">
        <f>F29-H29</f>
        <v/>
      </c>
      <c r="J29" s="6" t="n"/>
      <c r="K29" s="5" t="n"/>
      <c r="L29" s="5" t="n"/>
      <c r="M29" s="5" t="n"/>
      <c r="N29" s="5" t="n"/>
      <c r="O29" s="5" t="n"/>
      <c r="P29" s="5" t="n"/>
    </row>
    <row r="30">
      <c r="A30" t="n">
        <v>13</v>
      </c>
      <c r="B30" s="5">
        <f>M98</f>
        <v/>
      </c>
      <c r="C30" s="5">
        <f>M128</f>
        <v/>
      </c>
      <c r="D30" s="5">
        <f>M158</f>
        <v/>
      </c>
      <c r="E30" s="5">
        <f>M188</f>
        <v/>
      </c>
      <c r="F30" s="6">
        <f>M218</f>
        <v/>
      </c>
      <c r="G30" s="5">
        <f>F30-C30</f>
        <v/>
      </c>
      <c r="H30" s="5">
        <f>L218</f>
        <v/>
      </c>
      <c r="I30" s="5">
        <f>F30-H30</f>
        <v/>
      </c>
      <c r="J30" s="6" t="n"/>
      <c r="K30" s="5" t="n"/>
      <c r="L30" s="5" t="n"/>
      <c r="M30" s="5" t="n"/>
      <c r="N30" s="5" t="n"/>
      <c r="O30" s="5" t="n"/>
      <c r="P30" s="5" t="n"/>
    </row>
    <row r="31">
      <c r="A31" t="n">
        <v>14</v>
      </c>
      <c r="B31" s="5">
        <f>M99</f>
        <v/>
      </c>
      <c r="C31" s="5">
        <f>M129</f>
        <v/>
      </c>
      <c r="D31" s="5">
        <f>M159</f>
        <v/>
      </c>
      <c r="E31" s="5">
        <f>M189</f>
        <v/>
      </c>
      <c r="F31" s="6">
        <f>M219</f>
        <v/>
      </c>
      <c r="G31" s="5">
        <f>F31-C31</f>
        <v/>
      </c>
      <c r="H31" s="5">
        <f>L219</f>
        <v/>
      </c>
      <c r="I31" s="5">
        <f>F31-H31</f>
        <v/>
      </c>
      <c r="J31" s="6" t="n"/>
      <c r="K31" s="5" t="n"/>
      <c r="L31" s="5" t="n"/>
      <c r="M31" s="5" t="n"/>
      <c r="N31" s="5" t="n"/>
      <c r="O31" s="5" t="n"/>
      <c r="P31" s="5" t="n"/>
    </row>
    <row r="32">
      <c r="A32" t="n">
        <v>15</v>
      </c>
      <c r="B32" s="5">
        <f>M100</f>
        <v/>
      </c>
      <c r="C32" s="5">
        <f>M130</f>
        <v/>
      </c>
      <c r="D32" s="5">
        <f>M160</f>
        <v/>
      </c>
      <c r="E32" s="5">
        <f>M190</f>
        <v/>
      </c>
      <c r="F32" s="6">
        <f>M220</f>
        <v/>
      </c>
      <c r="G32" s="5">
        <f>F32-C32</f>
        <v/>
      </c>
      <c r="H32" s="5">
        <f>L220</f>
        <v/>
      </c>
      <c r="I32" s="5">
        <f>F32-H32</f>
        <v/>
      </c>
      <c r="J32" s="6" t="n"/>
      <c r="K32" s="5" t="n"/>
      <c r="L32" s="5" t="n"/>
      <c r="M32" s="5" t="n"/>
      <c r="N32" s="5" t="n"/>
      <c r="O32" s="5" t="n"/>
      <c r="P32" s="5" t="n"/>
    </row>
    <row r="33">
      <c r="A33" t="n">
        <v>16</v>
      </c>
      <c r="B33" s="5">
        <f>M101</f>
        <v/>
      </c>
      <c r="C33" s="5">
        <f>M131</f>
        <v/>
      </c>
      <c r="D33" s="5">
        <f>M161</f>
        <v/>
      </c>
      <c r="E33" s="5">
        <f>M191</f>
        <v/>
      </c>
      <c r="F33" s="6">
        <f>M221</f>
        <v/>
      </c>
      <c r="G33" s="5">
        <f>F33-C33</f>
        <v/>
      </c>
      <c r="H33" s="5">
        <f>L221</f>
        <v/>
      </c>
      <c r="I33" s="5">
        <f>F33-H33</f>
        <v/>
      </c>
      <c r="J33" s="6" t="n"/>
      <c r="K33" s="5" t="n"/>
      <c r="L33" s="5" t="n"/>
      <c r="M33" s="5" t="n"/>
      <c r="N33" s="5" t="n"/>
      <c r="O33" s="5" t="n"/>
      <c r="P33" s="5" t="n"/>
    </row>
    <row r="34">
      <c r="A34" t="n">
        <v>17</v>
      </c>
      <c r="B34" s="5">
        <f>M102</f>
        <v/>
      </c>
      <c r="C34" s="5">
        <f>M132</f>
        <v/>
      </c>
      <c r="D34" s="5">
        <f>M162</f>
        <v/>
      </c>
      <c r="E34" s="5">
        <f>M192</f>
        <v/>
      </c>
      <c r="F34" s="6">
        <f>M222</f>
        <v/>
      </c>
      <c r="G34" s="5">
        <f>F34-C34</f>
        <v/>
      </c>
      <c r="H34" s="5">
        <f>L222</f>
        <v/>
      </c>
      <c r="I34" s="5">
        <f>F34-H34</f>
        <v/>
      </c>
      <c r="J34" s="6" t="n"/>
      <c r="K34" s="5" t="n"/>
      <c r="L34" s="5" t="n"/>
      <c r="M34" s="5" t="n"/>
      <c r="N34" s="5" t="n"/>
      <c r="O34" s="5" t="n"/>
      <c r="P34" s="5" t="n"/>
    </row>
    <row r="35">
      <c r="A35" t="n">
        <v>18</v>
      </c>
      <c r="B35" s="5">
        <f>M103</f>
        <v/>
      </c>
      <c r="C35" s="5">
        <f>M133</f>
        <v/>
      </c>
      <c r="D35" s="5">
        <f>M163</f>
        <v/>
      </c>
      <c r="E35" s="5">
        <f>M193</f>
        <v/>
      </c>
      <c r="F35" s="6">
        <f>M223</f>
        <v/>
      </c>
      <c r="G35" s="5">
        <f>F35-C35</f>
        <v/>
      </c>
      <c r="H35" s="5">
        <f>L223</f>
        <v/>
      </c>
      <c r="I35" s="5">
        <f>F35-H35</f>
        <v/>
      </c>
      <c r="J35" s="6" t="n"/>
      <c r="K35" s="5" t="n"/>
      <c r="L35" s="5" t="n"/>
      <c r="M35" s="5" t="n"/>
      <c r="N35" s="5" t="n"/>
      <c r="O35" s="5" t="n"/>
      <c r="P35" s="5" t="n"/>
    </row>
    <row r="36">
      <c r="A36" t="n">
        <v>19</v>
      </c>
      <c r="B36" s="5">
        <f>M104</f>
        <v/>
      </c>
      <c r="C36" s="5">
        <f>M134</f>
        <v/>
      </c>
      <c r="D36" s="5">
        <f>M164</f>
        <v/>
      </c>
      <c r="E36" s="5">
        <f>M194</f>
        <v/>
      </c>
      <c r="F36" s="6">
        <f>M224</f>
        <v/>
      </c>
      <c r="G36" s="5">
        <f>F36-C36</f>
        <v/>
      </c>
      <c r="H36" s="5">
        <f>L224</f>
        <v/>
      </c>
      <c r="I36" s="5">
        <f>F36-H36</f>
        <v/>
      </c>
      <c r="J36" s="6" t="n"/>
      <c r="K36" s="5" t="n"/>
      <c r="L36" s="5" t="n"/>
      <c r="M36" s="5" t="n"/>
      <c r="N36" s="5" t="n"/>
      <c r="O36" s="5" t="n"/>
      <c r="P36" s="5" t="n"/>
    </row>
    <row r="37">
      <c r="A37" t="n">
        <v>20</v>
      </c>
      <c r="B37" s="5">
        <f>M105</f>
        <v/>
      </c>
      <c r="C37" s="5">
        <f>M135</f>
        <v/>
      </c>
      <c r="D37" s="5">
        <f>M165</f>
        <v/>
      </c>
      <c r="E37" s="5">
        <f>M195</f>
        <v/>
      </c>
      <c r="F37" s="6">
        <f>M225</f>
        <v/>
      </c>
      <c r="G37" s="5">
        <f>F37-C37</f>
        <v/>
      </c>
      <c r="H37" s="5">
        <f>L225</f>
        <v/>
      </c>
      <c r="I37" s="5">
        <f>F37-H37</f>
        <v/>
      </c>
      <c r="J37" s="6" t="n"/>
      <c r="K37" s="5" t="n"/>
      <c r="L37" s="5" t="n"/>
      <c r="M37" s="5" t="n"/>
      <c r="N37" s="5" t="n"/>
      <c r="O37" s="5" t="n"/>
      <c r="P37" s="5" t="n"/>
    </row>
    <row r="40">
      <c r="A40" t="inlineStr">
        <is>
          <t>CASH-FLOW LEDGER — company + 3 employees (₹ Cr), cycle 0–20</t>
        </is>
      </c>
    </row>
    <row r="41" ht="40" customHeight="1">
      <c r="A41" s="4" t="inlineStr">
        <is>
          <t>Year</t>
        </is>
      </c>
      <c r="B41" s="4" t="inlineStr">
        <is>
          <t>Opening</t>
        </is>
      </c>
      <c r="C41" s="4" t="inlineStr">
        <is>
          <t>Trading profit</t>
        </is>
      </c>
      <c r="D41" s="4" t="inlineStr">
        <is>
          <t>Overhead</t>
        </is>
      </c>
      <c r="E41" s="4" t="inlineStr">
        <is>
          <t>Salary paid</t>
        </is>
      </c>
      <c r="F41" s="4" t="inlineStr">
        <is>
          <t>Income tax</t>
        </is>
      </c>
      <c r="G41" s="4" t="inlineStr">
        <is>
          <t>Family retains</t>
        </is>
      </c>
      <c r="H41" s="4" t="inlineStr">
        <is>
          <t>Loans added</t>
        </is>
      </c>
      <c r="I41" s="4" t="inlineStr">
        <is>
          <t>Loans outstanding</t>
        </is>
      </c>
      <c r="J41" s="4" t="inlineStr">
        <is>
          <t>Closing capital</t>
        </is>
      </c>
      <c r="K41" s="4" t="inlineStr">
        <is>
          <t>Closing less loans</t>
        </is>
      </c>
      <c r="L41" s="4" t="inlineStr">
        <is>
          <t>Payroll tax saved</t>
        </is>
      </c>
      <c r="M41" s="4" t="n"/>
      <c r="N41" s="4" t="n"/>
      <c r="O41" s="4" t="n"/>
      <c r="P41" s="4" t="n"/>
    </row>
    <row r="42">
      <c r="A42" t="n">
        <v>0</v>
      </c>
      <c r="B42" s="5">
        <f>B205</f>
        <v/>
      </c>
      <c r="C42" s="5">
        <f>E205</f>
        <v/>
      </c>
      <c r="D42" s="5">
        <f>F205</f>
        <v/>
      </c>
      <c r="E42" s="5">
        <f>G205</f>
        <v/>
      </c>
      <c r="F42" s="6">
        <f>I205</f>
        <v/>
      </c>
      <c r="G42" s="5">
        <f>J205</f>
        <v/>
      </c>
      <c r="H42" s="5">
        <f>K205</f>
        <v/>
      </c>
      <c r="I42" s="5">
        <f>L205</f>
        <v/>
      </c>
      <c r="J42" s="6">
        <f>M205</f>
        <v/>
      </c>
      <c r="K42" s="5">
        <f>N205</f>
        <v/>
      </c>
      <c r="L42" s="5">
        <f>O205</f>
        <v/>
      </c>
      <c r="M42" s="5" t="n"/>
      <c r="N42" s="5" t="n"/>
      <c r="O42" s="5" t="n"/>
      <c r="P42" s="5" t="n"/>
    </row>
    <row r="43">
      <c r="A43" t="n">
        <v>1</v>
      </c>
      <c r="B43" s="5">
        <f>B206</f>
        <v/>
      </c>
      <c r="C43" s="5">
        <f>E206</f>
        <v/>
      </c>
      <c r="D43" s="5">
        <f>F206</f>
        <v/>
      </c>
      <c r="E43" s="5">
        <f>G206</f>
        <v/>
      </c>
      <c r="F43" s="6">
        <f>I206</f>
        <v/>
      </c>
      <c r="G43" s="5">
        <f>J206</f>
        <v/>
      </c>
      <c r="H43" s="5">
        <f>K206</f>
        <v/>
      </c>
      <c r="I43" s="5">
        <f>L206</f>
        <v/>
      </c>
      <c r="J43" s="6">
        <f>M206</f>
        <v/>
      </c>
      <c r="K43" s="5">
        <f>N206</f>
        <v/>
      </c>
      <c r="L43" s="5">
        <f>O206</f>
        <v/>
      </c>
      <c r="M43" s="5" t="n"/>
      <c r="N43" s="5" t="n"/>
      <c r="O43" s="5" t="n"/>
      <c r="P43" s="5" t="n"/>
    </row>
    <row r="44">
      <c r="A44" t="n">
        <v>2</v>
      </c>
      <c r="B44" s="5">
        <f>B207</f>
        <v/>
      </c>
      <c r="C44" s="5">
        <f>E207</f>
        <v/>
      </c>
      <c r="D44" s="5">
        <f>F207</f>
        <v/>
      </c>
      <c r="E44" s="5">
        <f>G207</f>
        <v/>
      </c>
      <c r="F44" s="6">
        <f>I207</f>
        <v/>
      </c>
      <c r="G44" s="5">
        <f>J207</f>
        <v/>
      </c>
      <c r="H44" s="5">
        <f>K207</f>
        <v/>
      </c>
      <c r="I44" s="5">
        <f>L207</f>
        <v/>
      </c>
      <c r="J44" s="6">
        <f>M207</f>
        <v/>
      </c>
      <c r="K44" s="5">
        <f>N207</f>
        <v/>
      </c>
      <c r="L44" s="5">
        <f>O207</f>
        <v/>
      </c>
      <c r="M44" s="5" t="n"/>
      <c r="N44" s="5" t="n"/>
      <c r="O44" s="5" t="n"/>
      <c r="P44" s="5" t="n"/>
    </row>
    <row r="45">
      <c r="A45" t="n">
        <v>3</v>
      </c>
      <c r="B45" s="5">
        <f>B208</f>
        <v/>
      </c>
      <c r="C45" s="5">
        <f>E208</f>
        <v/>
      </c>
      <c r="D45" s="5">
        <f>F208</f>
        <v/>
      </c>
      <c r="E45" s="5">
        <f>G208</f>
        <v/>
      </c>
      <c r="F45" s="6">
        <f>I208</f>
        <v/>
      </c>
      <c r="G45" s="5">
        <f>J208</f>
        <v/>
      </c>
      <c r="H45" s="5">
        <f>K208</f>
        <v/>
      </c>
      <c r="I45" s="5">
        <f>L208</f>
        <v/>
      </c>
      <c r="J45" s="6">
        <f>M208</f>
        <v/>
      </c>
      <c r="K45" s="5">
        <f>N208</f>
        <v/>
      </c>
      <c r="L45" s="5">
        <f>O208</f>
        <v/>
      </c>
      <c r="M45" s="5" t="n"/>
      <c r="N45" s="5" t="n"/>
      <c r="O45" s="5" t="n"/>
      <c r="P45" s="5" t="n"/>
    </row>
    <row r="46">
      <c r="A46" t="n">
        <v>4</v>
      </c>
      <c r="B46" s="5">
        <f>B209</f>
        <v/>
      </c>
      <c r="C46" s="5">
        <f>E209</f>
        <v/>
      </c>
      <c r="D46" s="5">
        <f>F209</f>
        <v/>
      </c>
      <c r="E46" s="5">
        <f>G209</f>
        <v/>
      </c>
      <c r="F46" s="6">
        <f>I209</f>
        <v/>
      </c>
      <c r="G46" s="5">
        <f>J209</f>
        <v/>
      </c>
      <c r="H46" s="5">
        <f>K209</f>
        <v/>
      </c>
      <c r="I46" s="5">
        <f>L209</f>
        <v/>
      </c>
      <c r="J46" s="6">
        <f>M209</f>
        <v/>
      </c>
      <c r="K46" s="5">
        <f>N209</f>
        <v/>
      </c>
      <c r="L46" s="5">
        <f>O209</f>
        <v/>
      </c>
      <c r="M46" s="5" t="n"/>
      <c r="N46" s="5" t="n"/>
      <c r="O46" s="5" t="n"/>
      <c r="P46" s="5" t="n"/>
    </row>
    <row r="47">
      <c r="A47" t="n">
        <v>5</v>
      </c>
      <c r="B47" s="5">
        <f>B210</f>
        <v/>
      </c>
      <c r="C47" s="5">
        <f>E210</f>
        <v/>
      </c>
      <c r="D47" s="5">
        <f>F210</f>
        <v/>
      </c>
      <c r="E47" s="5">
        <f>G210</f>
        <v/>
      </c>
      <c r="F47" s="6">
        <f>I210</f>
        <v/>
      </c>
      <c r="G47" s="5">
        <f>J210</f>
        <v/>
      </c>
      <c r="H47" s="5">
        <f>K210</f>
        <v/>
      </c>
      <c r="I47" s="5">
        <f>L210</f>
        <v/>
      </c>
      <c r="J47" s="6">
        <f>M210</f>
        <v/>
      </c>
      <c r="K47" s="5">
        <f>N210</f>
        <v/>
      </c>
      <c r="L47" s="5">
        <f>O210</f>
        <v/>
      </c>
      <c r="M47" s="5" t="n"/>
      <c r="N47" s="5" t="n"/>
      <c r="O47" s="5" t="n"/>
      <c r="P47" s="5" t="n"/>
    </row>
    <row r="48">
      <c r="A48" t="n">
        <v>6</v>
      </c>
      <c r="B48" s="5">
        <f>B211</f>
        <v/>
      </c>
      <c r="C48" s="5">
        <f>E211</f>
        <v/>
      </c>
      <c r="D48" s="5">
        <f>F211</f>
        <v/>
      </c>
      <c r="E48" s="5">
        <f>G211</f>
        <v/>
      </c>
      <c r="F48" s="6">
        <f>I211</f>
        <v/>
      </c>
      <c r="G48" s="5">
        <f>J211</f>
        <v/>
      </c>
      <c r="H48" s="5">
        <f>K211</f>
        <v/>
      </c>
      <c r="I48" s="5">
        <f>L211</f>
        <v/>
      </c>
      <c r="J48" s="6">
        <f>M211</f>
        <v/>
      </c>
      <c r="K48" s="5">
        <f>N211</f>
        <v/>
      </c>
      <c r="L48" s="5">
        <f>O211</f>
        <v/>
      </c>
      <c r="M48" s="5" t="n"/>
      <c r="N48" s="5" t="n"/>
      <c r="O48" s="5" t="n"/>
      <c r="P48" s="5" t="n"/>
    </row>
    <row r="49">
      <c r="A49" t="n">
        <v>7</v>
      </c>
      <c r="B49" s="5">
        <f>B212</f>
        <v/>
      </c>
      <c r="C49" s="5">
        <f>E212</f>
        <v/>
      </c>
      <c r="D49" s="5">
        <f>F212</f>
        <v/>
      </c>
      <c r="E49" s="5">
        <f>G212</f>
        <v/>
      </c>
      <c r="F49" s="6">
        <f>I212</f>
        <v/>
      </c>
      <c r="G49" s="5">
        <f>J212</f>
        <v/>
      </c>
      <c r="H49" s="5">
        <f>K212</f>
        <v/>
      </c>
      <c r="I49" s="5">
        <f>L212</f>
        <v/>
      </c>
      <c r="J49" s="6">
        <f>M212</f>
        <v/>
      </c>
      <c r="K49" s="5">
        <f>N212</f>
        <v/>
      </c>
      <c r="L49" s="5">
        <f>O212</f>
        <v/>
      </c>
      <c r="M49" s="5" t="n"/>
      <c r="N49" s="5" t="n"/>
      <c r="O49" s="5" t="n"/>
      <c r="P49" s="5" t="n"/>
    </row>
    <row r="50">
      <c r="A50" t="n">
        <v>8</v>
      </c>
      <c r="B50" s="5">
        <f>B213</f>
        <v/>
      </c>
      <c r="C50" s="5">
        <f>E213</f>
        <v/>
      </c>
      <c r="D50" s="5">
        <f>F213</f>
        <v/>
      </c>
      <c r="E50" s="5">
        <f>G213</f>
        <v/>
      </c>
      <c r="F50" s="6">
        <f>I213</f>
        <v/>
      </c>
      <c r="G50" s="5">
        <f>J213</f>
        <v/>
      </c>
      <c r="H50" s="5">
        <f>K213</f>
        <v/>
      </c>
      <c r="I50" s="5">
        <f>L213</f>
        <v/>
      </c>
      <c r="J50" s="6">
        <f>M213</f>
        <v/>
      </c>
      <c r="K50" s="5">
        <f>N213</f>
        <v/>
      </c>
      <c r="L50" s="5">
        <f>O213</f>
        <v/>
      </c>
      <c r="M50" s="5" t="n"/>
      <c r="N50" s="5" t="n"/>
      <c r="O50" s="5" t="n"/>
      <c r="P50" s="5" t="n"/>
    </row>
    <row r="51">
      <c r="A51" t="n">
        <v>9</v>
      </c>
      <c r="B51" s="5">
        <f>B214</f>
        <v/>
      </c>
      <c r="C51" s="5">
        <f>E214</f>
        <v/>
      </c>
      <c r="D51" s="5">
        <f>F214</f>
        <v/>
      </c>
      <c r="E51" s="5">
        <f>G214</f>
        <v/>
      </c>
      <c r="F51" s="6">
        <f>I214</f>
        <v/>
      </c>
      <c r="G51" s="5">
        <f>J214</f>
        <v/>
      </c>
      <c r="H51" s="5">
        <f>K214</f>
        <v/>
      </c>
      <c r="I51" s="5">
        <f>L214</f>
        <v/>
      </c>
      <c r="J51" s="6">
        <f>M214</f>
        <v/>
      </c>
      <c r="K51" s="5">
        <f>N214</f>
        <v/>
      </c>
      <c r="L51" s="5">
        <f>O214</f>
        <v/>
      </c>
      <c r="M51" s="5" t="n"/>
      <c r="N51" s="5" t="n"/>
      <c r="O51" s="5" t="n"/>
      <c r="P51" s="5" t="n"/>
    </row>
    <row r="52">
      <c r="A52" t="n">
        <v>10</v>
      </c>
      <c r="B52" s="5">
        <f>B215</f>
        <v/>
      </c>
      <c r="C52" s="5">
        <f>E215</f>
        <v/>
      </c>
      <c r="D52" s="5">
        <f>F215</f>
        <v/>
      </c>
      <c r="E52" s="5">
        <f>G215</f>
        <v/>
      </c>
      <c r="F52" s="6">
        <f>I215</f>
        <v/>
      </c>
      <c r="G52" s="5">
        <f>J215</f>
        <v/>
      </c>
      <c r="H52" s="5">
        <f>K215</f>
        <v/>
      </c>
      <c r="I52" s="5">
        <f>L215</f>
        <v/>
      </c>
      <c r="J52" s="6">
        <f>M215</f>
        <v/>
      </c>
      <c r="K52" s="5">
        <f>N215</f>
        <v/>
      </c>
      <c r="L52" s="5">
        <f>O215</f>
        <v/>
      </c>
      <c r="M52" s="5" t="n"/>
      <c r="N52" s="5" t="n"/>
      <c r="O52" s="5" t="n"/>
      <c r="P52" s="5" t="n"/>
    </row>
    <row r="53">
      <c r="A53" t="n">
        <v>11</v>
      </c>
      <c r="B53" s="5">
        <f>B216</f>
        <v/>
      </c>
      <c r="C53" s="5">
        <f>E216</f>
        <v/>
      </c>
      <c r="D53" s="5">
        <f>F216</f>
        <v/>
      </c>
      <c r="E53" s="5">
        <f>G216</f>
        <v/>
      </c>
      <c r="F53" s="6">
        <f>I216</f>
        <v/>
      </c>
      <c r="G53" s="5">
        <f>J216</f>
        <v/>
      </c>
      <c r="H53" s="5">
        <f>K216</f>
        <v/>
      </c>
      <c r="I53" s="5">
        <f>L216</f>
        <v/>
      </c>
      <c r="J53" s="6">
        <f>M216</f>
        <v/>
      </c>
      <c r="K53" s="5">
        <f>N216</f>
        <v/>
      </c>
      <c r="L53" s="5">
        <f>O216</f>
        <v/>
      </c>
      <c r="M53" s="5" t="n"/>
      <c r="N53" s="5" t="n"/>
      <c r="O53" s="5" t="n"/>
      <c r="P53" s="5" t="n"/>
    </row>
    <row r="54">
      <c r="A54" t="n">
        <v>12</v>
      </c>
      <c r="B54" s="5">
        <f>B217</f>
        <v/>
      </c>
      <c r="C54" s="5">
        <f>E217</f>
        <v/>
      </c>
      <c r="D54" s="5">
        <f>F217</f>
        <v/>
      </c>
      <c r="E54" s="5">
        <f>G217</f>
        <v/>
      </c>
      <c r="F54" s="6">
        <f>I217</f>
        <v/>
      </c>
      <c r="G54" s="5">
        <f>J217</f>
        <v/>
      </c>
      <c r="H54" s="5">
        <f>K217</f>
        <v/>
      </c>
      <c r="I54" s="5">
        <f>L217</f>
        <v/>
      </c>
      <c r="J54" s="6">
        <f>M217</f>
        <v/>
      </c>
      <c r="K54" s="5">
        <f>N217</f>
        <v/>
      </c>
      <c r="L54" s="5">
        <f>O217</f>
        <v/>
      </c>
      <c r="M54" s="5" t="n"/>
      <c r="N54" s="5" t="n"/>
      <c r="O54" s="5" t="n"/>
      <c r="P54" s="5" t="n"/>
    </row>
    <row r="55">
      <c r="A55" t="n">
        <v>13</v>
      </c>
      <c r="B55" s="5">
        <f>B218</f>
        <v/>
      </c>
      <c r="C55" s="5">
        <f>E218</f>
        <v/>
      </c>
      <c r="D55" s="5">
        <f>F218</f>
        <v/>
      </c>
      <c r="E55" s="5">
        <f>G218</f>
        <v/>
      </c>
      <c r="F55" s="6">
        <f>I218</f>
        <v/>
      </c>
      <c r="G55" s="5">
        <f>J218</f>
        <v/>
      </c>
      <c r="H55" s="5">
        <f>K218</f>
        <v/>
      </c>
      <c r="I55" s="5">
        <f>L218</f>
        <v/>
      </c>
      <c r="J55" s="6">
        <f>M218</f>
        <v/>
      </c>
      <c r="K55" s="5">
        <f>N218</f>
        <v/>
      </c>
      <c r="L55" s="5">
        <f>O218</f>
        <v/>
      </c>
      <c r="M55" s="5" t="n"/>
      <c r="N55" s="5" t="n"/>
      <c r="O55" s="5" t="n"/>
      <c r="P55" s="5" t="n"/>
    </row>
    <row r="56">
      <c r="A56" t="n">
        <v>14</v>
      </c>
      <c r="B56" s="5">
        <f>B219</f>
        <v/>
      </c>
      <c r="C56" s="5">
        <f>E219</f>
        <v/>
      </c>
      <c r="D56" s="5">
        <f>F219</f>
        <v/>
      </c>
      <c r="E56" s="5">
        <f>G219</f>
        <v/>
      </c>
      <c r="F56" s="6">
        <f>I219</f>
        <v/>
      </c>
      <c r="G56" s="5">
        <f>J219</f>
        <v/>
      </c>
      <c r="H56" s="5">
        <f>K219</f>
        <v/>
      </c>
      <c r="I56" s="5">
        <f>L219</f>
        <v/>
      </c>
      <c r="J56" s="6">
        <f>M219</f>
        <v/>
      </c>
      <c r="K56" s="5">
        <f>N219</f>
        <v/>
      </c>
      <c r="L56" s="5">
        <f>O219</f>
        <v/>
      </c>
      <c r="M56" s="5" t="n"/>
      <c r="N56" s="5" t="n"/>
      <c r="O56" s="5" t="n"/>
      <c r="P56" s="5" t="n"/>
    </row>
    <row r="57">
      <c r="A57" t="n">
        <v>15</v>
      </c>
      <c r="B57" s="5">
        <f>B220</f>
        <v/>
      </c>
      <c r="C57" s="5">
        <f>E220</f>
        <v/>
      </c>
      <c r="D57" s="5">
        <f>F220</f>
        <v/>
      </c>
      <c r="E57" s="5">
        <f>G220</f>
        <v/>
      </c>
      <c r="F57" s="6">
        <f>I220</f>
        <v/>
      </c>
      <c r="G57" s="5">
        <f>J220</f>
        <v/>
      </c>
      <c r="H57" s="5">
        <f>K220</f>
        <v/>
      </c>
      <c r="I57" s="5">
        <f>L220</f>
        <v/>
      </c>
      <c r="J57" s="6">
        <f>M220</f>
        <v/>
      </c>
      <c r="K57" s="5">
        <f>N220</f>
        <v/>
      </c>
      <c r="L57" s="5">
        <f>O220</f>
        <v/>
      </c>
      <c r="M57" s="5" t="n"/>
      <c r="N57" s="5" t="n"/>
      <c r="O57" s="5" t="n"/>
      <c r="P57" s="5" t="n"/>
    </row>
    <row r="58">
      <c r="A58" t="n">
        <v>16</v>
      </c>
      <c r="B58" s="5">
        <f>B221</f>
        <v/>
      </c>
      <c r="C58" s="5">
        <f>E221</f>
        <v/>
      </c>
      <c r="D58" s="5">
        <f>F221</f>
        <v/>
      </c>
      <c r="E58" s="5">
        <f>G221</f>
        <v/>
      </c>
      <c r="F58" s="6">
        <f>I221</f>
        <v/>
      </c>
      <c r="G58" s="5">
        <f>J221</f>
        <v/>
      </c>
      <c r="H58" s="5">
        <f>K221</f>
        <v/>
      </c>
      <c r="I58" s="5">
        <f>L221</f>
        <v/>
      </c>
      <c r="J58" s="6">
        <f>M221</f>
        <v/>
      </c>
      <c r="K58" s="5">
        <f>N221</f>
        <v/>
      </c>
      <c r="L58" s="5">
        <f>O221</f>
        <v/>
      </c>
      <c r="M58" s="5" t="n"/>
      <c r="N58" s="5" t="n"/>
      <c r="O58" s="5" t="n"/>
      <c r="P58" s="5" t="n"/>
    </row>
    <row r="59">
      <c r="A59" t="n">
        <v>17</v>
      </c>
      <c r="B59" s="5">
        <f>B222</f>
        <v/>
      </c>
      <c r="C59" s="5">
        <f>E222</f>
        <v/>
      </c>
      <c r="D59" s="5">
        <f>F222</f>
        <v/>
      </c>
      <c r="E59" s="5">
        <f>G222</f>
        <v/>
      </c>
      <c r="F59" s="6">
        <f>I222</f>
        <v/>
      </c>
      <c r="G59" s="5">
        <f>J222</f>
        <v/>
      </c>
      <c r="H59" s="5">
        <f>K222</f>
        <v/>
      </c>
      <c r="I59" s="5">
        <f>L222</f>
        <v/>
      </c>
      <c r="J59" s="6">
        <f>M222</f>
        <v/>
      </c>
      <c r="K59" s="5">
        <f>N222</f>
        <v/>
      </c>
      <c r="L59" s="5">
        <f>O222</f>
        <v/>
      </c>
      <c r="M59" s="5" t="n"/>
      <c r="N59" s="5" t="n"/>
      <c r="O59" s="5" t="n"/>
      <c r="P59" s="5" t="n"/>
    </row>
    <row r="60">
      <c r="A60" t="n">
        <v>18</v>
      </c>
      <c r="B60" s="5">
        <f>B223</f>
        <v/>
      </c>
      <c r="C60" s="5">
        <f>E223</f>
        <v/>
      </c>
      <c r="D60" s="5">
        <f>F223</f>
        <v/>
      </c>
      <c r="E60" s="5">
        <f>G223</f>
        <v/>
      </c>
      <c r="F60" s="6">
        <f>I223</f>
        <v/>
      </c>
      <c r="G60" s="5">
        <f>J223</f>
        <v/>
      </c>
      <c r="H60" s="5">
        <f>K223</f>
        <v/>
      </c>
      <c r="I60" s="5">
        <f>L223</f>
        <v/>
      </c>
      <c r="J60" s="6">
        <f>M223</f>
        <v/>
      </c>
      <c r="K60" s="5">
        <f>N223</f>
        <v/>
      </c>
      <c r="L60" s="5">
        <f>O223</f>
        <v/>
      </c>
      <c r="M60" s="5" t="n"/>
      <c r="N60" s="5" t="n"/>
      <c r="O60" s="5" t="n"/>
      <c r="P60" s="5" t="n"/>
    </row>
    <row r="61">
      <c r="A61" t="n">
        <v>19</v>
      </c>
      <c r="B61" s="5">
        <f>B224</f>
        <v/>
      </c>
      <c r="C61" s="5">
        <f>E224</f>
        <v/>
      </c>
      <c r="D61" s="5">
        <f>F224</f>
        <v/>
      </c>
      <c r="E61" s="5">
        <f>G224</f>
        <v/>
      </c>
      <c r="F61" s="6">
        <f>I224</f>
        <v/>
      </c>
      <c r="G61" s="5">
        <f>J224</f>
        <v/>
      </c>
      <c r="H61" s="5">
        <f>K224</f>
        <v/>
      </c>
      <c r="I61" s="5">
        <f>L224</f>
        <v/>
      </c>
      <c r="J61" s="6">
        <f>M224</f>
        <v/>
      </c>
      <c r="K61" s="5">
        <f>N224</f>
        <v/>
      </c>
      <c r="L61" s="5">
        <f>O224</f>
        <v/>
      </c>
      <c r="M61" s="5" t="n"/>
      <c r="N61" s="5" t="n"/>
      <c r="O61" s="5" t="n"/>
      <c r="P61" s="5" t="n"/>
    </row>
    <row r="62">
      <c r="A62" t="n">
        <v>20</v>
      </c>
      <c r="B62" s="5">
        <f>B225</f>
        <v/>
      </c>
      <c r="C62" s="5">
        <f>E225</f>
        <v/>
      </c>
      <c r="D62" s="5">
        <f>F225</f>
        <v/>
      </c>
      <c r="E62" s="5">
        <f>G225</f>
        <v/>
      </c>
      <c r="F62" s="6">
        <f>I225</f>
        <v/>
      </c>
      <c r="G62" s="5">
        <f>J225</f>
        <v/>
      </c>
      <c r="H62" s="5">
        <f>K225</f>
        <v/>
      </c>
      <c r="I62" s="5">
        <f>L225</f>
        <v/>
      </c>
      <c r="J62" s="6">
        <f>M225</f>
        <v/>
      </c>
      <c r="K62" s="5">
        <f>N225</f>
        <v/>
      </c>
      <c r="L62" s="5">
        <f>O225</f>
        <v/>
      </c>
      <c r="M62" s="5" t="n"/>
      <c r="N62" s="5" t="n"/>
      <c r="O62" s="5" t="n"/>
      <c r="P62" s="5" t="n"/>
    </row>
    <row r="65">
      <c r="A65" t="inlineStr">
        <is>
          <t>Interpretation</t>
        </is>
      </c>
      <c r="B65" t="inlineStr">
        <is>
          <t>Closing capital is deployable company money including debt; wages and loan claims belong to employees. All transactions assumed genuine and compliant.</t>
        </is>
      </c>
    </row>
    <row r="83" hidden="1" outlineLevel="1">
      <c r="A83" t="inlineStr">
        <is>
          <t>Personal</t>
        </is>
      </c>
    </row>
    <row r="84" hidden="1" outlineLevel="1" ht="40" customHeight="1">
      <c r="A84" s="4" t="inlineStr">
        <is>
          <t>Year</t>
        </is>
      </c>
      <c r="B84" s="4" t="inlineStr">
        <is>
          <t>Opening</t>
        </is>
      </c>
      <c r="C84" s="4" t="inlineStr">
        <is>
          <t>Deployed</t>
        </is>
      </c>
      <c r="D84" s="4" t="inlineStr">
        <is>
          <t>Idle</t>
        </is>
      </c>
      <c r="E84" s="4" t="inlineStr">
        <is>
          <t>Profit</t>
        </is>
      </c>
      <c r="F84" s="4" t="inlineStr">
        <is>
          <t>Overhead</t>
        </is>
      </c>
      <c r="G84" s="4" t="inlineStr">
        <is>
          <t>Salary paid</t>
        </is>
      </c>
      <c r="H84" s="4" t="inlineStr">
        <is>
          <t>Taxable profit</t>
        </is>
      </c>
      <c r="I84" s="4" t="inlineStr">
        <is>
          <t>Income tax</t>
        </is>
      </c>
      <c r="J84" s="4" t="inlineStr">
        <is>
          <t>Not lent back</t>
        </is>
      </c>
      <c r="K84" s="4" t="inlineStr">
        <is>
          <t>New payroll loan</t>
        </is>
      </c>
      <c r="L84" s="4" t="inlineStr">
        <is>
          <t>Loans outstanding</t>
        </is>
      </c>
      <c r="M84" s="4" t="inlineStr">
        <is>
          <t>Closing trading capital</t>
        </is>
      </c>
      <c r="N84" s="4" t="inlineStr">
        <is>
          <t>Closing less payroll debt</t>
        </is>
      </c>
      <c r="O84" s="4" t="inlineStr">
        <is>
          <t>Payroll deduction tax saving</t>
        </is>
      </c>
      <c r="P84" s="4" t="inlineStr">
        <is>
          <t>Check = 0</t>
        </is>
      </c>
    </row>
    <row r="85" hidden="1" outlineLevel="1">
      <c r="A85" t="n">
        <v>0</v>
      </c>
      <c r="B85" s="7">
        <f>$B$3</f>
        <v/>
      </c>
      <c r="C85" s="7" t="n">
        <v>0</v>
      </c>
      <c r="D85" s="7" t="n">
        <v>0</v>
      </c>
      <c r="E85" s="7" t="n">
        <v>0</v>
      </c>
      <c r="F85" s="7" t="n">
        <v>0</v>
      </c>
      <c r="G85" s="7" t="n">
        <v>0</v>
      </c>
      <c r="H85" s="7" t="n">
        <v>0</v>
      </c>
      <c r="I85" s="7" t="n">
        <v>0</v>
      </c>
      <c r="J85" s="7" t="n">
        <v>0</v>
      </c>
      <c r="K85" s="7" t="n">
        <v>0</v>
      </c>
      <c r="L85" s="7" t="n">
        <v>0</v>
      </c>
      <c r="M85" s="7">
        <f>$B$3</f>
        <v/>
      </c>
      <c r="N85" s="7">
        <f>$B$3</f>
        <v/>
      </c>
      <c r="O85" s="7" t="n">
        <v>0</v>
      </c>
      <c r="P85" s="7" t="n">
        <v>0</v>
      </c>
    </row>
    <row r="86" hidden="1" outlineLevel="1">
      <c r="A86" t="n">
        <v>1</v>
      </c>
      <c r="B86" s="7">
        <f>M85</f>
        <v/>
      </c>
      <c r="C86" s="7">
        <f>MIN(B86,$B$11)</f>
        <v/>
      </c>
      <c r="D86" s="7">
        <f>MAX(B86-C86,0)</f>
        <v/>
      </c>
      <c r="E86" s="7">
        <f>C86*$B$4+D86*$B$13</f>
        <v/>
      </c>
      <c r="F86" s="7">
        <f>$B$9</f>
        <v/>
      </c>
      <c r="G86" s="7">
        <f>0</f>
        <v/>
      </c>
      <c r="H86" s="7">
        <f>MAX(E86-F86-G86,0)</f>
        <v/>
      </c>
      <c r="I86" s="7">
        <f>IF((H86+$B$12)&lt;=0.12,0,IF((H86+$B$12)&lt;=0.5,MIN((MAX((H86+$B$12)-0.04,0)*0.05+MAX((H86+$B$12)-0.08,0)*0.05+MAX((H86+$B$12)-0.12,0)*0.05+MAX((H86+$B$12)-0.16,0)*0.05+MAX((H86+$B$12)-0.2,0)*0.05+MAX((H86+$B$12)-0.24,0)*0.05),(H86+$B$12)-0.12),MIN((MAX((H86+$B$12)-0.04,0)*0.05+MAX((H86+$B$12)-0.08,0)*0.05+MAX((H86+$B$12)-0.12,0)*0.05+MAX((H86+$B$12)-0.16,0)*0.05+MAX((H86+$B$12)-0.2,0)*0.05+MAX((H86+$B$12)-0.24,0)*0.05)*(1+IF((H86+$B$12)&lt;=1,0.1,IF((H86+$B$12)&lt;=2,0.15,0.25))),(MAX(IF((H86+$B$12)&lt;=1,0.5,IF((H86+$B$12)&lt;=2,1,2))-0.04,0)*0.05+MAX(IF((H86+$B$12)&lt;=1,0.5,IF((H86+$B$12)&lt;=2,1,2))-0.08,0)*0.05+MAX(IF((H86+$B$12)&lt;=1,0.5,IF((H86+$B$12)&lt;=2,1,2))-0.12,0)*0.05+MAX(IF((H86+$B$12)&lt;=1,0.5,IF((H86+$B$12)&lt;=2,1,2))-0.16,0)*0.05+MAX(IF((H86+$B$12)&lt;=1,0.5,IF((H86+$B$12)&lt;=2,1,2))-0.2,0)*0.05+MAX(IF((H86+$B$12)&lt;=1,0.5,IF((H86+$B$12)&lt;=2,1,2))-0.24,0)*0.05)*(1+IF((H86+$B$12)&lt;=1,0,IF((H86+$B$12)&lt;=2,0.1,0.15)))+(H86+$B$12)-IF((H86+$B$12)&lt;=1,0.5,IF((H86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6" s="7">
        <f>G86*(1-$B$6)</f>
        <v/>
      </c>
      <c r="K86" s="7">
        <f>G86*$B$6</f>
        <v/>
      </c>
      <c r="L86" s="7">
        <f>L85+K86</f>
        <v/>
      </c>
      <c r="M86" s="7">
        <f>B86+E86-F86-I86-J86</f>
        <v/>
      </c>
      <c r="N86" s="7">
        <f>M86-L86</f>
        <v/>
      </c>
      <c r="O86" s="7">
        <f>0</f>
        <v/>
      </c>
      <c r="P86" s="7">
        <f>M86-(B86+E86-F86-I86-J86)</f>
        <v/>
      </c>
    </row>
    <row r="87" hidden="1" outlineLevel="1">
      <c r="A87" t="n">
        <v>2</v>
      </c>
      <c r="B87" s="7">
        <f>M86</f>
        <v/>
      </c>
      <c r="C87" s="7">
        <f>MIN(B87,$B$11)</f>
        <v/>
      </c>
      <c r="D87" s="7">
        <f>MAX(B87-C87,0)</f>
        <v/>
      </c>
      <c r="E87" s="7">
        <f>C87*$B$4+D87*$B$13</f>
        <v/>
      </c>
      <c r="F87" s="7">
        <f>$B$9</f>
        <v/>
      </c>
      <c r="G87" s="7">
        <f>0</f>
        <v/>
      </c>
      <c r="H87" s="7">
        <f>MAX(E87-F87-G87,0)</f>
        <v/>
      </c>
      <c r="I87" s="7">
        <f>IF((H87+$B$12)&lt;=0.12,0,IF((H87+$B$12)&lt;=0.5,MIN((MAX((H87+$B$12)-0.04,0)*0.05+MAX((H87+$B$12)-0.08,0)*0.05+MAX((H87+$B$12)-0.12,0)*0.05+MAX((H87+$B$12)-0.16,0)*0.05+MAX((H87+$B$12)-0.2,0)*0.05+MAX((H87+$B$12)-0.24,0)*0.05),(H87+$B$12)-0.12),MIN((MAX((H87+$B$12)-0.04,0)*0.05+MAX((H87+$B$12)-0.08,0)*0.05+MAX((H87+$B$12)-0.12,0)*0.05+MAX((H87+$B$12)-0.16,0)*0.05+MAX((H87+$B$12)-0.2,0)*0.05+MAX((H87+$B$12)-0.24,0)*0.05)*(1+IF((H87+$B$12)&lt;=1,0.1,IF((H87+$B$12)&lt;=2,0.15,0.25))),(MAX(IF((H87+$B$12)&lt;=1,0.5,IF((H87+$B$12)&lt;=2,1,2))-0.04,0)*0.05+MAX(IF((H87+$B$12)&lt;=1,0.5,IF((H87+$B$12)&lt;=2,1,2))-0.08,0)*0.05+MAX(IF((H87+$B$12)&lt;=1,0.5,IF((H87+$B$12)&lt;=2,1,2))-0.12,0)*0.05+MAX(IF((H87+$B$12)&lt;=1,0.5,IF((H87+$B$12)&lt;=2,1,2))-0.16,0)*0.05+MAX(IF((H87+$B$12)&lt;=1,0.5,IF((H87+$B$12)&lt;=2,1,2))-0.2,0)*0.05+MAX(IF((H87+$B$12)&lt;=1,0.5,IF((H87+$B$12)&lt;=2,1,2))-0.24,0)*0.05)*(1+IF((H87+$B$12)&lt;=1,0,IF((H87+$B$12)&lt;=2,0.1,0.15)))+(H87+$B$12)-IF((H87+$B$12)&lt;=1,0.5,IF((H87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7" s="7">
        <f>G87*(1-$B$6)</f>
        <v/>
      </c>
      <c r="K87" s="7">
        <f>G87*$B$6</f>
        <v/>
      </c>
      <c r="L87" s="7">
        <f>L86+K87</f>
        <v/>
      </c>
      <c r="M87" s="7">
        <f>B87+E87-F87-I87-J87</f>
        <v/>
      </c>
      <c r="N87" s="7">
        <f>M87-L87</f>
        <v/>
      </c>
      <c r="O87" s="7">
        <f>0</f>
        <v/>
      </c>
      <c r="P87" s="7">
        <f>M87-(B87+E87-F87-I87-J87)</f>
        <v/>
      </c>
    </row>
    <row r="88" hidden="1" outlineLevel="1">
      <c r="A88" t="n">
        <v>3</v>
      </c>
      <c r="B88" s="7">
        <f>M87</f>
        <v/>
      </c>
      <c r="C88" s="7">
        <f>MIN(B88,$B$11)</f>
        <v/>
      </c>
      <c r="D88" s="7">
        <f>MAX(B88-C88,0)</f>
        <v/>
      </c>
      <c r="E88" s="7">
        <f>C88*$B$4+D88*$B$13</f>
        <v/>
      </c>
      <c r="F88" s="7">
        <f>$B$9</f>
        <v/>
      </c>
      <c r="G88" s="7">
        <f>0</f>
        <v/>
      </c>
      <c r="H88" s="7">
        <f>MAX(E88-F88-G88,0)</f>
        <v/>
      </c>
      <c r="I88" s="7">
        <f>IF((H88+$B$12)&lt;=0.12,0,IF((H88+$B$12)&lt;=0.5,MIN((MAX((H88+$B$12)-0.04,0)*0.05+MAX((H88+$B$12)-0.08,0)*0.05+MAX((H88+$B$12)-0.12,0)*0.05+MAX((H88+$B$12)-0.16,0)*0.05+MAX((H88+$B$12)-0.2,0)*0.05+MAX((H88+$B$12)-0.24,0)*0.05),(H88+$B$12)-0.12),MIN((MAX((H88+$B$12)-0.04,0)*0.05+MAX((H88+$B$12)-0.08,0)*0.05+MAX((H88+$B$12)-0.12,0)*0.05+MAX((H88+$B$12)-0.16,0)*0.05+MAX((H88+$B$12)-0.2,0)*0.05+MAX((H88+$B$12)-0.24,0)*0.05)*(1+IF((H88+$B$12)&lt;=1,0.1,IF((H88+$B$12)&lt;=2,0.15,0.25))),(MAX(IF((H88+$B$12)&lt;=1,0.5,IF((H88+$B$12)&lt;=2,1,2))-0.04,0)*0.05+MAX(IF((H88+$B$12)&lt;=1,0.5,IF((H88+$B$12)&lt;=2,1,2))-0.08,0)*0.05+MAX(IF((H88+$B$12)&lt;=1,0.5,IF((H88+$B$12)&lt;=2,1,2))-0.12,0)*0.05+MAX(IF((H88+$B$12)&lt;=1,0.5,IF((H88+$B$12)&lt;=2,1,2))-0.16,0)*0.05+MAX(IF((H88+$B$12)&lt;=1,0.5,IF((H88+$B$12)&lt;=2,1,2))-0.2,0)*0.05+MAX(IF((H88+$B$12)&lt;=1,0.5,IF((H88+$B$12)&lt;=2,1,2))-0.24,0)*0.05)*(1+IF((H88+$B$12)&lt;=1,0,IF((H88+$B$12)&lt;=2,0.1,0.15)))+(H88+$B$12)-IF((H88+$B$12)&lt;=1,0.5,IF((H88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8" s="7">
        <f>G88*(1-$B$6)</f>
        <v/>
      </c>
      <c r="K88" s="7">
        <f>G88*$B$6</f>
        <v/>
      </c>
      <c r="L88" s="7">
        <f>L87+K88</f>
        <v/>
      </c>
      <c r="M88" s="7">
        <f>B88+E88-F88-I88-J88</f>
        <v/>
      </c>
      <c r="N88" s="7">
        <f>M88-L88</f>
        <v/>
      </c>
      <c r="O88" s="7">
        <f>0</f>
        <v/>
      </c>
      <c r="P88" s="7">
        <f>M88-(B88+E88-F88-I88-J88)</f>
        <v/>
      </c>
    </row>
    <row r="89" hidden="1" outlineLevel="1">
      <c r="A89" t="n">
        <v>4</v>
      </c>
      <c r="B89" s="7">
        <f>M88</f>
        <v/>
      </c>
      <c r="C89" s="7">
        <f>MIN(B89,$B$11)</f>
        <v/>
      </c>
      <c r="D89" s="7">
        <f>MAX(B89-C89,0)</f>
        <v/>
      </c>
      <c r="E89" s="7">
        <f>C89*$B$4+D89*$B$13</f>
        <v/>
      </c>
      <c r="F89" s="7">
        <f>$B$9</f>
        <v/>
      </c>
      <c r="G89" s="7">
        <f>0</f>
        <v/>
      </c>
      <c r="H89" s="7">
        <f>MAX(E89-F89-G89,0)</f>
        <v/>
      </c>
      <c r="I89" s="7">
        <f>IF((H89+$B$12)&lt;=0.12,0,IF((H89+$B$12)&lt;=0.5,MIN((MAX((H89+$B$12)-0.04,0)*0.05+MAX((H89+$B$12)-0.08,0)*0.05+MAX((H89+$B$12)-0.12,0)*0.05+MAX((H89+$B$12)-0.16,0)*0.05+MAX((H89+$B$12)-0.2,0)*0.05+MAX((H89+$B$12)-0.24,0)*0.05),(H89+$B$12)-0.12),MIN((MAX((H89+$B$12)-0.04,0)*0.05+MAX((H89+$B$12)-0.08,0)*0.05+MAX((H89+$B$12)-0.12,0)*0.05+MAX((H89+$B$12)-0.16,0)*0.05+MAX((H89+$B$12)-0.2,0)*0.05+MAX((H89+$B$12)-0.24,0)*0.05)*(1+IF((H89+$B$12)&lt;=1,0.1,IF((H89+$B$12)&lt;=2,0.15,0.25))),(MAX(IF((H89+$B$12)&lt;=1,0.5,IF((H89+$B$12)&lt;=2,1,2))-0.04,0)*0.05+MAX(IF((H89+$B$12)&lt;=1,0.5,IF((H89+$B$12)&lt;=2,1,2))-0.08,0)*0.05+MAX(IF((H89+$B$12)&lt;=1,0.5,IF((H89+$B$12)&lt;=2,1,2))-0.12,0)*0.05+MAX(IF((H89+$B$12)&lt;=1,0.5,IF((H89+$B$12)&lt;=2,1,2))-0.16,0)*0.05+MAX(IF((H89+$B$12)&lt;=1,0.5,IF((H89+$B$12)&lt;=2,1,2))-0.2,0)*0.05+MAX(IF((H89+$B$12)&lt;=1,0.5,IF((H89+$B$12)&lt;=2,1,2))-0.24,0)*0.05)*(1+IF((H89+$B$12)&lt;=1,0,IF((H89+$B$12)&lt;=2,0.1,0.15)))+(H89+$B$12)-IF((H89+$B$12)&lt;=1,0.5,IF((H89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89" s="7">
        <f>G89*(1-$B$6)</f>
        <v/>
      </c>
      <c r="K89" s="7">
        <f>G89*$B$6</f>
        <v/>
      </c>
      <c r="L89" s="7">
        <f>L88+K89</f>
        <v/>
      </c>
      <c r="M89" s="7">
        <f>B89+E89-F89-I89-J89</f>
        <v/>
      </c>
      <c r="N89" s="7">
        <f>M89-L89</f>
        <v/>
      </c>
      <c r="O89" s="7">
        <f>0</f>
        <v/>
      </c>
      <c r="P89" s="7">
        <f>M89-(B89+E89-F89-I89-J89)</f>
        <v/>
      </c>
    </row>
    <row r="90" hidden="1" outlineLevel="1">
      <c r="A90" t="n">
        <v>5</v>
      </c>
      <c r="B90" s="7">
        <f>M89</f>
        <v/>
      </c>
      <c r="C90" s="7">
        <f>MIN(B90,$B$11)</f>
        <v/>
      </c>
      <c r="D90" s="7">
        <f>MAX(B90-C90,0)</f>
        <v/>
      </c>
      <c r="E90" s="7">
        <f>C90*$B$4+D90*$B$13</f>
        <v/>
      </c>
      <c r="F90" s="7">
        <f>$B$9</f>
        <v/>
      </c>
      <c r="G90" s="7">
        <f>0</f>
        <v/>
      </c>
      <c r="H90" s="7">
        <f>MAX(E90-F90-G90,0)</f>
        <v/>
      </c>
      <c r="I90" s="7">
        <f>IF((H90+$B$12)&lt;=0.12,0,IF((H90+$B$12)&lt;=0.5,MIN((MAX((H90+$B$12)-0.04,0)*0.05+MAX((H90+$B$12)-0.08,0)*0.05+MAX((H90+$B$12)-0.12,0)*0.05+MAX((H90+$B$12)-0.16,0)*0.05+MAX((H90+$B$12)-0.2,0)*0.05+MAX((H90+$B$12)-0.24,0)*0.05),(H90+$B$12)-0.12),MIN((MAX((H90+$B$12)-0.04,0)*0.05+MAX((H90+$B$12)-0.08,0)*0.05+MAX((H90+$B$12)-0.12,0)*0.05+MAX((H90+$B$12)-0.16,0)*0.05+MAX((H90+$B$12)-0.2,0)*0.05+MAX((H90+$B$12)-0.24,0)*0.05)*(1+IF((H90+$B$12)&lt;=1,0.1,IF((H90+$B$12)&lt;=2,0.15,0.25))),(MAX(IF((H90+$B$12)&lt;=1,0.5,IF((H90+$B$12)&lt;=2,1,2))-0.04,0)*0.05+MAX(IF((H90+$B$12)&lt;=1,0.5,IF((H90+$B$12)&lt;=2,1,2))-0.08,0)*0.05+MAX(IF((H90+$B$12)&lt;=1,0.5,IF((H90+$B$12)&lt;=2,1,2))-0.12,0)*0.05+MAX(IF((H90+$B$12)&lt;=1,0.5,IF((H90+$B$12)&lt;=2,1,2))-0.16,0)*0.05+MAX(IF((H90+$B$12)&lt;=1,0.5,IF((H90+$B$12)&lt;=2,1,2))-0.2,0)*0.05+MAX(IF((H90+$B$12)&lt;=1,0.5,IF((H90+$B$12)&lt;=2,1,2))-0.24,0)*0.05)*(1+IF((H90+$B$12)&lt;=1,0,IF((H90+$B$12)&lt;=2,0.1,0.15)))+(H90+$B$12)-IF((H90+$B$12)&lt;=1,0.5,IF((H90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0" s="7">
        <f>G90*(1-$B$6)</f>
        <v/>
      </c>
      <c r="K90" s="7">
        <f>G90*$B$6</f>
        <v/>
      </c>
      <c r="L90" s="7">
        <f>L89+K90</f>
        <v/>
      </c>
      <c r="M90" s="7">
        <f>B90+E90-F90-I90-J90</f>
        <v/>
      </c>
      <c r="N90" s="7">
        <f>M90-L90</f>
        <v/>
      </c>
      <c r="O90" s="7">
        <f>0</f>
        <v/>
      </c>
      <c r="P90" s="7">
        <f>M90-(B90+E90-F90-I90-J90)</f>
        <v/>
      </c>
    </row>
    <row r="91" hidden="1" outlineLevel="1">
      <c r="A91" t="n">
        <v>6</v>
      </c>
      <c r="B91" s="7">
        <f>M90</f>
        <v/>
      </c>
      <c r="C91" s="7">
        <f>MIN(B91,$B$11)</f>
        <v/>
      </c>
      <c r="D91" s="7">
        <f>MAX(B91-C91,0)</f>
        <v/>
      </c>
      <c r="E91" s="7">
        <f>C91*$B$4+D91*$B$13</f>
        <v/>
      </c>
      <c r="F91" s="7">
        <f>$B$9</f>
        <v/>
      </c>
      <c r="G91" s="7">
        <f>0</f>
        <v/>
      </c>
      <c r="H91" s="7">
        <f>MAX(E91-F91-G91,0)</f>
        <v/>
      </c>
      <c r="I91" s="7">
        <f>IF((H91+$B$12)&lt;=0.12,0,IF((H91+$B$12)&lt;=0.5,MIN((MAX((H91+$B$12)-0.04,0)*0.05+MAX((H91+$B$12)-0.08,0)*0.05+MAX((H91+$B$12)-0.12,0)*0.05+MAX((H91+$B$12)-0.16,0)*0.05+MAX((H91+$B$12)-0.2,0)*0.05+MAX((H91+$B$12)-0.24,0)*0.05),(H91+$B$12)-0.12),MIN((MAX((H91+$B$12)-0.04,0)*0.05+MAX((H91+$B$12)-0.08,0)*0.05+MAX((H91+$B$12)-0.12,0)*0.05+MAX((H91+$B$12)-0.16,0)*0.05+MAX((H91+$B$12)-0.2,0)*0.05+MAX((H91+$B$12)-0.24,0)*0.05)*(1+IF((H91+$B$12)&lt;=1,0.1,IF((H91+$B$12)&lt;=2,0.15,0.25))),(MAX(IF((H91+$B$12)&lt;=1,0.5,IF((H91+$B$12)&lt;=2,1,2))-0.04,0)*0.05+MAX(IF((H91+$B$12)&lt;=1,0.5,IF((H91+$B$12)&lt;=2,1,2))-0.08,0)*0.05+MAX(IF((H91+$B$12)&lt;=1,0.5,IF((H91+$B$12)&lt;=2,1,2))-0.12,0)*0.05+MAX(IF((H91+$B$12)&lt;=1,0.5,IF((H91+$B$12)&lt;=2,1,2))-0.16,0)*0.05+MAX(IF((H91+$B$12)&lt;=1,0.5,IF((H91+$B$12)&lt;=2,1,2))-0.2,0)*0.05+MAX(IF((H91+$B$12)&lt;=1,0.5,IF((H91+$B$12)&lt;=2,1,2))-0.24,0)*0.05)*(1+IF((H91+$B$12)&lt;=1,0,IF((H91+$B$12)&lt;=2,0.1,0.15)))+(H91+$B$12)-IF((H91+$B$12)&lt;=1,0.5,IF((H91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1" s="7">
        <f>G91*(1-$B$6)</f>
        <v/>
      </c>
      <c r="K91" s="7">
        <f>G91*$B$6</f>
        <v/>
      </c>
      <c r="L91" s="7">
        <f>L90+K91</f>
        <v/>
      </c>
      <c r="M91" s="7">
        <f>B91+E91-F91-I91-J91</f>
        <v/>
      </c>
      <c r="N91" s="7">
        <f>M91-L91</f>
        <v/>
      </c>
      <c r="O91" s="7">
        <f>0</f>
        <v/>
      </c>
      <c r="P91" s="7">
        <f>M91-(B91+E91-F91-I91-J91)</f>
        <v/>
      </c>
    </row>
    <row r="92" hidden="1" outlineLevel="1">
      <c r="A92" t="n">
        <v>7</v>
      </c>
      <c r="B92" s="7">
        <f>M91</f>
        <v/>
      </c>
      <c r="C92" s="7">
        <f>MIN(B92,$B$11)</f>
        <v/>
      </c>
      <c r="D92" s="7">
        <f>MAX(B92-C92,0)</f>
        <v/>
      </c>
      <c r="E92" s="7">
        <f>C92*$B$4+D92*$B$13</f>
        <v/>
      </c>
      <c r="F92" s="7">
        <f>$B$9</f>
        <v/>
      </c>
      <c r="G92" s="7">
        <f>0</f>
        <v/>
      </c>
      <c r="H92" s="7">
        <f>MAX(E92-F92-G92,0)</f>
        <v/>
      </c>
      <c r="I92" s="7">
        <f>IF((H92+$B$12)&lt;=0.12,0,IF((H92+$B$12)&lt;=0.5,MIN((MAX((H92+$B$12)-0.04,0)*0.05+MAX((H92+$B$12)-0.08,0)*0.05+MAX((H92+$B$12)-0.12,0)*0.05+MAX((H92+$B$12)-0.16,0)*0.05+MAX((H92+$B$12)-0.2,0)*0.05+MAX((H92+$B$12)-0.24,0)*0.05),(H92+$B$12)-0.12),MIN((MAX((H92+$B$12)-0.04,0)*0.05+MAX((H92+$B$12)-0.08,0)*0.05+MAX((H92+$B$12)-0.12,0)*0.05+MAX((H92+$B$12)-0.16,0)*0.05+MAX((H92+$B$12)-0.2,0)*0.05+MAX((H92+$B$12)-0.24,0)*0.05)*(1+IF((H92+$B$12)&lt;=1,0.1,IF((H92+$B$12)&lt;=2,0.15,0.25))),(MAX(IF((H92+$B$12)&lt;=1,0.5,IF((H92+$B$12)&lt;=2,1,2))-0.04,0)*0.05+MAX(IF((H92+$B$12)&lt;=1,0.5,IF((H92+$B$12)&lt;=2,1,2))-0.08,0)*0.05+MAX(IF((H92+$B$12)&lt;=1,0.5,IF((H92+$B$12)&lt;=2,1,2))-0.12,0)*0.05+MAX(IF((H92+$B$12)&lt;=1,0.5,IF((H92+$B$12)&lt;=2,1,2))-0.16,0)*0.05+MAX(IF((H92+$B$12)&lt;=1,0.5,IF((H92+$B$12)&lt;=2,1,2))-0.2,0)*0.05+MAX(IF((H92+$B$12)&lt;=1,0.5,IF((H92+$B$12)&lt;=2,1,2))-0.24,0)*0.05)*(1+IF((H92+$B$12)&lt;=1,0,IF((H92+$B$12)&lt;=2,0.1,0.15)))+(H92+$B$12)-IF((H92+$B$12)&lt;=1,0.5,IF((H92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2" s="7">
        <f>G92*(1-$B$6)</f>
        <v/>
      </c>
      <c r="K92" s="7">
        <f>G92*$B$6</f>
        <v/>
      </c>
      <c r="L92" s="7">
        <f>L91+K92</f>
        <v/>
      </c>
      <c r="M92" s="7">
        <f>B92+E92-F92-I92-J92</f>
        <v/>
      </c>
      <c r="N92" s="7">
        <f>M92-L92</f>
        <v/>
      </c>
      <c r="O92" s="7">
        <f>0</f>
        <v/>
      </c>
      <c r="P92" s="7">
        <f>M92-(B92+E92-F92-I92-J92)</f>
        <v/>
      </c>
    </row>
    <row r="93" hidden="1" outlineLevel="1">
      <c r="A93" t="n">
        <v>8</v>
      </c>
      <c r="B93" s="7">
        <f>M92</f>
        <v/>
      </c>
      <c r="C93" s="7">
        <f>MIN(B93,$B$11)</f>
        <v/>
      </c>
      <c r="D93" s="7">
        <f>MAX(B93-C93,0)</f>
        <v/>
      </c>
      <c r="E93" s="7">
        <f>C93*$B$4+D93*$B$13</f>
        <v/>
      </c>
      <c r="F93" s="7">
        <f>$B$9</f>
        <v/>
      </c>
      <c r="G93" s="7">
        <f>0</f>
        <v/>
      </c>
      <c r="H93" s="7">
        <f>MAX(E93-F93-G93,0)</f>
        <v/>
      </c>
      <c r="I93" s="7">
        <f>IF((H93+$B$12)&lt;=0.12,0,IF((H93+$B$12)&lt;=0.5,MIN((MAX((H93+$B$12)-0.04,0)*0.05+MAX((H93+$B$12)-0.08,0)*0.05+MAX((H93+$B$12)-0.12,0)*0.05+MAX((H93+$B$12)-0.16,0)*0.05+MAX((H93+$B$12)-0.2,0)*0.05+MAX((H93+$B$12)-0.24,0)*0.05),(H93+$B$12)-0.12),MIN((MAX((H93+$B$12)-0.04,0)*0.05+MAX((H93+$B$12)-0.08,0)*0.05+MAX((H93+$B$12)-0.12,0)*0.05+MAX((H93+$B$12)-0.16,0)*0.05+MAX((H93+$B$12)-0.2,0)*0.05+MAX((H93+$B$12)-0.24,0)*0.05)*(1+IF((H93+$B$12)&lt;=1,0.1,IF((H93+$B$12)&lt;=2,0.15,0.25))),(MAX(IF((H93+$B$12)&lt;=1,0.5,IF((H93+$B$12)&lt;=2,1,2))-0.04,0)*0.05+MAX(IF((H93+$B$12)&lt;=1,0.5,IF((H93+$B$12)&lt;=2,1,2))-0.08,0)*0.05+MAX(IF((H93+$B$12)&lt;=1,0.5,IF((H93+$B$12)&lt;=2,1,2))-0.12,0)*0.05+MAX(IF((H93+$B$12)&lt;=1,0.5,IF((H93+$B$12)&lt;=2,1,2))-0.16,0)*0.05+MAX(IF((H93+$B$12)&lt;=1,0.5,IF((H93+$B$12)&lt;=2,1,2))-0.2,0)*0.05+MAX(IF((H93+$B$12)&lt;=1,0.5,IF((H93+$B$12)&lt;=2,1,2))-0.24,0)*0.05)*(1+IF((H93+$B$12)&lt;=1,0,IF((H93+$B$12)&lt;=2,0.1,0.15)))+(H93+$B$12)-IF((H93+$B$12)&lt;=1,0.5,IF((H93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3" s="7">
        <f>G93*(1-$B$6)</f>
        <v/>
      </c>
      <c r="K93" s="7">
        <f>G93*$B$6</f>
        <v/>
      </c>
      <c r="L93" s="7">
        <f>L92+K93</f>
        <v/>
      </c>
      <c r="M93" s="7">
        <f>B93+E93-F93-I93-J93</f>
        <v/>
      </c>
      <c r="N93" s="7">
        <f>M93-L93</f>
        <v/>
      </c>
      <c r="O93" s="7">
        <f>0</f>
        <v/>
      </c>
      <c r="P93" s="7">
        <f>M93-(B93+E93-F93-I93-J93)</f>
        <v/>
      </c>
    </row>
    <row r="94" hidden="1" outlineLevel="1">
      <c r="A94" t="n">
        <v>9</v>
      </c>
      <c r="B94" s="7">
        <f>M93</f>
        <v/>
      </c>
      <c r="C94" s="7">
        <f>MIN(B94,$B$11)</f>
        <v/>
      </c>
      <c r="D94" s="7">
        <f>MAX(B94-C94,0)</f>
        <v/>
      </c>
      <c r="E94" s="7">
        <f>C94*$B$4+D94*$B$13</f>
        <v/>
      </c>
      <c r="F94" s="7">
        <f>$B$9</f>
        <v/>
      </c>
      <c r="G94" s="7">
        <f>0</f>
        <v/>
      </c>
      <c r="H94" s="7">
        <f>MAX(E94-F94-G94,0)</f>
        <v/>
      </c>
      <c r="I94" s="7">
        <f>IF((H94+$B$12)&lt;=0.12,0,IF((H94+$B$12)&lt;=0.5,MIN((MAX((H94+$B$12)-0.04,0)*0.05+MAX((H94+$B$12)-0.08,0)*0.05+MAX((H94+$B$12)-0.12,0)*0.05+MAX((H94+$B$12)-0.16,0)*0.05+MAX((H94+$B$12)-0.2,0)*0.05+MAX((H94+$B$12)-0.24,0)*0.05),(H94+$B$12)-0.12),MIN((MAX((H94+$B$12)-0.04,0)*0.05+MAX((H94+$B$12)-0.08,0)*0.05+MAX((H94+$B$12)-0.12,0)*0.05+MAX((H94+$B$12)-0.16,0)*0.05+MAX((H94+$B$12)-0.2,0)*0.05+MAX((H94+$B$12)-0.24,0)*0.05)*(1+IF((H94+$B$12)&lt;=1,0.1,IF((H94+$B$12)&lt;=2,0.15,0.25))),(MAX(IF((H94+$B$12)&lt;=1,0.5,IF((H94+$B$12)&lt;=2,1,2))-0.04,0)*0.05+MAX(IF((H94+$B$12)&lt;=1,0.5,IF((H94+$B$12)&lt;=2,1,2))-0.08,0)*0.05+MAX(IF((H94+$B$12)&lt;=1,0.5,IF((H94+$B$12)&lt;=2,1,2))-0.12,0)*0.05+MAX(IF((H94+$B$12)&lt;=1,0.5,IF((H94+$B$12)&lt;=2,1,2))-0.16,0)*0.05+MAX(IF((H94+$B$12)&lt;=1,0.5,IF((H94+$B$12)&lt;=2,1,2))-0.2,0)*0.05+MAX(IF((H94+$B$12)&lt;=1,0.5,IF((H94+$B$12)&lt;=2,1,2))-0.24,0)*0.05)*(1+IF((H94+$B$12)&lt;=1,0,IF((H94+$B$12)&lt;=2,0.1,0.15)))+(H94+$B$12)-IF((H94+$B$12)&lt;=1,0.5,IF((H94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4" s="7">
        <f>G94*(1-$B$6)</f>
        <v/>
      </c>
      <c r="K94" s="7">
        <f>G94*$B$6</f>
        <v/>
      </c>
      <c r="L94" s="7">
        <f>L93+K94</f>
        <v/>
      </c>
      <c r="M94" s="7">
        <f>B94+E94-F94-I94-J94</f>
        <v/>
      </c>
      <c r="N94" s="7">
        <f>M94-L94</f>
        <v/>
      </c>
      <c r="O94" s="7">
        <f>0</f>
        <v/>
      </c>
      <c r="P94" s="7">
        <f>M94-(B94+E94-F94-I94-J94)</f>
        <v/>
      </c>
    </row>
    <row r="95" hidden="1" outlineLevel="1">
      <c r="A95" t="n">
        <v>10</v>
      </c>
      <c r="B95" s="7">
        <f>M94</f>
        <v/>
      </c>
      <c r="C95" s="7">
        <f>MIN(B95,$B$11)</f>
        <v/>
      </c>
      <c r="D95" s="7">
        <f>MAX(B95-C95,0)</f>
        <v/>
      </c>
      <c r="E95" s="7">
        <f>C95*$B$4+D95*$B$13</f>
        <v/>
      </c>
      <c r="F95" s="7">
        <f>$B$9</f>
        <v/>
      </c>
      <c r="G95" s="7">
        <f>0</f>
        <v/>
      </c>
      <c r="H95" s="7">
        <f>MAX(E95-F95-G95,0)</f>
        <v/>
      </c>
      <c r="I95" s="7">
        <f>IF((H95+$B$12)&lt;=0.12,0,IF((H95+$B$12)&lt;=0.5,MIN((MAX((H95+$B$12)-0.04,0)*0.05+MAX((H95+$B$12)-0.08,0)*0.05+MAX((H95+$B$12)-0.12,0)*0.05+MAX((H95+$B$12)-0.16,0)*0.05+MAX((H95+$B$12)-0.2,0)*0.05+MAX((H95+$B$12)-0.24,0)*0.05),(H95+$B$12)-0.12),MIN((MAX((H95+$B$12)-0.04,0)*0.05+MAX((H95+$B$12)-0.08,0)*0.05+MAX((H95+$B$12)-0.12,0)*0.05+MAX((H95+$B$12)-0.16,0)*0.05+MAX((H95+$B$12)-0.2,0)*0.05+MAX((H95+$B$12)-0.24,0)*0.05)*(1+IF((H95+$B$12)&lt;=1,0.1,IF((H95+$B$12)&lt;=2,0.15,0.25))),(MAX(IF((H95+$B$12)&lt;=1,0.5,IF((H95+$B$12)&lt;=2,1,2))-0.04,0)*0.05+MAX(IF((H95+$B$12)&lt;=1,0.5,IF((H95+$B$12)&lt;=2,1,2))-0.08,0)*0.05+MAX(IF((H95+$B$12)&lt;=1,0.5,IF((H95+$B$12)&lt;=2,1,2))-0.12,0)*0.05+MAX(IF((H95+$B$12)&lt;=1,0.5,IF((H95+$B$12)&lt;=2,1,2))-0.16,0)*0.05+MAX(IF((H95+$B$12)&lt;=1,0.5,IF((H95+$B$12)&lt;=2,1,2))-0.2,0)*0.05+MAX(IF((H95+$B$12)&lt;=1,0.5,IF((H95+$B$12)&lt;=2,1,2))-0.24,0)*0.05)*(1+IF((H95+$B$12)&lt;=1,0,IF((H95+$B$12)&lt;=2,0.1,0.15)))+(H95+$B$12)-IF((H95+$B$12)&lt;=1,0.5,IF((H95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5" s="7">
        <f>G95*(1-$B$6)</f>
        <v/>
      </c>
      <c r="K95" s="7">
        <f>G95*$B$6</f>
        <v/>
      </c>
      <c r="L95" s="7">
        <f>L94+K95</f>
        <v/>
      </c>
      <c r="M95" s="7">
        <f>B95+E95-F95-I95-J95</f>
        <v/>
      </c>
      <c r="N95" s="7">
        <f>M95-L95</f>
        <v/>
      </c>
      <c r="O95" s="7">
        <f>0</f>
        <v/>
      </c>
      <c r="P95" s="7">
        <f>M95-(B95+E95-F95-I95-J95)</f>
        <v/>
      </c>
    </row>
    <row r="96" hidden="1" outlineLevel="1">
      <c r="A96" t="n">
        <v>11</v>
      </c>
      <c r="B96" s="7">
        <f>M95</f>
        <v/>
      </c>
      <c r="C96" s="7">
        <f>MIN(B96,$B$11)</f>
        <v/>
      </c>
      <c r="D96" s="7">
        <f>MAX(B96-C96,0)</f>
        <v/>
      </c>
      <c r="E96" s="7">
        <f>C96*$B$4+D96*$B$13</f>
        <v/>
      </c>
      <c r="F96" s="7">
        <f>$B$9</f>
        <v/>
      </c>
      <c r="G96" s="7">
        <f>0</f>
        <v/>
      </c>
      <c r="H96" s="7">
        <f>MAX(E96-F96-G96,0)</f>
        <v/>
      </c>
      <c r="I96" s="7">
        <f>IF((H96+$B$12)&lt;=0.12,0,IF((H96+$B$12)&lt;=0.5,MIN((MAX((H96+$B$12)-0.04,0)*0.05+MAX((H96+$B$12)-0.08,0)*0.05+MAX((H96+$B$12)-0.12,0)*0.05+MAX((H96+$B$12)-0.16,0)*0.05+MAX((H96+$B$12)-0.2,0)*0.05+MAX((H96+$B$12)-0.24,0)*0.05),(H96+$B$12)-0.12),MIN((MAX((H96+$B$12)-0.04,0)*0.05+MAX((H96+$B$12)-0.08,0)*0.05+MAX((H96+$B$12)-0.12,0)*0.05+MAX((H96+$B$12)-0.16,0)*0.05+MAX((H96+$B$12)-0.2,0)*0.05+MAX((H96+$B$12)-0.24,0)*0.05)*(1+IF((H96+$B$12)&lt;=1,0.1,IF((H96+$B$12)&lt;=2,0.15,0.25))),(MAX(IF((H96+$B$12)&lt;=1,0.5,IF((H96+$B$12)&lt;=2,1,2))-0.04,0)*0.05+MAX(IF((H96+$B$12)&lt;=1,0.5,IF((H96+$B$12)&lt;=2,1,2))-0.08,0)*0.05+MAX(IF((H96+$B$12)&lt;=1,0.5,IF((H96+$B$12)&lt;=2,1,2))-0.12,0)*0.05+MAX(IF((H96+$B$12)&lt;=1,0.5,IF((H96+$B$12)&lt;=2,1,2))-0.16,0)*0.05+MAX(IF((H96+$B$12)&lt;=1,0.5,IF((H96+$B$12)&lt;=2,1,2))-0.2,0)*0.05+MAX(IF((H96+$B$12)&lt;=1,0.5,IF((H96+$B$12)&lt;=2,1,2))-0.24,0)*0.05)*(1+IF((H96+$B$12)&lt;=1,0,IF((H96+$B$12)&lt;=2,0.1,0.15)))+(H96+$B$12)-IF((H96+$B$12)&lt;=1,0.5,IF((H96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6" s="7">
        <f>G96*(1-$B$6)</f>
        <v/>
      </c>
      <c r="K96" s="7">
        <f>G96*$B$6</f>
        <v/>
      </c>
      <c r="L96" s="7">
        <f>L95+K96</f>
        <v/>
      </c>
      <c r="M96" s="7">
        <f>B96+E96-F96-I96-J96</f>
        <v/>
      </c>
      <c r="N96" s="7">
        <f>M96-L96</f>
        <v/>
      </c>
      <c r="O96" s="7">
        <f>0</f>
        <v/>
      </c>
      <c r="P96" s="7">
        <f>M96-(B96+E96-F96-I96-J96)</f>
        <v/>
      </c>
    </row>
    <row r="97" hidden="1" outlineLevel="1">
      <c r="A97" t="n">
        <v>12</v>
      </c>
      <c r="B97" s="7">
        <f>M96</f>
        <v/>
      </c>
      <c r="C97" s="7">
        <f>MIN(B97,$B$11)</f>
        <v/>
      </c>
      <c r="D97" s="7">
        <f>MAX(B97-C97,0)</f>
        <v/>
      </c>
      <c r="E97" s="7">
        <f>C97*$B$4+D97*$B$13</f>
        <v/>
      </c>
      <c r="F97" s="7">
        <f>$B$9</f>
        <v/>
      </c>
      <c r="G97" s="7">
        <f>0</f>
        <v/>
      </c>
      <c r="H97" s="7">
        <f>MAX(E97-F97-G97,0)</f>
        <v/>
      </c>
      <c r="I97" s="7">
        <f>IF((H97+$B$12)&lt;=0.12,0,IF((H97+$B$12)&lt;=0.5,MIN((MAX((H97+$B$12)-0.04,0)*0.05+MAX((H97+$B$12)-0.08,0)*0.05+MAX((H97+$B$12)-0.12,0)*0.05+MAX((H97+$B$12)-0.16,0)*0.05+MAX((H97+$B$12)-0.2,0)*0.05+MAX((H97+$B$12)-0.24,0)*0.05),(H97+$B$12)-0.12),MIN((MAX((H97+$B$12)-0.04,0)*0.05+MAX((H97+$B$12)-0.08,0)*0.05+MAX((H97+$B$12)-0.12,0)*0.05+MAX((H97+$B$12)-0.16,0)*0.05+MAX((H97+$B$12)-0.2,0)*0.05+MAX((H97+$B$12)-0.24,0)*0.05)*(1+IF((H97+$B$12)&lt;=1,0.1,IF((H97+$B$12)&lt;=2,0.15,0.25))),(MAX(IF((H97+$B$12)&lt;=1,0.5,IF((H97+$B$12)&lt;=2,1,2))-0.04,0)*0.05+MAX(IF((H97+$B$12)&lt;=1,0.5,IF((H97+$B$12)&lt;=2,1,2))-0.08,0)*0.05+MAX(IF((H97+$B$12)&lt;=1,0.5,IF((H97+$B$12)&lt;=2,1,2))-0.12,0)*0.05+MAX(IF((H97+$B$12)&lt;=1,0.5,IF((H97+$B$12)&lt;=2,1,2))-0.16,0)*0.05+MAX(IF((H97+$B$12)&lt;=1,0.5,IF((H97+$B$12)&lt;=2,1,2))-0.2,0)*0.05+MAX(IF((H97+$B$12)&lt;=1,0.5,IF((H97+$B$12)&lt;=2,1,2))-0.24,0)*0.05)*(1+IF((H97+$B$12)&lt;=1,0,IF((H97+$B$12)&lt;=2,0.1,0.15)))+(H97+$B$12)-IF((H97+$B$12)&lt;=1,0.5,IF((H97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7" s="7">
        <f>G97*(1-$B$6)</f>
        <v/>
      </c>
      <c r="K97" s="7">
        <f>G97*$B$6</f>
        <v/>
      </c>
      <c r="L97" s="7">
        <f>L96+K97</f>
        <v/>
      </c>
      <c r="M97" s="7">
        <f>B97+E97-F97-I97-J97</f>
        <v/>
      </c>
      <c r="N97" s="7">
        <f>M97-L97</f>
        <v/>
      </c>
      <c r="O97" s="7">
        <f>0</f>
        <v/>
      </c>
      <c r="P97" s="7">
        <f>M97-(B97+E97-F97-I97-J97)</f>
        <v/>
      </c>
    </row>
    <row r="98" hidden="1" outlineLevel="1">
      <c r="A98" t="n">
        <v>13</v>
      </c>
      <c r="B98" s="7">
        <f>M97</f>
        <v/>
      </c>
      <c r="C98" s="7">
        <f>MIN(B98,$B$11)</f>
        <v/>
      </c>
      <c r="D98" s="7">
        <f>MAX(B98-C98,0)</f>
        <v/>
      </c>
      <c r="E98" s="7">
        <f>C98*$B$4+D98*$B$13</f>
        <v/>
      </c>
      <c r="F98" s="7">
        <f>$B$9</f>
        <v/>
      </c>
      <c r="G98" s="7">
        <f>0</f>
        <v/>
      </c>
      <c r="H98" s="7">
        <f>MAX(E98-F98-G98,0)</f>
        <v/>
      </c>
      <c r="I98" s="7">
        <f>IF((H98+$B$12)&lt;=0.12,0,IF((H98+$B$12)&lt;=0.5,MIN((MAX((H98+$B$12)-0.04,0)*0.05+MAX((H98+$B$12)-0.08,0)*0.05+MAX((H98+$B$12)-0.12,0)*0.05+MAX((H98+$B$12)-0.16,0)*0.05+MAX((H98+$B$12)-0.2,0)*0.05+MAX((H98+$B$12)-0.24,0)*0.05),(H98+$B$12)-0.12),MIN((MAX((H98+$B$12)-0.04,0)*0.05+MAX((H98+$B$12)-0.08,0)*0.05+MAX((H98+$B$12)-0.12,0)*0.05+MAX((H98+$B$12)-0.16,0)*0.05+MAX((H98+$B$12)-0.2,0)*0.05+MAX((H98+$B$12)-0.24,0)*0.05)*(1+IF((H98+$B$12)&lt;=1,0.1,IF((H98+$B$12)&lt;=2,0.15,0.25))),(MAX(IF((H98+$B$12)&lt;=1,0.5,IF((H98+$B$12)&lt;=2,1,2))-0.04,0)*0.05+MAX(IF((H98+$B$12)&lt;=1,0.5,IF((H98+$B$12)&lt;=2,1,2))-0.08,0)*0.05+MAX(IF((H98+$B$12)&lt;=1,0.5,IF((H98+$B$12)&lt;=2,1,2))-0.12,0)*0.05+MAX(IF((H98+$B$12)&lt;=1,0.5,IF((H98+$B$12)&lt;=2,1,2))-0.16,0)*0.05+MAX(IF((H98+$B$12)&lt;=1,0.5,IF((H98+$B$12)&lt;=2,1,2))-0.2,0)*0.05+MAX(IF((H98+$B$12)&lt;=1,0.5,IF((H98+$B$12)&lt;=2,1,2))-0.24,0)*0.05)*(1+IF((H98+$B$12)&lt;=1,0,IF((H98+$B$12)&lt;=2,0.1,0.15)))+(H98+$B$12)-IF((H98+$B$12)&lt;=1,0.5,IF((H98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8" s="7">
        <f>G98*(1-$B$6)</f>
        <v/>
      </c>
      <c r="K98" s="7">
        <f>G98*$B$6</f>
        <v/>
      </c>
      <c r="L98" s="7">
        <f>L97+K98</f>
        <v/>
      </c>
      <c r="M98" s="7">
        <f>B98+E98-F98-I98-J98</f>
        <v/>
      </c>
      <c r="N98" s="7">
        <f>M98-L98</f>
        <v/>
      </c>
      <c r="O98" s="7">
        <f>0</f>
        <v/>
      </c>
      <c r="P98" s="7">
        <f>M98-(B98+E98-F98-I98-J98)</f>
        <v/>
      </c>
    </row>
    <row r="99" hidden="1" outlineLevel="1">
      <c r="A99" t="n">
        <v>14</v>
      </c>
      <c r="B99" s="7">
        <f>M98</f>
        <v/>
      </c>
      <c r="C99" s="7">
        <f>MIN(B99,$B$11)</f>
        <v/>
      </c>
      <c r="D99" s="7">
        <f>MAX(B99-C99,0)</f>
        <v/>
      </c>
      <c r="E99" s="7">
        <f>C99*$B$4+D99*$B$13</f>
        <v/>
      </c>
      <c r="F99" s="7">
        <f>$B$9</f>
        <v/>
      </c>
      <c r="G99" s="7">
        <f>0</f>
        <v/>
      </c>
      <c r="H99" s="7">
        <f>MAX(E99-F99-G99,0)</f>
        <v/>
      </c>
      <c r="I99" s="7">
        <f>IF((H99+$B$12)&lt;=0.12,0,IF((H99+$B$12)&lt;=0.5,MIN((MAX((H99+$B$12)-0.04,0)*0.05+MAX((H99+$B$12)-0.08,0)*0.05+MAX((H99+$B$12)-0.12,0)*0.05+MAX((H99+$B$12)-0.16,0)*0.05+MAX((H99+$B$12)-0.2,0)*0.05+MAX((H99+$B$12)-0.24,0)*0.05),(H99+$B$12)-0.12),MIN((MAX((H99+$B$12)-0.04,0)*0.05+MAX((H99+$B$12)-0.08,0)*0.05+MAX((H99+$B$12)-0.12,0)*0.05+MAX((H99+$B$12)-0.16,0)*0.05+MAX((H99+$B$12)-0.2,0)*0.05+MAX((H99+$B$12)-0.24,0)*0.05)*(1+IF((H99+$B$12)&lt;=1,0.1,IF((H99+$B$12)&lt;=2,0.15,0.25))),(MAX(IF((H99+$B$12)&lt;=1,0.5,IF((H99+$B$12)&lt;=2,1,2))-0.04,0)*0.05+MAX(IF((H99+$B$12)&lt;=1,0.5,IF((H99+$B$12)&lt;=2,1,2))-0.08,0)*0.05+MAX(IF((H99+$B$12)&lt;=1,0.5,IF((H99+$B$12)&lt;=2,1,2))-0.12,0)*0.05+MAX(IF((H99+$B$12)&lt;=1,0.5,IF((H99+$B$12)&lt;=2,1,2))-0.16,0)*0.05+MAX(IF((H99+$B$12)&lt;=1,0.5,IF((H99+$B$12)&lt;=2,1,2))-0.2,0)*0.05+MAX(IF((H99+$B$12)&lt;=1,0.5,IF((H99+$B$12)&lt;=2,1,2))-0.24,0)*0.05)*(1+IF((H99+$B$12)&lt;=1,0,IF((H99+$B$12)&lt;=2,0.1,0.15)))+(H99+$B$12)-IF((H99+$B$12)&lt;=1,0.5,IF((H99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99" s="7">
        <f>G99*(1-$B$6)</f>
        <v/>
      </c>
      <c r="K99" s="7">
        <f>G99*$B$6</f>
        <v/>
      </c>
      <c r="L99" s="7">
        <f>L98+K99</f>
        <v/>
      </c>
      <c r="M99" s="7">
        <f>B99+E99-F99-I99-J99</f>
        <v/>
      </c>
      <c r="N99" s="7">
        <f>M99-L99</f>
        <v/>
      </c>
      <c r="O99" s="7">
        <f>0</f>
        <v/>
      </c>
      <c r="P99" s="7">
        <f>M99-(B99+E99-F99-I99-J99)</f>
        <v/>
      </c>
    </row>
    <row r="100" hidden="1" outlineLevel="1">
      <c r="A100" t="n">
        <v>15</v>
      </c>
      <c r="B100" s="7">
        <f>M99</f>
        <v/>
      </c>
      <c r="C100" s="7">
        <f>MIN(B100,$B$11)</f>
        <v/>
      </c>
      <c r="D100" s="7">
        <f>MAX(B100-C100,0)</f>
        <v/>
      </c>
      <c r="E100" s="7">
        <f>C100*$B$4+D100*$B$13</f>
        <v/>
      </c>
      <c r="F100" s="7">
        <f>$B$9</f>
        <v/>
      </c>
      <c r="G100" s="7">
        <f>0</f>
        <v/>
      </c>
      <c r="H100" s="7">
        <f>MAX(E100-F100-G100,0)</f>
        <v/>
      </c>
      <c r="I100" s="7">
        <f>IF((H100+$B$12)&lt;=0.12,0,IF((H100+$B$12)&lt;=0.5,MIN((MAX((H100+$B$12)-0.04,0)*0.05+MAX((H100+$B$12)-0.08,0)*0.05+MAX((H100+$B$12)-0.12,0)*0.05+MAX((H100+$B$12)-0.16,0)*0.05+MAX((H100+$B$12)-0.2,0)*0.05+MAX((H100+$B$12)-0.24,0)*0.05),(H100+$B$12)-0.12),MIN((MAX((H100+$B$12)-0.04,0)*0.05+MAX((H100+$B$12)-0.08,0)*0.05+MAX((H100+$B$12)-0.12,0)*0.05+MAX((H100+$B$12)-0.16,0)*0.05+MAX((H100+$B$12)-0.2,0)*0.05+MAX((H100+$B$12)-0.24,0)*0.05)*(1+IF((H100+$B$12)&lt;=1,0.1,IF((H100+$B$12)&lt;=2,0.15,0.25))),(MAX(IF((H100+$B$12)&lt;=1,0.5,IF((H100+$B$12)&lt;=2,1,2))-0.04,0)*0.05+MAX(IF((H100+$B$12)&lt;=1,0.5,IF((H100+$B$12)&lt;=2,1,2))-0.08,0)*0.05+MAX(IF((H100+$B$12)&lt;=1,0.5,IF((H100+$B$12)&lt;=2,1,2))-0.12,0)*0.05+MAX(IF((H100+$B$12)&lt;=1,0.5,IF((H100+$B$12)&lt;=2,1,2))-0.16,0)*0.05+MAX(IF((H100+$B$12)&lt;=1,0.5,IF((H100+$B$12)&lt;=2,1,2))-0.2,0)*0.05+MAX(IF((H100+$B$12)&lt;=1,0.5,IF((H100+$B$12)&lt;=2,1,2))-0.24,0)*0.05)*(1+IF((H100+$B$12)&lt;=1,0,IF((H100+$B$12)&lt;=2,0.1,0.15)))+(H100+$B$12)-IF((H100+$B$12)&lt;=1,0.5,IF((H100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0" s="7">
        <f>G100*(1-$B$6)</f>
        <v/>
      </c>
      <c r="K100" s="7">
        <f>G100*$B$6</f>
        <v/>
      </c>
      <c r="L100" s="7">
        <f>L99+K100</f>
        <v/>
      </c>
      <c r="M100" s="7">
        <f>B100+E100-F100-I100-J100</f>
        <v/>
      </c>
      <c r="N100" s="7">
        <f>M100-L100</f>
        <v/>
      </c>
      <c r="O100" s="7">
        <f>0</f>
        <v/>
      </c>
      <c r="P100" s="7">
        <f>M100-(B100+E100-F100-I100-J100)</f>
        <v/>
      </c>
    </row>
    <row r="101" hidden="1" outlineLevel="1">
      <c r="A101" t="n">
        <v>16</v>
      </c>
      <c r="B101" s="7">
        <f>M100</f>
        <v/>
      </c>
      <c r="C101" s="7">
        <f>MIN(B101,$B$11)</f>
        <v/>
      </c>
      <c r="D101" s="7">
        <f>MAX(B101-C101,0)</f>
        <v/>
      </c>
      <c r="E101" s="7">
        <f>C101*$B$4+D101*$B$13</f>
        <v/>
      </c>
      <c r="F101" s="7">
        <f>$B$9</f>
        <v/>
      </c>
      <c r="G101" s="7">
        <f>0</f>
        <v/>
      </c>
      <c r="H101" s="7">
        <f>MAX(E101-F101-G101,0)</f>
        <v/>
      </c>
      <c r="I101" s="7">
        <f>IF((H101+$B$12)&lt;=0.12,0,IF((H101+$B$12)&lt;=0.5,MIN((MAX((H101+$B$12)-0.04,0)*0.05+MAX((H101+$B$12)-0.08,0)*0.05+MAX((H101+$B$12)-0.12,0)*0.05+MAX((H101+$B$12)-0.16,0)*0.05+MAX((H101+$B$12)-0.2,0)*0.05+MAX((H101+$B$12)-0.24,0)*0.05),(H101+$B$12)-0.12),MIN((MAX((H101+$B$12)-0.04,0)*0.05+MAX((H101+$B$12)-0.08,0)*0.05+MAX((H101+$B$12)-0.12,0)*0.05+MAX((H101+$B$12)-0.16,0)*0.05+MAX((H101+$B$12)-0.2,0)*0.05+MAX((H101+$B$12)-0.24,0)*0.05)*(1+IF((H101+$B$12)&lt;=1,0.1,IF((H101+$B$12)&lt;=2,0.15,0.25))),(MAX(IF((H101+$B$12)&lt;=1,0.5,IF((H101+$B$12)&lt;=2,1,2))-0.04,0)*0.05+MAX(IF((H101+$B$12)&lt;=1,0.5,IF((H101+$B$12)&lt;=2,1,2))-0.08,0)*0.05+MAX(IF((H101+$B$12)&lt;=1,0.5,IF((H101+$B$12)&lt;=2,1,2))-0.12,0)*0.05+MAX(IF((H101+$B$12)&lt;=1,0.5,IF((H101+$B$12)&lt;=2,1,2))-0.16,0)*0.05+MAX(IF((H101+$B$12)&lt;=1,0.5,IF((H101+$B$12)&lt;=2,1,2))-0.2,0)*0.05+MAX(IF((H101+$B$12)&lt;=1,0.5,IF((H101+$B$12)&lt;=2,1,2))-0.24,0)*0.05)*(1+IF((H101+$B$12)&lt;=1,0,IF((H101+$B$12)&lt;=2,0.1,0.15)))+(H101+$B$12)-IF((H101+$B$12)&lt;=1,0.5,IF((H101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1" s="7">
        <f>G101*(1-$B$6)</f>
        <v/>
      </c>
      <c r="K101" s="7">
        <f>G101*$B$6</f>
        <v/>
      </c>
      <c r="L101" s="7">
        <f>L100+K101</f>
        <v/>
      </c>
      <c r="M101" s="7">
        <f>B101+E101-F101-I101-J101</f>
        <v/>
      </c>
      <c r="N101" s="7">
        <f>M101-L101</f>
        <v/>
      </c>
      <c r="O101" s="7">
        <f>0</f>
        <v/>
      </c>
      <c r="P101" s="7">
        <f>M101-(B101+E101-F101-I101-J101)</f>
        <v/>
      </c>
    </row>
    <row r="102" hidden="1" outlineLevel="1">
      <c r="A102" t="n">
        <v>17</v>
      </c>
      <c r="B102" s="7">
        <f>M101</f>
        <v/>
      </c>
      <c r="C102" s="7">
        <f>MIN(B102,$B$11)</f>
        <v/>
      </c>
      <c r="D102" s="7">
        <f>MAX(B102-C102,0)</f>
        <v/>
      </c>
      <c r="E102" s="7">
        <f>C102*$B$4+D102*$B$13</f>
        <v/>
      </c>
      <c r="F102" s="7">
        <f>$B$9</f>
        <v/>
      </c>
      <c r="G102" s="7">
        <f>0</f>
        <v/>
      </c>
      <c r="H102" s="7">
        <f>MAX(E102-F102-G102,0)</f>
        <v/>
      </c>
      <c r="I102" s="7">
        <f>IF((H102+$B$12)&lt;=0.12,0,IF((H102+$B$12)&lt;=0.5,MIN((MAX((H102+$B$12)-0.04,0)*0.05+MAX((H102+$B$12)-0.08,0)*0.05+MAX((H102+$B$12)-0.12,0)*0.05+MAX((H102+$B$12)-0.16,0)*0.05+MAX((H102+$B$12)-0.2,0)*0.05+MAX((H102+$B$12)-0.24,0)*0.05),(H102+$B$12)-0.12),MIN((MAX((H102+$B$12)-0.04,0)*0.05+MAX((H102+$B$12)-0.08,0)*0.05+MAX((H102+$B$12)-0.12,0)*0.05+MAX((H102+$B$12)-0.16,0)*0.05+MAX((H102+$B$12)-0.2,0)*0.05+MAX((H102+$B$12)-0.24,0)*0.05)*(1+IF((H102+$B$12)&lt;=1,0.1,IF((H102+$B$12)&lt;=2,0.15,0.25))),(MAX(IF((H102+$B$12)&lt;=1,0.5,IF((H102+$B$12)&lt;=2,1,2))-0.04,0)*0.05+MAX(IF((H102+$B$12)&lt;=1,0.5,IF((H102+$B$12)&lt;=2,1,2))-0.08,0)*0.05+MAX(IF((H102+$B$12)&lt;=1,0.5,IF((H102+$B$12)&lt;=2,1,2))-0.12,0)*0.05+MAX(IF((H102+$B$12)&lt;=1,0.5,IF((H102+$B$12)&lt;=2,1,2))-0.16,0)*0.05+MAX(IF((H102+$B$12)&lt;=1,0.5,IF((H102+$B$12)&lt;=2,1,2))-0.2,0)*0.05+MAX(IF((H102+$B$12)&lt;=1,0.5,IF((H102+$B$12)&lt;=2,1,2))-0.24,0)*0.05)*(1+IF((H102+$B$12)&lt;=1,0,IF((H102+$B$12)&lt;=2,0.1,0.15)))+(H102+$B$12)-IF((H102+$B$12)&lt;=1,0.5,IF((H102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2" s="7">
        <f>G102*(1-$B$6)</f>
        <v/>
      </c>
      <c r="K102" s="7">
        <f>G102*$B$6</f>
        <v/>
      </c>
      <c r="L102" s="7">
        <f>L101+K102</f>
        <v/>
      </c>
      <c r="M102" s="7">
        <f>B102+E102-F102-I102-J102</f>
        <v/>
      </c>
      <c r="N102" s="7">
        <f>M102-L102</f>
        <v/>
      </c>
      <c r="O102" s="7">
        <f>0</f>
        <v/>
      </c>
      <c r="P102" s="7">
        <f>M102-(B102+E102-F102-I102-J102)</f>
        <v/>
      </c>
    </row>
    <row r="103" hidden="1" outlineLevel="1">
      <c r="A103" t="n">
        <v>18</v>
      </c>
      <c r="B103" s="7">
        <f>M102</f>
        <v/>
      </c>
      <c r="C103" s="7">
        <f>MIN(B103,$B$11)</f>
        <v/>
      </c>
      <c r="D103" s="7">
        <f>MAX(B103-C103,0)</f>
        <v/>
      </c>
      <c r="E103" s="7">
        <f>C103*$B$4+D103*$B$13</f>
        <v/>
      </c>
      <c r="F103" s="7">
        <f>$B$9</f>
        <v/>
      </c>
      <c r="G103" s="7">
        <f>0</f>
        <v/>
      </c>
      <c r="H103" s="7">
        <f>MAX(E103-F103-G103,0)</f>
        <v/>
      </c>
      <c r="I103" s="7">
        <f>IF((H103+$B$12)&lt;=0.12,0,IF((H103+$B$12)&lt;=0.5,MIN((MAX((H103+$B$12)-0.04,0)*0.05+MAX((H103+$B$12)-0.08,0)*0.05+MAX((H103+$B$12)-0.12,0)*0.05+MAX((H103+$B$12)-0.16,0)*0.05+MAX((H103+$B$12)-0.2,0)*0.05+MAX((H103+$B$12)-0.24,0)*0.05),(H103+$B$12)-0.12),MIN((MAX((H103+$B$12)-0.04,0)*0.05+MAX((H103+$B$12)-0.08,0)*0.05+MAX((H103+$B$12)-0.12,0)*0.05+MAX((H103+$B$12)-0.16,0)*0.05+MAX((H103+$B$12)-0.2,0)*0.05+MAX((H103+$B$12)-0.24,0)*0.05)*(1+IF((H103+$B$12)&lt;=1,0.1,IF((H103+$B$12)&lt;=2,0.15,0.25))),(MAX(IF((H103+$B$12)&lt;=1,0.5,IF((H103+$B$12)&lt;=2,1,2))-0.04,0)*0.05+MAX(IF((H103+$B$12)&lt;=1,0.5,IF((H103+$B$12)&lt;=2,1,2))-0.08,0)*0.05+MAX(IF((H103+$B$12)&lt;=1,0.5,IF((H103+$B$12)&lt;=2,1,2))-0.12,0)*0.05+MAX(IF((H103+$B$12)&lt;=1,0.5,IF((H103+$B$12)&lt;=2,1,2))-0.16,0)*0.05+MAX(IF((H103+$B$12)&lt;=1,0.5,IF((H103+$B$12)&lt;=2,1,2))-0.2,0)*0.05+MAX(IF((H103+$B$12)&lt;=1,0.5,IF((H103+$B$12)&lt;=2,1,2))-0.24,0)*0.05)*(1+IF((H103+$B$12)&lt;=1,0,IF((H103+$B$12)&lt;=2,0.1,0.15)))+(H103+$B$12)-IF((H103+$B$12)&lt;=1,0.5,IF((H103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3" s="7">
        <f>G103*(1-$B$6)</f>
        <v/>
      </c>
      <c r="K103" s="7">
        <f>G103*$B$6</f>
        <v/>
      </c>
      <c r="L103" s="7">
        <f>L102+K103</f>
        <v/>
      </c>
      <c r="M103" s="7">
        <f>B103+E103-F103-I103-J103</f>
        <v/>
      </c>
      <c r="N103" s="7">
        <f>M103-L103</f>
        <v/>
      </c>
      <c r="O103" s="7">
        <f>0</f>
        <v/>
      </c>
      <c r="P103" s="7">
        <f>M103-(B103+E103-F103-I103-J103)</f>
        <v/>
      </c>
    </row>
    <row r="104" hidden="1" outlineLevel="1">
      <c r="A104" t="n">
        <v>19</v>
      </c>
      <c r="B104" s="7">
        <f>M103</f>
        <v/>
      </c>
      <c r="C104" s="7">
        <f>MIN(B104,$B$11)</f>
        <v/>
      </c>
      <c r="D104" s="7">
        <f>MAX(B104-C104,0)</f>
        <v/>
      </c>
      <c r="E104" s="7">
        <f>C104*$B$4+D104*$B$13</f>
        <v/>
      </c>
      <c r="F104" s="7">
        <f>$B$9</f>
        <v/>
      </c>
      <c r="G104" s="7">
        <f>0</f>
        <v/>
      </c>
      <c r="H104" s="7">
        <f>MAX(E104-F104-G104,0)</f>
        <v/>
      </c>
      <c r="I104" s="7">
        <f>IF((H104+$B$12)&lt;=0.12,0,IF((H104+$B$12)&lt;=0.5,MIN((MAX((H104+$B$12)-0.04,0)*0.05+MAX((H104+$B$12)-0.08,0)*0.05+MAX((H104+$B$12)-0.12,0)*0.05+MAX((H104+$B$12)-0.16,0)*0.05+MAX((H104+$B$12)-0.2,0)*0.05+MAX((H104+$B$12)-0.24,0)*0.05),(H104+$B$12)-0.12),MIN((MAX((H104+$B$12)-0.04,0)*0.05+MAX((H104+$B$12)-0.08,0)*0.05+MAX((H104+$B$12)-0.12,0)*0.05+MAX((H104+$B$12)-0.16,0)*0.05+MAX((H104+$B$12)-0.2,0)*0.05+MAX((H104+$B$12)-0.24,0)*0.05)*(1+IF((H104+$B$12)&lt;=1,0.1,IF((H104+$B$12)&lt;=2,0.15,0.25))),(MAX(IF((H104+$B$12)&lt;=1,0.5,IF((H104+$B$12)&lt;=2,1,2))-0.04,0)*0.05+MAX(IF((H104+$B$12)&lt;=1,0.5,IF((H104+$B$12)&lt;=2,1,2))-0.08,0)*0.05+MAX(IF((H104+$B$12)&lt;=1,0.5,IF((H104+$B$12)&lt;=2,1,2))-0.12,0)*0.05+MAX(IF((H104+$B$12)&lt;=1,0.5,IF((H104+$B$12)&lt;=2,1,2))-0.16,0)*0.05+MAX(IF((H104+$B$12)&lt;=1,0.5,IF((H104+$B$12)&lt;=2,1,2))-0.2,0)*0.05+MAX(IF((H104+$B$12)&lt;=1,0.5,IF((H104+$B$12)&lt;=2,1,2))-0.24,0)*0.05)*(1+IF((H104+$B$12)&lt;=1,0,IF((H104+$B$12)&lt;=2,0.1,0.15)))+(H104+$B$12)-IF((H104+$B$12)&lt;=1,0.5,IF((H104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4" s="7">
        <f>G104*(1-$B$6)</f>
        <v/>
      </c>
      <c r="K104" s="7">
        <f>G104*$B$6</f>
        <v/>
      </c>
      <c r="L104" s="7">
        <f>L103+K104</f>
        <v/>
      </c>
      <c r="M104" s="7">
        <f>B104+E104-F104-I104-J104</f>
        <v/>
      </c>
      <c r="N104" s="7">
        <f>M104-L104</f>
        <v/>
      </c>
      <c r="O104" s="7">
        <f>0</f>
        <v/>
      </c>
      <c r="P104" s="7">
        <f>M104-(B104+E104-F104-I104-J104)</f>
        <v/>
      </c>
    </row>
    <row r="105" hidden="1" outlineLevel="1">
      <c r="A105" t="n">
        <v>20</v>
      </c>
      <c r="B105" s="7">
        <f>M104</f>
        <v/>
      </c>
      <c r="C105" s="7">
        <f>MIN(B105,$B$11)</f>
        <v/>
      </c>
      <c r="D105" s="7">
        <f>MAX(B105-C105,0)</f>
        <v/>
      </c>
      <c r="E105" s="7">
        <f>C105*$B$4+D105*$B$13</f>
        <v/>
      </c>
      <c r="F105" s="7">
        <f>$B$9</f>
        <v/>
      </c>
      <c r="G105" s="7">
        <f>0</f>
        <v/>
      </c>
      <c r="H105" s="7">
        <f>MAX(E105-F105-G105,0)</f>
        <v/>
      </c>
      <c r="I105" s="7">
        <f>IF((H105+$B$12)&lt;=0.12,0,IF((H105+$B$12)&lt;=0.5,MIN((MAX((H105+$B$12)-0.04,0)*0.05+MAX((H105+$B$12)-0.08,0)*0.05+MAX((H105+$B$12)-0.12,0)*0.05+MAX((H105+$B$12)-0.16,0)*0.05+MAX((H105+$B$12)-0.2,0)*0.05+MAX((H105+$B$12)-0.24,0)*0.05),(H105+$B$12)-0.12),MIN((MAX((H105+$B$12)-0.04,0)*0.05+MAX((H105+$B$12)-0.08,0)*0.05+MAX((H105+$B$12)-0.12,0)*0.05+MAX((H105+$B$12)-0.16,0)*0.05+MAX((H105+$B$12)-0.2,0)*0.05+MAX((H105+$B$12)-0.24,0)*0.05)*(1+IF((H105+$B$12)&lt;=1,0.1,IF((H105+$B$12)&lt;=2,0.15,0.25))),(MAX(IF((H105+$B$12)&lt;=1,0.5,IF((H105+$B$12)&lt;=2,1,2))-0.04,0)*0.05+MAX(IF((H105+$B$12)&lt;=1,0.5,IF((H105+$B$12)&lt;=2,1,2))-0.08,0)*0.05+MAX(IF((H105+$B$12)&lt;=1,0.5,IF((H105+$B$12)&lt;=2,1,2))-0.12,0)*0.05+MAX(IF((H105+$B$12)&lt;=1,0.5,IF((H105+$B$12)&lt;=2,1,2))-0.16,0)*0.05+MAX(IF((H105+$B$12)&lt;=1,0.5,IF((H105+$B$12)&lt;=2,1,2))-0.2,0)*0.05+MAX(IF((H105+$B$12)&lt;=1,0.5,IF((H105+$B$12)&lt;=2,1,2))-0.24,0)*0.05)*(1+IF((H105+$B$12)&lt;=1,0,IF((H105+$B$12)&lt;=2,0.1,0.15)))+(H105+$B$12)-IF((H105+$B$12)&lt;=1,0.5,IF((H105+$B$12)&lt;=2,1,2))))*1.04)-IF($B$12&lt;=0.12,0,IF($B$12&lt;=0.5,MIN((MAX($B$12-0.04,0)*0.05+MAX($B$12-0.08,0)*0.05+MAX($B$12-0.12,0)*0.05+MAX($B$12-0.16,0)*0.05+MAX($B$12-0.2,0)*0.05+MAX($B$12-0.24,0)*0.05),$B$12-0.12),MIN((MAX($B$12-0.04,0)*0.05+MAX($B$12-0.08,0)*0.05+MAX($B$12-0.12,0)*0.05+MAX($B$12-0.16,0)*0.05+MAX($B$12-0.2,0)*0.05+MAX($B$12-0.24,0)*0.05)*(1+IF($B$12&lt;=1,0.1,IF($B$12&lt;=2,0.15,0.25))),(MAX(IF($B$12&lt;=1,0.5,IF($B$12&lt;=2,1,2))-0.04,0)*0.05+MAX(IF($B$12&lt;=1,0.5,IF($B$12&lt;=2,1,2))-0.08,0)*0.05+MAX(IF($B$12&lt;=1,0.5,IF($B$12&lt;=2,1,2))-0.12,0)*0.05+MAX(IF($B$12&lt;=1,0.5,IF($B$12&lt;=2,1,2))-0.16,0)*0.05+MAX(IF($B$12&lt;=1,0.5,IF($B$12&lt;=2,1,2))-0.2,0)*0.05+MAX(IF($B$12&lt;=1,0.5,IF($B$12&lt;=2,1,2))-0.24,0)*0.05)*(1+IF($B$12&lt;=1,0,IF($B$12&lt;=2,0.1,0.15)))+$B$12-IF($B$12&lt;=1,0.5,IF($B$12&lt;=2,1,2))))*1.04)</f>
        <v/>
      </c>
      <c r="J105" s="7">
        <f>G105*(1-$B$6)</f>
        <v/>
      </c>
      <c r="K105" s="7">
        <f>G105*$B$6</f>
        <v/>
      </c>
      <c r="L105" s="7">
        <f>L104+K105</f>
        <v/>
      </c>
      <c r="M105" s="7">
        <f>B105+E105-F105-I105-J105</f>
        <v/>
      </c>
      <c r="N105" s="7">
        <f>M105-L105</f>
        <v/>
      </c>
      <c r="O105" s="7">
        <f>0</f>
        <v/>
      </c>
      <c r="P105" s="7">
        <f>M105-(B105+E105-F105-I105-J105)</f>
        <v/>
      </c>
    </row>
    <row r="106" hidden="1" outlineLevel="1">
      <c r="B106" s="7" t="n"/>
      <c r="C106" s="7" t="n"/>
      <c r="D106" s="7" t="n"/>
      <c r="E106" s="7" t="n"/>
      <c r="F106" s="7" t="n"/>
      <c r="G106" s="7" t="n"/>
      <c r="H106" s="7" t="n"/>
      <c r="I106" s="7" t="n"/>
      <c r="J106" s="7" t="n"/>
      <c r="K106" s="7" t="n"/>
      <c r="L106" s="7" t="n"/>
      <c r="M106" s="7" t="n"/>
      <c r="N106" s="7" t="n"/>
      <c r="O106" s="7" t="n"/>
      <c r="P106" s="7" t="n"/>
    </row>
    <row r="107" hidden="1" outlineLevel="1">
      <c r="B107" s="7" t="n"/>
      <c r="C107" s="7" t="n"/>
      <c r="D107" s="7" t="n"/>
      <c r="E107" s="7" t="n"/>
      <c r="F107" s="7" t="n"/>
      <c r="G107" s="7" t="n"/>
      <c r="H107" s="7" t="n"/>
      <c r="I107" s="7" t="n"/>
      <c r="J107" s="7" t="n"/>
      <c r="K107" s="7" t="n"/>
      <c r="L107" s="7" t="n"/>
      <c r="M107" s="7" t="n"/>
      <c r="N107" s="7" t="n"/>
      <c r="O107" s="7" t="n"/>
      <c r="P107" s="7" t="n"/>
    </row>
    <row r="108" hidden="1" outlineLevel="1">
      <c r="B108" s="7" t="n"/>
      <c r="C108" s="7" t="n"/>
      <c r="D108" s="7" t="n"/>
      <c r="E108" s="7" t="n"/>
      <c r="F108" s="7" t="n"/>
      <c r="G108" s="7" t="n"/>
      <c r="H108" s="7" t="n"/>
      <c r="I108" s="7" t="n"/>
      <c r="J108" s="7" t="n"/>
      <c r="K108" s="7" t="n"/>
      <c r="L108" s="7" t="n"/>
      <c r="M108" s="7" t="n"/>
      <c r="N108" s="7" t="n"/>
      <c r="O108" s="7" t="n"/>
      <c r="P108" s="7" t="n"/>
    </row>
    <row r="109" hidden="1" outlineLevel="1">
      <c r="B109" s="7" t="n"/>
      <c r="C109" s="7" t="n"/>
      <c r="D109" s="7" t="n"/>
      <c r="E109" s="7" t="n"/>
      <c r="F109" s="7" t="n"/>
      <c r="G109" s="7" t="n"/>
      <c r="H109" s="7" t="n"/>
      <c r="I109" s="7" t="n"/>
      <c r="J109" s="7" t="n"/>
      <c r="K109" s="7" t="n"/>
      <c r="L109" s="7" t="n"/>
      <c r="M109" s="7" t="n"/>
      <c r="N109" s="7" t="n"/>
      <c r="O109" s="7" t="n"/>
      <c r="P109" s="7" t="n"/>
    </row>
    <row r="110" hidden="1" outlineLevel="1">
      <c r="B110" s="7" t="n"/>
      <c r="C110" s="7" t="n"/>
      <c r="D110" s="7" t="n"/>
      <c r="E110" s="7" t="n"/>
      <c r="F110" s="7" t="n"/>
      <c r="G110" s="7" t="n"/>
      <c r="H110" s="7" t="n"/>
      <c r="I110" s="7" t="n"/>
      <c r="J110" s="7" t="n"/>
      <c r="K110" s="7" t="n"/>
      <c r="L110" s="7" t="n"/>
      <c r="M110" s="7" t="n"/>
      <c r="N110" s="7" t="n"/>
      <c r="O110" s="7" t="n"/>
      <c r="P110" s="7" t="n"/>
    </row>
    <row r="111" hidden="1" outlineLevel="1">
      <c r="B111" s="7" t="n"/>
      <c r="C111" s="7" t="n"/>
      <c r="D111" s="7" t="n"/>
      <c r="E111" s="7" t="n"/>
      <c r="F111" s="7" t="n"/>
      <c r="G111" s="7" t="n"/>
      <c r="H111" s="7" t="n"/>
      <c r="I111" s="7" t="n"/>
      <c r="J111" s="7" t="n"/>
      <c r="K111" s="7" t="n"/>
      <c r="L111" s="7" t="n"/>
      <c r="M111" s="7" t="n"/>
      <c r="N111" s="7" t="n"/>
      <c r="O111" s="7" t="n"/>
      <c r="P111" s="7" t="n"/>
    </row>
    <row r="112" hidden="1" outlineLevel="1">
      <c r="B112" s="7" t="n"/>
      <c r="C112" s="7" t="n"/>
      <c r="D112" s="7" t="n"/>
      <c r="E112" s="7" t="n"/>
      <c r="F112" s="7" t="n"/>
      <c r="G112" s="7" t="n"/>
      <c r="H112" s="7" t="n"/>
      <c r="I112" s="7" t="n"/>
      <c r="J112" s="7" t="n"/>
      <c r="K112" s="7" t="n"/>
      <c r="L112" s="7" t="n"/>
      <c r="M112" s="7" t="n"/>
      <c r="N112" s="7" t="n"/>
      <c r="O112" s="7" t="n"/>
      <c r="P112" s="7" t="n"/>
    </row>
    <row r="113" hidden="1" outlineLevel="1">
      <c r="A113" t="inlineStr">
        <is>
          <t>Company solo</t>
        </is>
      </c>
      <c r="B113" s="7" t="n"/>
      <c r="C113" s="7" t="n"/>
      <c r="D113" s="7" t="n"/>
      <c r="E113" s="7" t="n"/>
      <c r="F113" s="7" t="n"/>
      <c r="G113" s="7" t="n"/>
      <c r="H113" s="7" t="n"/>
      <c r="I113" s="7" t="n"/>
      <c r="J113" s="7" t="n"/>
      <c r="K113" s="7" t="n"/>
      <c r="L113" s="7" t="n"/>
      <c r="M113" s="7" t="n"/>
      <c r="N113" s="7" t="n"/>
      <c r="O113" s="7" t="n"/>
      <c r="P113" s="7" t="n"/>
    </row>
    <row r="114" hidden="1" outlineLevel="1" ht="40" customHeight="1">
      <c r="A114" s="4" t="inlineStr">
        <is>
          <t>Year</t>
        </is>
      </c>
      <c r="B114" s="8" t="inlineStr">
        <is>
          <t>Opening</t>
        </is>
      </c>
      <c r="C114" s="8" t="inlineStr">
        <is>
          <t>Deployed</t>
        </is>
      </c>
      <c r="D114" s="8" t="inlineStr">
        <is>
          <t>Idle</t>
        </is>
      </c>
      <c r="E114" s="8" t="inlineStr">
        <is>
          <t>Profit</t>
        </is>
      </c>
      <c r="F114" s="8" t="inlineStr">
        <is>
          <t>Overhead</t>
        </is>
      </c>
      <c r="G114" s="8" t="inlineStr">
        <is>
          <t>Salary paid</t>
        </is>
      </c>
      <c r="H114" s="8" t="inlineStr">
        <is>
          <t>Taxable profit</t>
        </is>
      </c>
      <c r="I114" s="8" t="inlineStr">
        <is>
          <t>Income tax</t>
        </is>
      </c>
      <c r="J114" s="8" t="inlineStr">
        <is>
          <t>Not lent back</t>
        </is>
      </c>
      <c r="K114" s="8" t="inlineStr">
        <is>
          <t>New payroll loan</t>
        </is>
      </c>
      <c r="L114" s="8" t="inlineStr">
        <is>
          <t>Loans outstanding</t>
        </is>
      </c>
      <c r="M114" s="8" t="inlineStr">
        <is>
          <t>Closing trading capital</t>
        </is>
      </c>
      <c r="N114" s="8" t="inlineStr">
        <is>
          <t>Closing less payroll debt</t>
        </is>
      </c>
      <c r="O114" s="8" t="inlineStr">
        <is>
          <t>Payroll deduction tax saving</t>
        </is>
      </c>
      <c r="P114" s="8" t="inlineStr">
        <is>
          <t>Check = 0</t>
        </is>
      </c>
    </row>
    <row r="115" hidden="1" outlineLevel="1">
      <c r="A115" t="n">
        <v>0</v>
      </c>
      <c r="B115" s="7">
        <f>$B$3</f>
        <v/>
      </c>
      <c r="C115" s="7" t="n">
        <v>0</v>
      </c>
      <c r="D115" s="7" t="n">
        <v>0</v>
      </c>
      <c r="E115" s="7" t="n">
        <v>0</v>
      </c>
      <c r="F115" s="7" t="n">
        <v>0</v>
      </c>
      <c r="G115" s="7" t="n">
        <v>0</v>
      </c>
      <c r="H115" s="7" t="n">
        <v>0</v>
      </c>
      <c r="I115" s="7" t="n">
        <v>0</v>
      </c>
      <c r="J115" s="7" t="n">
        <v>0</v>
      </c>
      <c r="K115" s="7" t="n">
        <v>0</v>
      </c>
      <c r="L115" s="7" t="n">
        <v>0</v>
      </c>
      <c r="M115" s="7">
        <f>$B$3</f>
        <v/>
      </c>
      <c r="N115" s="7">
        <f>$B$3</f>
        <v/>
      </c>
      <c r="O115" s="7" t="n">
        <v>0</v>
      </c>
      <c r="P115" s="7" t="n">
        <v>0</v>
      </c>
    </row>
    <row r="116" hidden="1" outlineLevel="1">
      <c r="A116" t="n">
        <v>1</v>
      </c>
      <c r="B116" s="7">
        <f>M115</f>
        <v/>
      </c>
      <c r="C116" s="7">
        <f>MIN(B116,$B$11)</f>
        <v/>
      </c>
      <c r="D116" s="7">
        <f>MAX(B116-C116,0)</f>
        <v/>
      </c>
      <c r="E116" s="7">
        <f>C116*$B$4+D116*$B$13</f>
        <v/>
      </c>
      <c r="F116" s="7">
        <f>$B$10</f>
        <v/>
      </c>
      <c r="G116" s="7">
        <f>0</f>
        <v/>
      </c>
      <c r="H116" s="7">
        <f>MAX(E116-F116-G116,0)</f>
        <v/>
      </c>
      <c r="I116" s="7">
        <f>H116*$B$5</f>
        <v/>
      </c>
      <c r="J116" s="7">
        <f>G116*(1-$B$6)</f>
        <v/>
      </c>
      <c r="K116" s="7">
        <f>G116*$B$6</f>
        <v/>
      </c>
      <c r="L116" s="7">
        <f>L115+K116</f>
        <v/>
      </c>
      <c r="M116" s="7">
        <f>B116+E116-F116-I116-J116</f>
        <v/>
      </c>
      <c r="N116" s="7">
        <f>M116-L116</f>
        <v/>
      </c>
      <c r="O116" s="7">
        <f>G116*$B$5</f>
        <v/>
      </c>
      <c r="P116" s="7">
        <f>M116-(B116+E116-F116-I116-J116)</f>
        <v/>
      </c>
    </row>
    <row r="117" hidden="1" outlineLevel="1">
      <c r="A117" t="n">
        <v>2</v>
      </c>
      <c r="B117" s="7">
        <f>M116</f>
        <v/>
      </c>
      <c r="C117" s="7">
        <f>MIN(B117,$B$11)</f>
        <v/>
      </c>
      <c r="D117" s="7">
        <f>MAX(B117-C117,0)</f>
        <v/>
      </c>
      <c r="E117" s="7">
        <f>C117*$B$4+D117*$B$13</f>
        <v/>
      </c>
      <c r="F117" s="7">
        <f>$B$10</f>
        <v/>
      </c>
      <c r="G117" s="7">
        <f>0</f>
        <v/>
      </c>
      <c r="H117" s="7">
        <f>MAX(E117-F117-G117,0)</f>
        <v/>
      </c>
      <c r="I117" s="7">
        <f>H117*$B$5</f>
        <v/>
      </c>
      <c r="J117" s="7">
        <f>G117*(1-$B$6)</f>
        <v/>
      </c>
      <c r="K117" s="7">
        <f>G117*$B$6</f>
        <v/>
      </c>
      <c r="L117" s="7">
        <f>L116+K117</f>
        <v/>
      </c>
      <c r="M117" s="7">
        <f>B117+E117-F117-I117-J117</f>
        <v/>
      </c>
      <c r="N117" s="7">
        <f>M117-L117</f>
        <v/>
      </c>
      <c r="O117" s="7">
        <f>G117*$B$5</f>
        <v/>
      </c>
      <c r="P117" s="7">
        <f>M117-(B117+E117-F117-I117-J117)</f>
        <v/>
      </c>
    </row>
    <row r="118" hidden="1" outlineLevel="1">
      <c r="A118" t="n">
        <v>3</v>
      </c>
      <c r="B118" s="7">
        <f>M117</f>
        <v/>
      </c>
      <c r="C118" s="7">
        <f>MIN(B118,$B$11)</f>
        <v/>
      </c>
      <c r="D118" s="7">
        <f>MAX(B118-C118,0)</f>
        <v/>
      </c>
      <c r="E118" s="7">
        <f>C118*$B$4+D118*$B$13</f>
        <v/>
      </c>
      <c r="F118" s="7">
        <f>$B$10</f>
        <v/>
      </c>
      <c r="G118" s="7">
        <f>0</f>
        <v/>
      </c>
      <c r="H118" s="7">
        <f>MAX(E118-F118-G118,0)</f>
        <v/>
      </c>
      <c r="I118" s="7">
        <f>H118*$B$5</f>
        <v/>
      </c>
      <c r="J118" s="7">
        <f>G118*(1-$B$6)</f>
        <v/>
      </c>
      <c r="K118" s="7">
        <f>G118*$B$6</f>
        <v/>
      </c>
      <c r="L118" s="7">
        <f>L117+K118</f>
        <v/>
      </c>
      <c r="M118" s="7">
        <f>B118+E118-F118-I118-J118</f>
        <v/>
      </c>
      <c r="N118" s="7">
        <f>M118-L118</f>
        <v/>
      </c>
      <c r="O118" s="7">
        <f>G118*$B$5</f>
        <v/>
      </c>
      <c r="P118" s="7">
        <f>M118-(B118+E118-F118-I118-J118)</f>
        <v/>
      </c>
    </row>
    <row r="119" hidden="1" outlineLevel="1">
      <c r="A119" t="n">
        <v>4</v>
      </c>
      <c r="B119" s="7">
        <f>M118</f>
        <v/>
      </c>
      <c r="C119" s="7">
        <f>MIN(B119,$B$11)</f>
        <v/>
      </c>
      <c r="D119" s="7">
        <f>MAX(B119-C119,0)</f>
        <v/>
      </c>
      <c r="E119" s="7">
        <f>C119*$B$4+D119*$B$13</f>
        <v/>
      </c>
      <c r="F119" s="7">
        <f>$B$10</f>
        <v/>
      </c>
      <c r="G119" s="7">
        <f>0</f>
        <v/>
      </c>
      <c r="H119" s="7">
        <f>MAX(E119-F119-G119,0)</f>
        <v/>
      </c>
      <c r="I119" s="7">
        <f>H119*$B$5</f>
        <v/>
      </c>
      <c r="J119" s="7">
        <f>G119*(1-$B$6)</f>
        <v/>
      </c>
      <c r="K119" s="7">
        <f>G119*$B$6</f>
        <v/>
      </c>
      <c r="L119" s="7">
        <f>L118+K119</f>
        <v/>
      </c>
      <c r="M119" s="7">
        <f>B119+E119-F119-I119-J119</f>
        <v/>
      </c>
      <c r="N119" s="7">
        <f>M119-L119</f>
        <v/>
      </c>
      <c r="O119" s="7">
        <f>G119*$B$5</f>
        <v/>
      </c>
      <c r="P119" s="7">
        <f>M119-(B119+E119-F119-I119-J119)</f>
        <v/>
      </c>
    </row>
    <row r="120" hidden="1" outlineLevel="1">
      <c r="A120" t="n">
        <v>5</v>
      </c>
      <c r="B120" s="7">
        <f>M119</f>
        <v/>
      </c>
      <c r="C120" s="7">
        <f>MIN(B120,$B$11)</f>
        <v/>
      </c>
      <c r="D120" s="7">
        <f>MAX(B120-C120,0)</f>
        <v/>
      </c>
      <c r="E120" s="7">
        <f>C120*$B$4+D120*$B$13</f>
        <v/>
      </c>
      <c r="F120" s="7">
        <f>$B$10</f>
        <v/>
      </c>
      <c r="G120" s="7">
        <f>0</f>
        <v/>
      </c>
      <c r="H120" s="7">
        <f>MAX(E120-F120-G120,0)</f>
        <v/>
      </c>
      <c r="I120" s="7">
        <f>H120*$B$5</f>
        <v/>
      </c>
      <c r="J120" s="7">
        <f>G120*(1-$B$6)</f>
        <v/>
      </c>
      <c r="K120" s="7">
        <f>G120*$B$6</f>
        <v/>
      </c>
      <c r="L120" s="7">
        <f>L119+K120</f>
        <v/>
      </c>
      <c r="M120" s="7">
        <f>B120+E120-F120-I120-J120</f>
        <v/>
      </c>
      <c r="N120" s="7">
        <f>M120-L120</f>
        <v/>
      </c>
      <c r="O120" s="7">
        <f>G120*$B$5</f>
        <v/>
      </c>
      <c r="P120" s="7">
        <f>M120-(B120+E120-F120-I120-J120)</f>
        <v/>
      </c>
    </row>
    <row r="121" hidden="1" outlineLevel="1">
      <c r="A121" t="n">
        <v>6</v>
      </c>
      <c r="B121" s="7">
        <f>M120</f>
        <v/>
      </c>
      <c r="C121" s="7">
        <f>MIN(B121,$B$11)</f>
        <v/>
      </c>
      <c r="D121" s="7">
        <f>MAX(B121-C121,0)</f>
        <v/>
      </c>
      <c r="E121" s="7">
        <f>C121*$B$4+D121*$B$13</f>
        <v/>
      </c>
      <c r="F121" s="7">
        <f>$B$10</f>
        <v/>
      </c>
      <c r="G121" s="7">
        <f>0</f>
        <v/>
      </c>
      <c r="H121" s="7">
        <f>MAX(E121-F121-G121,0)</f>
        <v/>
      </c>
      <c r="I121" s="7">
        <f>H121*$B$5</f>
        <v/>
      </c>
      <c r="J121" s="7">
        <f>G121*(1-$B$6)</f>
        <v/>
      </c>
      <c r="K121" s="7">
        <f>G121*$B$6</f>
        <v/>
      </c>
      <c r="L121" s="7">
        <f>L120+K121</f>
        <v/>
      </c>
      <c r="M121" s="7">
        <f>B121+E121-F121-I121-J121</f>
        <v/>
      </c>
      <c r="N121" s="7">
        <f>M121-L121</f>
        <v/>
      </c>
      <c r="O121" s="7">
        <f>G121*$B$5</f>
        <v/>
      </c>
      <c r="P121" s="7">
        <f>M121-(B121+E121-F121-I121-J121)</f>
        <v/>
      </c>
    </row>
    <row r="122" hidden="1" outlineLevel="1">
      <c r="A122" t="n">
        <v>7</v>
      </c>
      <c r="B122" s="7">
        <f>M121</f>
        <v/>
      </c>
      <c r="C122" s="7">
        <f>MIN(B122,$B$11)</f>
        <v/>
      </c>
      <c r="D122" s="7">
        <f>MAX(B122-C122,0)</f>
        <v/>
      </c>
      <c r="E122" s="7">
        <f>C122*$B$4+D122*$B$13</f>
        <v/>
      </c>
      <c r="F122" s="7">
        <f>$B$10</f>
        <v/>
      </c>
      <c r="G122" s="7">
        <f>0</f>
        <v/>
      </c>
      <c r="H122" s="7">
        <f>MAX(E122-F122-G122,0)</f>
        <v/>
      </c>
      <c r="I122" s="7">
        <f>H122*$B$5</f>
        <v/>
      </c>
      <c r="J122" s="7">
        <f>G122*(1-$B$6)</f>
        <v/>
      </c>
      <c r="K122" s="7">
        <f>G122*$B$6</f>
        <v/>
      </c>
      <c r="L122" s="7">
        <f>L121+K122</f>
        <v/>
      </c>
      <c r="M122" s="7">
        <f>B122+E122-F122-I122-J122</f>
        <v/>
      </c>
      <c r="N122" s="7">
        <f>M122-L122</f>
        <v/>
      </c>
      <c r="O122" s="7">
        <f>G122*$B$5</f>
        <v/>
      </c>
      <c r="P122" s="7">
        <f>M122-(B122+E122-F122-I122-J122)</f>
        <v/>
      </c>
    </row>
    <row r="123" hidden="1" outlineLevel="1">
      <c r="A123" t="n">
        <v>8</v>
      </c>
      <c r="B123" s="7">
        <f>M122</f>
        <v/>
      </c>
      <c r="C123" s="7">
        <f>MIN(B123,$B$11)</f>
        <v/>
      </c>
      <c r="D123" s="7">
        <f>MAX(B123-C123,0)</f>
        <v/>
      </c>
      <c r="E123" s="7">
        <f>C123*$B$4+D123*$B$13</f>
        <v/>
      </c>
      <c r="F123" s="7">
        <f>$B$10</f>
        <v/>
      </c>
      <c r="G123" s="7">
        <f>0</f>
        <v/>
      </c>
      <c r="H123" s="7">
        <f>MAX(E123-F123-G123,0)</f>
        <v/>
      </c>
      <c r="I123" s="7">
        <f>H123*$B$5</f>
        <v/>
      </c>
      <c r="J123" s="7">
        <f>G123*(1-$B$6)</f>
        <v/>
      </c>
      <c r="K123" s="7">
        <f>G123*$B$6</f>
        <v/>
      </c>
      <c r="L123" s="7">
        <f>L122+K123</f>
        <v/>
      </c>
      <c r="M123" s="7">
        <f>B123+E123-F123-I123-J123</f>
        <v/>
      </c>
      <c r="N123" s="7">
        <f>M123-L123</f>
        <v/>
      </c>
      <c r="O123" s="7">
        <f>G123*$B$5</f>
        <v/>
      </c>
      <c r="P123" s="7">
        <f>M123-(B123+E123-F123-I123-J123)</f>
        <v/>
      </c>
    </row>
    <row r="124" hidden="1" outlineLevel="1">
      <c r="A124" t="n">
        <v>9</v>
      </c>
      <c r="B124" s="7">
        <f>M123</f>
        <v/>
      </c>
      <c r="C124" s="7">
        <f>MIN(B124,$B$11)</f>
        <v/>
      </c>
      <c r="D124" s="7">
        <f>MAX(B124-C124,0)</f>
        <v/>
      </c>
      <c r="E124" s="7">
        <f>C124*$B$4+D124*$B$13</f>
        <v/>
      </c>
      <c r="F124" s="7">
        <f>$B$10</f>
        <v/>
      </c>
      <c r="G124" s="7">
        <f>0</f>
        <v/>
      </c>
      <c r="H124" s="7">
        <f>MAX(E124-F124-G124,0)</f>
        <v/>
      </c>
      <c r="I124" s="7">
        <f>H124*$B$5</f>
        <v/>
      </c>
      <c r="J124" s="7">
        <f>G124*(1-$B$6)</f>
        <v/>
      </c>
      <c r="K124" s="7">
        <f>G124*$B$6</f>
        <v/>
      </c>
      <c r="L124" s="7">
        <f>L123+K124</f>
        <v/>
      </c>
      <c r="M124" s="7">
        <f>B124+E124-F124-I124-J124</f>
        <v/>
      </c>
      <c r="N124" s="7">
        <f>M124-L124</f>
        <v/>
      </c>
      <c r="O124" s="7">
        <f>G124*$B$5</f>
        <v/>
      </c>
      <c r="P124" s="7">
        <f>M124-(B124+E124-F124-I124-J124)</f>
        <v/>
      </c>
    </row>
    <row r="125" hidden="1" outlineLevel="1">
      <c r="A125" t="n">
        <v>10</v>
      </c>
      <c r="B125" s="7">
        <f>M124</f>
        <v/>
      </c>
      <c r="C125" s="7">
        <f>MIN(B125,$B$11)</f>
        <v/>
      </c>
      <c r="D125" s="7">
        <f>MAX(B125-C125,0)</f>
        <v/>
      </c>
      <c r="E125" s="7">
        <f>C125*$B$4+D125*$B$13</f>
        <v/>
      </c>
      <c r="F125" s="7">
        <f>$B$10</f>
        <v/>
      </c>
      <c r="G125" s="7">
        <f>0</f>
        <v/>
      </c>
      <c r="H125" s="7">
        <f>MAX(E125-F125-G125,0)</f>
        <v/>
      </c>
      <c r="I125" s="7">
        <f>H125*$B$5</f>
        <v/>
      </c>
      <c r="J125" s="7">
        <f>G125*(1-$B$6)</f>
        <v/>
      </c>
      <c r="K125" s="7">
        <f>G125*$B$6</f>
        <v/>
      </c>
      <c r="L125" s="7">
        <f>L124+K125</f>
        <v/>
      </c>
      <c r="M125" s="7">
        <f>B125+E125-F125-I125-J125</f>
        <v/>
      </c>
      <c r="N125" s="7">
        <f>M125-L125</f>
        <v/>
      </c>
      <c r="O125" s="7">
        <f>G125*$B$5</f>
        <v/>
      </c>
      <c r="P125" s="7">
        <f>M125-(B125+E125-F125-I125-J125)</f>
        <v/>
      </c>
    </row>
    <row r="126" hidden="1" outlineLevel="1">
      <c r="A126" t="n">
        <v>11</v>
      </c>
      <c r="B126" s="7">
        <f>M125</f>
        <v/>
      </c>
      <c r="C126" s="7">
        <f>MIN(B126,$B$11)</f>
        <v/>
      </c>
      <c r="D126" s="7">
        <f>MAX(B126-C126,0)</f>
        <v/>
      </c>
      <c r="E126" s="7">
        <f>C126*$B$4+D126*$B$13</f>
        <v/>
      </c>
      <c r="F126" s="7">
        <f>$B$10</f>
        <v/>
      </c>
      <c r="G126" s="7">
        <f>0</f>
        <v/>
      </c>
      <c r="H126" s="7">
        <f>MAX(E126-F126-G126,0)</f>
        <v/>
      </c>
      <c r="I126" s="7">
        <f>H126*$B$5</f>
        <v/>
      </c>
      <c r="J126" s="7">
        <f>G126*(1-$B$6)</f>
        <v/>
      </c>
      <c r="K126" s="7">
        <f>G126*$B$6</f>
        <v/>
      </c>
      <c r="L126" s="7">
        <f>L125+K126</f>
        <v/>
      </c>
      <c r="M126" s="7">
        <f>B126+E126-F126-I126-J126</f>
        <v/>
      </c>
      <c r="N126" s="7">
        <f>M126-L126</f>
        <v/>
      </c>
      <c r="O126" s="7">
        <f>G126*$B$5</f>
        <v/>
      </c>
      <c r="P126" s="7">
        <f>M126-(B126+E126-F126-I126-J126)</f>
        <v/>
      </c>
    </row>
    <row r="127" hidden="1" outlineLevel="1">
      <c r="A127" t="n">
        <v>12</v>
      </c>
      <c r="B127" s="7">
        <f>M126</f>
        <v/>
      </c>
      <c r="C127" s="7">
        <f>MIN(B127,$B$11)</f>
        <v/>
      </c>
      <c r="D127" s="7">
        <f>MAX(B127-C127,0)</f>
        <v/>
      </c>
      <c r="E127" s="7">
        <f>C127*$B$4+D127*$B$13</f>
        <v/>
      </c>
      <c r="F127" s="7">
        <f>$B$10</f>
        <v/>
      </c>
      <c r="G127" s="7">
        <f>0</f>
        <v/>
      </c>
      <c r="H127" s="7">
        <f>MAX(E127-F127-G127,0)</f>
        <v/>
      </c>
      <c r="I127" s="7">
        <f>H127*$B$5</f>
        <v/>
      </c>
      <c r="J127" s="7">
        <f>G127*(1-$B$6)</f>
        <v/>
      </c>
      <c r="K127" s="7">
        <f>G127*$B$6</f>
        <v/>
      </c>
      <c r="L127" s="7">
        <f>L126+K127</f>
        <v/>
      </c>
      <c r="M127" s="7">
        <f>B127+E127-F127-I127-J127</f>
        <v/>
      </c>
      <c r="N127" s="7">
        <f>M127-L127</f>
        <v/>
      </c>
      <c r="O127" s="7">
        <f>G127*$B$5</f>
        <v/>
      </c>
      <c r="P127" s="7">
        <f>M127-(B127+E127-F127-I127-J127)</f>
        <v/>
      </c>
    </row>
    <row r="128" hidden="1" outlineLevel="1">
      <c r="A128" t="n">
        <v>13</v>
      </c>
      <c r="B128" s="7">
        <f>M127</f>
        <v/>
      </c>
      <c r="C128" s="7">
        <f>MIN(B128,$B$11)</f>
        <v/>
      </c>
      <c r="D128" s="7">
        <f>MAX(B128-C128,0)</f>
        <v/>
      </c>
      <c r="E128" s="7">
        <f>C128*$B$4+D128*$B$13</f>
        <v/>
      </c>
      <c r="F128" s="7">
        <f>$B$10</f>
        <v/>
      </c>
      <c r="G128" s="7">
        <f>0</f>
        <v/>
      </c>
      <c r="H128" s="7">
        <f>MAX(E128-F128-G128,0)</f>
        <v/>
      </c>
      <c r="I128" s="7">
        <f>H128*$B$5</f>
        <v/>
      </c>
      <c r="J128" s="7">
        <f>G128*(1-$B$6)</f>
        <v/>
      </c>
      <c r="K128" s="7">
        <f>G128*$B$6</f>
        <v/>
      </c>
      <c r="L128" s="7">
        <f>L127+K128</f>
        <v/>
      </c>
      <c r="M128" s="7">
        <f>B128+E128-F128-I128-J128</f>
        <v/>
      </c>
      <c r="N128" s="7">
        <f>M128-L128</f>
        <v/>
      </c>
      <c r="O128" s="7">
        <f>G128*$B$5</f>
        <v/>
      </c>
      <c r="P128" s="7">
        <f>M128-(B128+E128-F128-I128-J128)</f>
        <v/>
      </c>
    </row>
    <row r="129" hidden="1" outlineLevel="1">
      <c r="A129" t="n">
        <v>14</v>
      </c>
      <c r="B129" s="7">
        <f>M128</f>
        <v/>
      </c>
      <c r="C129" s="7">
        <f>MIN(B129,$B$11)</f>
        <v/>
      </c>
      <c r="D129" s="7">
        <f>MAX(B129-C129,0)</f>
        <v/>
      </c>
      <c r="E129" s="7">
        <f>C129*$B$4+D129*$B$13</f>
        <v/>
      </c>
      <c r="F129" s="7">
        <f>$B$10</f>
        <v/>
      </c>
      <c r="G129" s="7">
        <f>0</f>
        <v/>
      </c>
      <c r="H129" s="7">
        <f>MAX(E129-F129-G129,0)</f>
        <v/>
      </c>
      <c r="I129" s="7">
        <f>H129*$B$5</f>
        <v/>
      </c>
      <c r="J129" s="7">
        <f>G129*(1-$B$6)</f>
        <v/>
      </c>
      <c r="K129" s="7">
        <f>G129*$B$6</f>
        <v/>
      </c>
      <c r="L129" s="7">
        <f>L128+K129</f>
        <v/>
      </c>
      <c r="M129" s="7">
        <f>B129+E129-F129-I129-J129</f>
        <v/>
      </c>
      <c r="N129" s="7">
        <f>M129-L129</f>
        <v/>
      </c>
      <c r="O129" s="7">
        <f>G129*$B$5</f>
        <v/>
      </c>
      <c r="P129" s="7">
        <f>M129-(B129+E129-F129-I129-J129)</f>
        <v/>
      </c>
    </row>
    <row r="130" hidden="1" outlineLevel="1">
      <c r="A130" t="n">
        <v>15</v>
      </c>
      <c r="B130" s="7">
        <f>M129</f>
        <v/>
      </c>
      <c r="C130" s="7">
        <f>MIN(B130,$B$11)</f>
        <v/>
      </c>
      <c r="D130" s="7">
        <f>MAX(B130-C130,0)</f>
        <v/>
      </c>
      <c r="E130" s="7">
        <f>C130*$B$4+D130*$B$13</f>
        <v/>
      </c>
      <c r="F130" s="7">
        <f>$B$10</f>
        <v/>
      </c>
      <c r="G130" s="7">
        <f>0</f>
        <v/>
      </c>
      <c r="H130" s="7">
        <f>MAX(E130-F130-G130,0)</f>
        <v/>
      </c>
      <c r="I130" s="7">
        <f>H130*$B$5</f>
        <v/>
      </c>
      <c r="J130" s="7">
        <f>G130*(1-$B$6)</f>
        <v/>
      </c>
      <c r="K130" s="7">
        <f>G130*$B$6</f>
        <v/>
      </c>
      <c r="L130" s="7">
        <f>L129+K130</f>
        <v/>
      </c>
      <c r="M130" s="7">
        <f>B130+E130-F130-I130-J130</f>
        <v/>
      </c>
      <c r="N130" s="7">
        <f>M130-L130</f>
        <v/>
      </c>
      <c r="O130" s="7">
        <f>G130*$B$5</f>
        <v/>
      </c>
      <c r="P130" s="7">
        <f>M130-(B130+E130-F130-I130-J130)</f>
        <v/>
      </c>
    </row>
    <row r="131" hidden="1" outlineLevel="1">
      <c r="A131" t="n">
        <v>16</v>
      </c>
      <c r="B131" s="7">
        <f>M130</f>
        <v/>
      </c>
      <c r="C131" s="7">
        <f>MIN(B131,$B$11)</f>
        <v/>
      </c>
      <c r="D131" s="7">
        <f>MAX(B131-C131,0)</f>
        <v/>
      </c>
      <c r="E131" s="7">
        <f>C131*$B$4+D131*$B$13</f>
        <v/>
      </c>
      <c r="F131" s="7">
        <f>$B$10</f>
        <v/>
      </c>
      <c r="G131" s="7">
        <f>0</f>
        <v/>
      </c>
      <c r="H131" s="7">
        <f>MAX(E131-F131-G131,0)</f>
        <v/>
      </c>
      <c r="I131" s="7">
        <f>H131*$B$5</f>
        <v/>
      </c>
      <c r="J131" s="7">
        <f>G131*(1-$B$6)</f>
        <v/>
      </c>
      <c r="K131" s="7">
        <f>G131*$B$6</f>
        <v/>
      </c>
      <c r="L131" s="7">
        <f>L130+K131</f>
        <v/>
      </c>
      <c r="M131" s="7">
        <f>B131+E131-F131-I131-J131</f>
        <v/>
      </c>
      <c r="N131" s="7">
        <f>M131-L131</f>
        <v/>
      </c>
      <c r="O131" s="7">
        <f>G131*$B$5</f>
        <v/>
      </c>
      <c r="P131" s="7">
        <f>M131-(B131+E131-F131-I131-J131)</f>
        <v/>
      </c>
    </row>
    <row r="132" hidden="1" outlineLevel="1">
      <c r="A132" t="n">
        <v>17</v>
      </c>
      <c r="B132" s="7">
        <f>M131</f>
        <v/>
      </c>
      <c r="C132" s="7">
        <f>MIN(B132,$B$11)</f>
        <v/>
      </c>
      <c r="D132" s="7">
        <f>MAX(B132-C132,0)</f>
        <v/>
      </c>
      <c r="E132" s="7">
        <f>C132*$B$4+D132*$B$13</f>
        <v/>
      </c>
      <c r="F132" s="7">
        <f>$B$10</f>
        <v/>
      </c>
      <c r="G132" s="7">
        <f>0</f>
        <v/>
      </c>
      <c r="H132" s="7">
        <f>MAX(E132-F132-G132,0)</f>
        <v/>
      </c>
      <c r="I132" s="7">
        <f>H132*$B$5</f>
        <v/>
      </c>
      <c r="J132" s="7">
        <f>G132*(1-$B$6)</f>
        <v/>
      </c>
      <c r="K132" s="7">
        <f>G132*$B$6</f>
        <v/>
      </c>
      <c r="L132" s="7">
        <f>L131+K132</f>
        <v/>
      </c>
      <c r="M132" s="7">
        <f>B132+E132-F132-I132-J132</f>
        <v/>
      </c>
      <c r="N132" s="7">
        <f>M132-L132</f>
        <v/>
      </c>
      <c r="O132" s="7">
        <f>G132*$B$5</f>
        <v/>
      </c>
      <c r="P132" s="7">
        <f>M132-(B132+E132-F132-I132-J132)</f>
        <v/>
      </c>
    </row>
    <row r="133" hidden="1" outlineLevel="1">
      <c r="A133" t="n">
        <v>18</v>
      </c>
      <c r="B133" s="7">
        <f>M132</f>
        <v/>
      </c>
      <c r="C133" s="7">
        <f>MIN(B133,$B$11)</f>
        <v/>
      </c>
      <c r="D133" s="7">
        <f>MAX(B133-C133,0)</f>
        <v/>
      </c>
      <c r="E133" s="7">
        <f>C133*$B$4+D133*$B$13</f>
        <v/>
      </c>
      <c r="F133" s="7">
        <f>$B$10</f>
        <v/>
      </c>
      <c r="G133" s="7">
        <f>0</f>
        <v/>
      </c>
      <c r="H133" s="7">
        <f>MAX(E133-F133-G133,0)</f>
        <v/>
      </c>
      <c r="I133" s="7">
        <f>H133*$B$5</f>
        <v/>
      </c>
      <c r="J133" s="7">
        <f>G133*(1-$B$6)</f>
        <v/>
      </c>
      <c r="K133" s="7">
        <f>G133*$B$6</f>
        <v/>
      </c>
      <c r="L133" s="7">
        <f>L132+K133</f>
        <v/>
      </c>
      <c r="M133" s="7">
        <f>B133+E133-F133-I133-J133</f>
        <v/>
      </c>
      <c r="N133" s="7">
        <f>M133-L133</f>
        <v/>
      </c>
      <c r="O133" s="7">
        <f>G133*$B$5</f>
        <v/>
      </c>
      <c r="P133" s="7">
        <f>M133-(B133+E133-F133-I133-J133)</f>
        <v/>
      </c>
    </row>
    <row r="134" hidden="1" outlineLevel="1">
      <c r="A134" t="n">
        <v>19</v>
      </c>
      <c r="B134" s="7">
        <f>M133</f>
        <v/>
      </c>
      <c r="C134" s="7">
        <f>MIN(B134,$B$11)</f>
        <v/>
      </c>
      <c r="D134" s="7">
        <f>MAX(B134-C134,0)</f>
        <v/>
      </c>
      <c r="E134" s="7">
        <f>C134*$B$4+D134*$B$13</f>
        <v/>
      </c>
      <c r="F134" s="7">
        <f>$B$10</f>
        <v/>
      </c>
      <c r="G134" s="7">
        <f>0</f>
        <v/>
      </c>
      <c r="H134" s="7">
        <f>MAX(E134-F134-G134,0)</f>
        <v/>
      </c>
      <c r="I134" s="7">
        <f>H134*$B$5</f>
        <v/>
      </c>
      <c r="J134" s="7">
        <f>G134*(1-$B$6)</f>
        <v/>
      </c>
      <c r="K134" s="7">
        <f>G134*$B$6</f>
        <v/>
      </c>
      <c r="L134" s="7">
        <f>L133+K134</f>
        <v/>
      </c>
      <c r="M134" s="7">
        <f>B134+E134-F134-I134-J134</f>
        <v/>
      </c>
      <c r="N134" s="7">
        <f>M134-L134</f>
        <v/>
      </c>
      <c r="O134" s="7">
        <f>G134*$B$5</f>
        <v/>
      </c>
      <c r="P134" s="7">
        <f>M134-(B134+E134-F134-I134-J134)</f>
        <v/>
      </c>
    </row>
    <row r="135" hidden="1" outlineLevel="1">
      <c r="A135" t="n">
        <v>20</v>
      </c>
      <c r="B135" s="7">
        <f>M134</f>
        <v/>
      </c>
      <c r="C135" s="7">
        <f>MIN(B135,$B$11)</f>
        <v/>
      </c>
      <c r="D135" s="7">
        <f>MAX(B135-C135,0)</f>
        <v/>
      </c>
      <c r="E135" s="7">
        <f>C135*$B$4+D135*$B$13</f>
        <v/>
      </c>
      <c r="F135" s="7">
        <f>$B$10</f>
        <v/>
      </c>
      <c r="G135" s="7">
        <f>0</f>
        <v/>
      </c>
      <c r="H135" s="7">
        <f>MAX(E135-F135-G135,0)</f>
        <v/>
      </c>
      <c r="I135" s="7">
        <f>H135*$B$5</f>
        <v/>
      </c>
      <c r="J135" s="7">
        <f>G135*(1-$B$6)</f>
        <v/>
      </c>
      <c r="K135" s="7">
        <f>G135*$B$6</f>
        <v/>
      </c>
      <c r="L135" s="7">
        <f>L134+K135</f>
        <v/>
      </c>
      <c r="M135" s="7">
        <f>B135+E135-F135-I135-J135</f>
        <v/>
      </c>
      <c r="N135" s="7">
        <f>M135-L135</f>
        <v/>
      </c>
      <c r="O135" s="7">
        <f>G135*$B$5</f>
        <v/>
      </c>
      <c r="P135" s="7">
        <f>M135-(B135+E135-F135-I135-J135)</f>
        <v/>
      </c>
    </row>
    <row r="136" hidden="1" outlineLevel="1">
      <c r="B136" s="7" t="n"/>
      <c r="C136" s="7" t="n"/>
      <c r="D136" s="7" t="n"/>
      <c r="E136" s="7" t="n"/>
      <c r="F136" s="7" t="n"/>
      <c r="G136" s="7" t="n"/>
      <c r="H136" s="7" t="n"/>
      <c r="I136" s="7" t="n"/>
      <c r="J136" s="7" t="n"/>
      <c r="K136" s="7" t="n"/>
      <c r="L136" s="7" t="n"/>
      <c r="M136" s="7" t="n"/>
      <c r="N136" s="7" t="n"/>
      <c r="O136" s="7" t="n"/>
      <c r="P136" s="7" t="n"/>
    </row>
    <row r="137" hidden="1" outlineLevel="1">
      <c r="B137" s="7" t="n"/>
      <c r="C137" s="7" t="n"/>
      <c r="D137" s="7" t="n"/>
      <c r="E137" s="7" t="n"/>
      <c r="F137" s="7" t="n"/>
      <c r="G137" s="7" t="n"/>
      <c r="H137" s="7" t="n"/>
      <c r="I137" s="7" t="n"/>
      <c r="J137" s="7" t="n"/>
      <c r="K137" s="7" t="n"/>
      <c r="L137" s="7" t="n"/>
      <c r="M137" s="7" t="n"/>
      <c r="N137" s="7" t="n"/>
      <c r="O137" s="7" t="n"/>
      <c r="P137" s="7" t="n"/>
    </row>
    <row r="138" hidden="1" outlineLevel="1">
      <c r="B138" s="7" t="n"/>
      <c r="C138" s="7" t="n"/>
      <c r="D138" s="7" t="n"/>
      <c r="E138" s="7" t="n"/>
      <c r="F138" s="7" t="n"/>
      <c r="G138" s="7" t="n"/>
      <c r="H138" s="7" t="n"/>
      <c r="I138" s="7" t="n"/>
      <c r="J138" s="7" t="n"/>
      <c r="K138" s="7" t="n"/>
      <c r="L138" s="7" t="n"/>
      <c r="M138" s="7" t="n"/>
      <c r="N138" s="7" t="n"/>
      <c r="O138" s="7" t="n"/>
      <c r="P138" s="7" t="n"/>
    </row>
    <row r="139" hidden="1" outlineLevel="1">
      <c r="B139" s="7" t="n"/>
      <c r="C139" s="7" t="n"/>
      <c r="D139" s="7" t="n"/>
      <c r="E139" s="7" t="n"/>
      <c r="F139" s="7" t="n"/>
      <c r="G139" s="7" t="n"/>
      <c r="H139" s="7" t="n"/>
      <c r="I139" s="7" t="n"/>
      <c r="J139" s="7" t="n"/>
      <c r="K139" s="7" t="n"/>
      <c r="L139" s="7" t="n"/>
      <c r="M139" s="7" t="n"/>
      <c r="N139" s="7" t="n"/>
      <c r="O139" s="7" t="n"/>
      <c r="P139" s="7" t="n"/>
    </row>
    <row r="140" hidden="1" outlineLevel="1">
      <c r="B140" s="7" t="n"/>
      <c r="C140" s="7" t="n"/>
      <c r="D140" s="7" t="n"/>
      <c r="E140" s="7" t="n"/>
      <c r="F140" s="7" t="n"/>
      <c r="G140" s="7" t="n"/>
      <c r="H140" s="7" t="n"/>
      <c r="I140" s="7" t="n"/>
      <c r="J140" s="7" t="n"/>
      <c r="K140" s="7" t="n"/>
      <c r="L140" s="7" t="n"/>
      <c r="M140" s="7" t="n"/>
      <c r="N140" s="7" t="n"/>
      <c r="O140" s="7" t="n"/>
      <c r="P140" s="7" t="n"/>
    </row>
    <row r="141" hidden="1" outlineLevel="1">
      <c r="B141" s="7" t="n"/>
      <c r="C141" s="7" t="n"/>
      <c r="D141" s="7" t="n"/>
      <c r="E141" s="7" t="n"/>
      <c r="F141" s="7" t="n"/>
      <c r="G141" s="7" t="n"/>
      <c r="H141" s="7" t="n"/>
      <c r="I141" s="7" t="n"/>
      <c r="J141" s="7" t="n"/>
      <c r="K141" s="7" t="n"/>
      <c r="L141" s="7" t="n"/>
      <c r="M141" s="7" t="n"/>
      <c r="N141" s="7" t="n"/>
      <c r="O141" s="7" t="n"/>
      <c r="P141" s="7" t="n"/>
    </row>
    <row r="142" hidden="1" outlineLevel="1">
      <c r="B142" s="7" t="n"/>
      <c r="C142" s="7" t="n"/>
      <c r="D142" s="7" t="n"/>
      <c r="E142" s="7" t="n"/>
      <c r="F142" s="7" t="n"/>
      <c r="G142" s="7" t="n"/>
      <c r="H142" s="7" t="n"/>
      <c r="I142" s="7" t="n"/>
      <c r="J142" s="7" t="n"/>
      <c r="K142" s="7" t="n"/>
      <c r="L142" s="7" t="n"/>
      <c r="M142" s="7" t="n"/>
      <c r="N142" s="7" t="n"/>
      <c r="O142" s="7" t="n"/>
      <c r="P142" s="7" t="n"/>
    </row>
    <row r="143" hidden="1" outlineLevel="1">
      <c r="A143" t="inlineStr">
        <is>
          <t>Company + 1</t>
        </is>
      </c>
      <c r="B143" s="7" t="n"/>
      <c r="C143" s="7" t="n"/>
      <c r="D143" s="7" t="n"/>
      <c r="E143" s="7" t="n"/>
      <c r="F143" s="7" t="n"/>
      <c r="G143" s="7" t="n"/>
      <c r="H143" s="7" t="n"/>
      <c r="I143" s="7" t="n"/>
      <c r="J143" s="7" t="n"/>
      <c r="K143" s="7" t="n"/>
      <c r="L143" s="7" t="n"/>
      <c r="M143" s="7" t="n"/>
      <c r="N143" s="7" t="n"/>
      <c r="O143" s="7" t="n"/>
      <c r="P143" s="7" t="n"/>
    </row>
    <row r="144" hidden="1" outlineLevel="1" ht="40" customHeight="1">
      <c r="A144" s="4" t="inlineStr">
        <is>
          <t>Year</t>
        </is>
      </c>
      <c r="B144" s="8" t="inlineStr">
        <is>
          <t>Opening</t>
        </is>
      </c>
      <c r="C144" s="8" t="inlineStr">
        <is>
          <t>Deployed</t>
        </is>
      </c>
      <c r="D144" s="8" t="inlineStr">
        <is>
          <t>Idle</t>
        </is>
      </c>
      <c r="E144" s="8" t="inlineStr">
        <is>
          <t>Profit</t>
        </is>
      </c>
      <c r="F144" s="8" t="inlineStr">
        <is>
          <t>Overhead</t>
        </is>
      </c>
      <c r="G144" s="8" t="inlineStr">
        <is>
          <t>Salary paid</t>
        </is>
      </c>
      <c r="H144" s="8" t="inlineStr">
        <is>
          <t>Taxable profit</t>
        </is>
      </c>
      <c r="I144" s="8" t="inlineStr">
        <is>
          <t>Income tax</t>
        </is>
      </c>
      <c r="J144" s="8" t="inlineStr">
        <is>
          <t>Not lent back</t>
        </is>
      </c>
      <c r="K144" s="8" t="inlineStr">
        <is>
          <t>New payroll loan</t>
        </is>
      </c>
      <c r="L144" s="8" t="inlineStr">
        <is>
          <t>Loans outstanding</t>
        </is>
      </c>
      <c r="M144" s="8" t="inlineStr">
        <is>
          <t>Closing trading capital</t>
        </is>
      </c>
      <c r="N144" s="8" t="inlineStr">
        <is>
          <t>Closing less payroll debt</t>
        </is>
      </c>
      <c r="O144" s="8" t="inlineStr">
        <is>
          <t>Payroll deduction tax saving</t>
        </is>
      </c>
      <c r="P144" s="8" t="inlineStr">
        <is>
          <t>Check = 0</t>
        </is>
      </c>
    </row>
    <row r="145" hidden="1" outlineLevel="1">
      <c r="A145" t="n">
        <v>0</v>
      </c>
      <c r="B145" s="7">
        <f>$B$3</f>
        <v/>
      </c>
      <c r="C145" s="7" t="n">
        <v>0</v>
      </c>
      <c r="D145" s="7" t="n">
        <v>0</v>
      </c>
      <c r="E145" s="7" t="n">
        <v>0</v>
      </c>
      <c r="F145" s="7" t="n">
        <v>0</v>
      </c>
      <c r="G145" s="7" t="n">
        <v>0</v>
      </c>
      <c r="H145" s="7" t="n">
        <v>0</v>
      </c>
      <c r="I145" s="7" t="n">
        <v>0</v>
      </c>
      <c r="J145" s="7" t="n">
        <v>0</v>
      </c>
      <c r="K145" s="7" t="n">
        <v>0</v>
      </c>
      <c r="L145" s="7" t="n">
        <v>0</v>
      </c>
      <c r="M145" s="7">
        <f>$B$3</f>
        <v/>
      </c>
      <c r="N145" s="7">
        <f>$B$3</f>
        <v/>
      </c>
      <c r="O145" s="7" t="n">
        <v>0</v>
      </c>
      <c r="P145" s="7" t="n">
        <v>0</v>
      </c>
    </row>
    <row r="146" hidden="1" outlineLevel="1">
      <c r="A146" t="n">
        <v>1</v>
      </c>
      <c r="B146" s="7">
        <f>M145</f>
        <v/>
      </c>
      <c r="C146" s="7">
        <f>MIN(B146,$B$11)</f>
        <v/>
      </c>
      <c r="D146" s="7">
        <f>MAX(B146-C146,0)</f>
        <v/>
      </c>
      <c r="E146" s="7">
        <f>C146*$B$4+D146*$B$13</f>
        <v/>
      </c>
      <c r="F146" s="7">
        <f>$B$10</f>
        <v/>
      </c>
      <c r="G146" s="7">
        <f>IF($B$5&gt;0,MIN(1*$B$7,$B$8*MAX(E146-F146,0)),0)</f>
        <v/>
      </c>
      <c r="H146" s="7">
        <f>MAX(E146-F146-G146,0)</f>
        <v/>
      </c>
      <c r="I146" s="7">
        <f>H146*$B$5</f>
        <v/>
      </c>
      <c r="J146" s="7">
        <f>G146*(1-$B$6)</f>
        <v/>
      </c>
      <c r="K146" s="7">
        <f>G146*$B$6</f>
        <v/>
      </c>
      <c r="L146" s="7">
        <f>L145+K146</f>
        <v/>
      </c>
      <c r="M146" s="7">
        <f>B146+E146-F146-I146-J146</f>
        <v/>
      </c>
      <c r="N146" s="7">
        <f>M146-L146</f>
        <v/>
      </c>
      <c r="O146" s="7">
        <f>G146*$B$5</f>
        <v/>
      </c>
      <c r="P146" s="7">
        <f>M146-(B146+E146-F146-I146-J146)</f>
        <v/>
      </c>
    </row>
    <row r="147" hidden="1" outlineLevel="1">
      <c r="A147" t="n">
        <v>2</v>
      </c>
      <c r="B147" s="7">
        <f>M146</f>
        <v/>
      </c>
      <c r="C147" s="7">
        <f>MIN(B147,$B$11)</f>
        <v/>
      </c>
      <c r="D147" s="7">
        <f>MAX(B147-C147,0)</f>
        <v/>
      </c>
      <c r="E147" s="7">
        <f>C147*$B$4+D147*$B$13</f>
        <v/>
      </c>
      <c r="F147" s="7">
        <f>$B$10</f>
        <v/>
      </c>
      <c r="G147" s="7">
        <f>IF($B$5&gt;0,MIN(1*$B$7,$B$8*MAX(E147-F147,0)),0)</f>
        <v/>
      </c>
      <c r="H147" s="7">
        <f>MAX(E147-F147-G147,0)</f>
        <v/>
      </c>
      <c r="I147" s="7">
        <f>H147*$B$5</f>
        <v/>
      </c>
      <c r="J147" s="7">
        <f>G147*(1-$B$6)</f>
        <v/>
      </c>
      <c r="K147" s="7">
        <f>G147*$B$6</f>
        <v/>
      </c>
      <c r="L147" s="7">
        <f>L146+K147</f>
        <v/>
      </c>
      <c r="M147" s="7">
        <f>B147+E147-F147-I147-J147</f>
        <v/>
      </c>
      <c r="N147" s="7">
        <f>M147-L147</f>
        <v/>
      </c>
      <c r="O147" s="7">
        <f>G147*$B$5</f>
        <v/>
      </c>
      <c r="P147" s="7">
        <f>M147-(B147+E147-F147-I147-J147)</f>
        <v/>
      </c>
    </row>
    <row r="148" hidden="1" outlineLevel="1">
      <c r="A148" t="n">
        <v>3</v>
      </c>
      <c r="B148" s="7">
        <f>M147</f>
        <v/>
      </c>
      <c r="C148" s="7">
        <f>MIN(B148,$B$11)</f>
        <v/>
      </c>
      <c r="D148" s="7">
        <f>MAX(B148-C148,0)</f>
        <v/>
      </c>
      <c r="E148" s="7">
        <f>C148*$B$4+D148*$B$13</f>
        <v/>
      </c>
      <c r="F148" s="7">
        <f>$B$10</f>
        <v/>
      </c>
      <c r="G148" s="7">
        <f>IF($B$5&gt;0,MIN(1*$B$7,$B$8*MAX(E148-F148,0)),0)</f>
        <v/>
      </c>
      <c r="H148" s="7">
        <f>MAX(E148-F148-G148,0)</f>
        <v/>
      </c>
      <c r="I148" s="7">
        <f>H148*$B$5</f>
        <v/>
      </c>
      <c r="J148" s="7">
        <f>G148*(1-$B$6)</f>
        <v/>
      </c>
      <c r="K148" s="7">
        <f>G148*$B$6</f>
        <v/>
      </c>
      <c r="L148" s="7">
        <f>L147+K148</f>
        <v/>
      </c>
      <c r="M148" s="7">
        <f>B148+E148-F148-I148-J148</f>
        <v/>
      </c>
      <c r="N148" s="7">
        <f>M148-L148</f>
        <v/>
      </c>
      <c r="O148" s="7">
        <f>G148*$B$5</f>
        <v/>
      </c>
      <c r="P148" s="7">
        <f>M148-(B148+E148-F148-I148-J148)</f>
        <v/>
      </c>
    </row>
    <row r="149" hidden="1" outlineLevel="1">
      <c r="A149" t="n">
        <v>4</v>
      </c>
      <c r="B149" s="7">
        <f>M148</f>
        <v/>
      </c>
      <c r="C149" s="7">
        <f>MIN(B149,$B$11)</f>
        <v/>
      </c>
      <c r="D149" s="7">
        <f>MAX(B149-C149,0)</f>
        <v/>
      </c>
      <c r="E149" s="7">
        <f>C149*$B$4+D149*$B$13</f>
        <v/>
      </c>
      <c r="F149" s="7">
        <f>$B$10</f>
        <v/>
      </c>
      <c r="G149" s="7">
        <f>IF($B$5&gt;0,MIN(1*$B$7,$B$8*MAX(E149-F149,0)),0)</f>
        <v/>
      </c>
      <c r="H149" s="7">
        <f>MAX(E149-F149-G149,0)</f>
        <v/>
      </c>
      <c r="I149" s="7">
        <f>H149*$B$5</f>
        <v/>
      </c>
      <c r="J149" s="7">
        <f>G149*(1-$B$6)</f>
        <v/>
      </c>
      <c r="K149" s="7">
        <f>G149*$B$6</f>
        <v/>
      </c>
      <c r="L149" s="7">
        <f>L148+K149</f>
        <v/>
      </c>
      <c r="M149" s="7">
        <f>B149+E149-F149-I149-J149</f>
        <v/>
      </c>
      <c r="N149" s="7">
        <f>M149-L149</f>
        <v/>
      </c>
      <c r="O149" s="7">
        <f>G149*$B$5</f>
        <v/>
      </c>
      <c r="P149" s="7">
        <f>M149-(B149+E149-F149-I149-J149)</f>
        <v/>
      </c>
    </row>
    <row r="150" hidden="1" outlineLevel="1">
      <c r="A150" t="n">
        <v>5</v>
      </c>
      <c r="B150" s="7">
        <f>M149</f>
        <v/>
      </c>
      <c r="C150" s="7">
        <f>MIN(B150,$B$11)</f>
        <v/>
      </c>
      <c r="D150" s="7">
        <f>MAX(B150-C150,0)</f>
        <v/>
      </c>
      <c r="E150" s="7">
        <f>C150*$B$4+D150*$B$13</f>
        <v/>
      </c>
      <c r="F150" s="7">
        <f>$B$10</f>
        <v/>
      </c>
      <c r="G150" s="7">
        <f>IF($B$5&gt;0,MIN(1*$B$7,$B$8*MAX(E150-F150,0)),0)</f>
        <v/>
      </c>
      <c r="H150" s="7">
        <f>MAX(E150-F150-G150,0)</f>
        <v/>
      </c>
      <c r="I150" s="7">
        <f>H150*$B$5</f>
        <v/>
      </c>
      <c r="J150" s="7">
        <f>G150*(1-$B$6)</f>
        <v/>
      </c>
      <c r="K150" s="7">
        <f>G150*$B$6</f>
        <v/>
      </c>
      <c r="L150" s="7">
        <f>L149+K150</f>
        <v/>
      </c>
      <c r="M150" s="7">
        <f>B150+E150-F150-I150-J150</f>
        <v/>
      </c>
      <c r="N150" s="7">
        <f>M150-L150</f>
        <v/>
      </c>
      <c r="O150" s="7">
        <f>G150*$B$5</f>
        <v/>
      </c>
      <c r="P150" s="7">
        <f>M150-(B150+E150-F150-I150-J150)</f>
        <v/>
      </c>
    </row>
    <row r="151" hidden="1" outlineLevel="1">
      <c r="A151" t="n">
        <v>6</v>
      </c>
      <c r="B151" s="7">
        <f>M150</f>
        <v/>
      </c>
      <c r="C151" s="7">
        <f>MIN(B151,$B$11)</f>
        <v/>
      </c>
      <c r="D151" s="7">
        <f>MAX(B151-C151,0)</f>
        <v/>
      </c>
      <c r="E151" s="7">
        <f>C151*$B$4+D151*$B$13</f>
        <v/>
      </c>
      <c r="F151" s="7">
        <f>$B$10</f>
        <v/>
      </c>
      <c r="G151" s="7">
        <f>IF($B$5&gt;0,MIN(1*$B$7,$B$8*MAX(E151-F151,0)),0)</f>
        <v/>
      </c>
      <c r="H151" s="7">
        <f>MAX(E151-F151-G151,0)</f>
        <v/>
      </c>
      <c r="I151" s="7">
        <f>H151*$B$5</f>
        <v/>
      </c>
      <c r="J151" s="7">
        <f>G151*(1-$B$6)</f>
        <v/>
      </c>
      <c r="K151" s="7">
        <f>G151*$B$6</f>
        <v/>
      </c>
      <c r="L151" s="7">
        <f>L150+K151</f>
        <v/>
      </c>
      <c r="M151" s="7">
        <f>B151+E151-F151-I151-J151</f>
        <v/>
      </c>
      <c r="N151" s="7">
        <f>M151-L151</f>
        <v/>
      </c>
      <c r="O151" s="7">
        <f>G151*$B$5</f>
        <v/>
      </c>
      <c r="P151" s="7">
        <f>M151-(B151+E151-F151-I151-J151)</f>
        <v/>
      </c>
    </row>
    <row r="152" hidden="1" outlineLevel="1">
      <c r="A152" t="n">
        <v>7</v>
      </c>
      <c r="B152" s="7">
        <f>M151</f>
        <v/>
      </c>
      <c r="C152" s="7">
        <f>MIN(B152,$B$11)</f>
        <v/>
      </c>
      <c r="D152" s="7">
        <f>MAX(B152-C152,0)</f>
        <v/>
      </c>
      <c r="E152" s="7">
        <f>C152*$B$4+D152*$B$13</f>
        <v/>
      </c>
      <c r="F152" s="7">
        <f>$B$10</f>
        <v/>
      </c>
      <c r="G152" s="7">
        <f>IF($B$5&gt;0,MIN(1*$B$7,$B$8*MAX(E152-F152,0)),0)</f>
        <v/>
      </c>
      <c r="H152" s="7">
        <f>MAX(E152-F152-G152,0)</f>
        <v/>
      </c>
      <c r="I152" s="7">
        <f>H152*$B$5</f>
        <v/>
      </c>
      <c r="J152" s="7">
        <f>G152*(1-$B$6)</f>
        <v/>
      </c>
      <c r="K152" s="7">
        <f>G152*$B$6</f>
        <v/>
      </c>
      <c r="L152" s="7">
        <f>L151+K152</f>
        <v/>
      </c>
      <c r="M152" s="7">
        <f>B152+E152-F152-I152-J152</f>
        <v/>
      </c>
      <c r="N152" s="7">
        <f>M152-L152</f>
        <v/>
      </c>
      <c r="O152" s="7">
        <f>G152*$B$5</f>
        <v/>
      </c>
      <c r="P152" s="7">
        <f>M152-(B152+E152-F152-I152-J152)</f>
        <v/>
      </c>
    </row>
    <row r="153" hidden="1" outlineLevel="1">
      <c r="A153" t="n">
        <v>8</v>
      </c>
      <c r="B153" s="7">
        <f>M152</f>
        <v/>
      </c>
      <c r="C153" s="7">
        <f>MIN(B153,$B$11)</f>
        <v/>
      </c>
      <c r="D153" s="7">
        <f>MAX(B153-C153,0)</f>
        <v/>
      </c>
      <c r="E153" s="7">
        <f>C153*$B$4+D153*$B$13</f>
        <v/>
      </c>
      <c r="F153" s="7">
        <f>$B$10</f>
        <v/>
      </c>
      <c r="G153" s="7">
        <f>IF($B$5&gt;0,MIN(1*$B$7,$B$8*MAX(E153-F153,0)),0)</f>
        <v/>
      </c>
      <c r="H153" s="7">
        <f>MAX(E153-F153-G153,0)</f>
        <v/>
      </c>
      <c r="I153" s="7">
        <f>H153*$B$5</f>
        <v/>
      </c>
      <c r="J153" s="7">
        <f>G153*(1-$B$6)</f>
        <v/>
      </c>
      <c r="K153" s="7">
        <f>G153*$B$6</f>
        <v/>
      </c>
      <c r="L153" s="7">
        <f>L152+K153</f>
        <v/>
      </c>
      <c r="M153" s="7">
        <f>B153+E153-F153-I153-J153</f>
        <v/>
      </c>
      <c r="N153" s="7">
        <f>M153-L153</f>
        <v/>
      </c>
      <c r="O153" s="7">
        <f>G153*$B$5</f>
        <v/>
      </c>
      <c r="P153" s="7">
        <f>M153-(B153+E153-F153-I153-J153)</f>
        <v/>
      </c>
    </row>
    <row r="154" hidden="1" outlineLevel="1">
      <c r="A154" t="n">
        <v>9</v>
      </c>
      <c r="B154" s="7">
        <f>M153</f>
        <v/>
      </c>
      <c r="C154" s="7">
        <f>MIN(B154,$B$11)</f>
        <v/>
      </c>
      <c r="D154" s="7">
        <f>MAX(B154-C154,0)</f>
        <v/>
      </c>
      <c r="E154" s="7">
        <f>C154*$B$4+D154*$B$13</f>
        <v/>
      </c>
      <c r="F154" s="7">
        <f>$B$10</f>
        <v/>
      </c>
      <c r="G154" s="7">
        <f>IF($B$5&gt;0,MIN(1*$B$7,$B$8*MAX(E154-F154,0)),0)</f>
        <v/>
      </c>
      <c r="H154" s="7">
        <f>MAX(E154-F154-G154,0)</f>
        <v/>
      </c>
      <c r="I154" s="7">
        <f>H154*$B$5</f>
        <v/>
      </c>
      <c r="J154" s="7">
        <f>G154*(1-$B$6)</f>
        <v/>
      </c>
      <c r="K154" s="7">
        <f>G154*$B$6</f>
        <v/>
      </c>
      <c r="L154" s="7">
        <f>L153+K154</f>
        <v/>
      </c>
      <c r="M154" s="7">
        <f>B154+E154-F154-I154-J154</f>
        <v/>
      </c>
      <c r="N154" s="7">
        <f>M154-L154</f>
        <v/>
      </c>
      <c r="O154" s="7">
        <f>G154*$B$5</f>
        <v/>
      </c>
      <c r="P154" s="7">
        <f>M154-(B154+E154-F154-I154-J154)</f>
        <v/>
      </c>
    </row>
    <row r="155" hidden="1" outlineLevel="1">
      <c r="A155" t="n">
        <v>10</v>
      </c>
      <c r="B155" s="7">
        <f>M154</f>
        <v/>
      </c>
      <c r="C155" s="7">
        <f>MIN(B155,$B$11)</f>
        <v/>
      </c>
      <c r="D155" s="7">
        <f>MAX(B155-C155,0)</f>
        <v/>
      </c>
      <c r="E155" s="7">
        <f>C155*$B$4+D155*$B$13</f>
        <v/>
      </c>
      <c r="F155" s="7">
        <f>$B$10</f>
        <v/>
      </c>
      <c r="G155" s="7">
        <f>IF($B$5&gt;0,MIN(1*$B$7,$B$8*MAX(E155-F155,0)),0)</f>
        <v/>
      </c>
      <c r="H155" s="7">
        <f>MAX(E155-F155-G155,0)</f>
        <v/>
      </c>
      <c r="I155" s="7">
        <f>H155*$B$5</f>
        <v/>
      </c>
      <c r="J155" s="7">
        <f>G155*(1-$B$6)</f>
        <v/>
      </c>
      <c r="K155" s="7">
        <f>G155*$B$6</f>
        <v/>
      </c>
      <c r="L155" s="7">
        <f>L154+K155</f>
        <v/>
      </c>
      <c r="M155" s="7">
        <f>B155+E155-F155-I155-J155</f>
        <v/>
      </c>
      <c r="N155" s="7">
        <f>M155-L155</f>
        <v/>
      </c>
      <c r="O155" s="7">
        <f>G155*$B$5</f>
        <v/>
      </c>
      <c r="P155" s="7">
        <f>M155-(B155+E155-F155-I155-J155)</f>
        <v/>
      </c>
    </row>
    <row r="156" hidden="1" outlineLevel="1">
      <c r="A156" t="n">
        <v>11</v>
      </c>
      <c r="B156" s="7">
        <f>M155</f>
        <v/>
      </c>
      <c r="C156" s="7">
        <f>MIN(B156,$B$11)</f>
        <v/>
      </c>
      <c r="D156" s="7">
        <f>MAX(B156-C156,0)</f>
        <v/>
      </c>
      <c r="E156" s="7">
        <f>C156*$B$4+D156*$B$13</f>
        <v/>
      </c>
      <c r="F156" s="7">
        <f>$B$10</f>
        <v/>
      </c>
      <c r="G156" s="7">
        <f>IF($B$5&gt;0,MIN(1*$B$7,$B$8*MAX(E156-F156,0)),0)</f>
        <v/>
      </c>
      <c r="H156" s="7">
        <f>MAX(E156-F156-G156,0)</f>
        <v/>
      </c>
      <c r="I156" s="7">
        <f>H156*$B$5</f>
        <v/>
      </c>
      <c r="J156" s="7">
        <f>G156*(1-$B$6)</f>
        <v/>
      </c>
      <c r="K156" s="7">
        <f>G156*$B$6</f>
        <v/>
      </c>
      <c r="L156" s="7">
        <f>L155+K156</f>
        <v/>
      </c>
      <c r="M156" s="7">
        <f>B156+E156-F156-I156-J156</f>
        <v/>
      </c>
      <c r="N156" s="7">
        <f>M156-L156</f>
        <v/>
      </c>
      <c r="O156" s="7">
        <f>G156*$B$5</f>
        <v/>
      </c>
      <c r="P156" s="7">
        <f>M156-(B156+E156-F156-I156-J156)</f>
        <v/>
      </c>
    </row>
    <row r="157" hidden="1" outlineLevel="1">
      <c r="A157" t="n">
        <v>12</v>
      </c>
      <c r="B157" s="7">
        <f>M156</f>
        <v/>
      </c>
      <c r="C157" s="7">
        <f>MIN(B157,$B$11)</f>
        <v/>
      </c>
      <c r="D157" s="7">
        <f>MAX(B157-C157,0)</f>
        <v/>
      </c>
      <c r="E157" s="7">
        <f>C157*$B$4+D157*$B$13</f>
        <v/>
      </c>
      <c r="F157" s="7">
        <f>$B$10</f>
        <v/>
      </c>
      <c r="G157" s="7">
        <f>IF($B$5&gt;0,MIN(1*$B$7,$B$8*MAX(E157-F157,0)),0)</f>
        <v/>
      </c>
      <c r="H157" s="7">
        <f>MAX(E157-F157-G157,0)</f>
        <v/>
      </c>
      <c r="I157" s="7">
        <f>H157*$B$5</f>
        <v/>
      </c>
      <c r="J157" s="7">
        <f>G157*(1-$B$6)</f>
        <v/>
      </c>
      <c r="K157" s="7">
        <f>G157*$B$6</f>
        <v/>
      </c>
      <c r="L157" s="7">
        <f>L156+K157</f>
        <v/>
      </c>
      <c r="M157" s="7">
        <f>B157+E157-F157-I157-J157</f>
        <v/>
      </c>
      <c r="N157" s="7">
        <f>M157-L157</f>
        <v/>
      </c>
      <c r="O157" s="7">
        <f>G157*$B$5</f>
        <v/>
      </c>
      <c r="P157" s="7">
        <f>M157-(B157+E157-F157-I157-J157)</f>
        <v/>
      </c>
    </row>
    <row r="158" hidden="1" outlineLevel="1">
      <c r="A158" t="n">
        <v>13</v>
      </c>
      <c r="B158" s="7">
        <f>M157</f>
        <v/>
      </c>
      <c r="C158" s="7">
        <f>MIN(B158,$B$11)</f>
        <v/>
      </c>
      <c r="D158" s="7">
        <f>MAX(B158-C158,0)</f>
        <v/>
      </c>
      <c r="E158" s="7">
        <f>C158*$B$4+D158*$B$13</f>
        <v/>
      </c>
      <c r="F158" s="7">
        <f>$B$10</f>
        <v/>
      </c>
      <c r="G158" s="7">
        <f>IF($B$5&gt;0,MIN(1*$B$7,$B$8*MAX(E158-F158,0)),0)</f>
        <v/>
      </c>
      <c r="H158" s="7">
        <f>MAX(E158-F158-G158,0)</f>
        <v/>
      </c>
      <c r="I158" s="7">
        <f>H158*$B$5</f>
        <v/>
      </c>
      <c r="J158" s="7">
        <f>G158*(1-$B$6)</f>
        <v/>
      </c>
      <c r="K158" s="7">
        <f>G158*$B$6</f>
        <v/>
      </c>
      <c r="L158" s="7">
        <f>L157+K158</f>
        <v/>
      </c>
      <c r="M158" s="7">
        <f>B158+E158-F158-I158-J158</f>
        <v/>
      </c>
      <c r="N158" s="7">
        <f>M158-L158</f>
        <v/>
      </c>
      <c r="O158" s="7">
        <f>G158*$B$5</f>
        <v/>
      </c>
      <c r="P158" s="7">
        <f>M158-(B158+E158-F158-I158-J158)</f>
        <v/>
      </c>
    </row>
    <row r="159" hidden="1" outlineLevel="1">
      <c r="A159" t="n">
        <v>14</v>
      </c>
      <c r="B159" s="7">
        <f>M158</f>
        <v/>
      </c>
      <c r="C159" s="7">
        <f>MIN(B159,$B$11)</f>
        <v/>
      </c>
      <c r="D159" s="7">
        <f>MAX(B159-C159,0)</f>
        <v/>
      </c>
      <c r="E159" s="7">
        <f>C159*$B$4+D159*$B$13</f>
        <v/>
      </c>
      <c r="F159" s="7">
        <f>$B$10</f>
        <v/>
      </c>
      <c r="G159" s="7">
        <f>IF($B$5&gt;0,MIN(1*$B$7,$B$8*MAX(E159-F159,0)),0)</f>
        <v/>
      </c>
      <c r="H159" s="7">
        <f>MAX(E159-F159-G159,0)</f>
        <v/>
      </c>
      <c r="I159" s="7">
        <f>H159*$B$5</f>
        <v/>
      </c>
      <c r="J159" s="7">
        <f>G159*(1-$B$6)</f>
        <v/>
      </c>
      <c r="K159" s="7">
        <f>G159*$B$6</f>
        <v/>
      </c>
      <c r="L159" s="7">
        <f>L158+K159</f>
        <v/>
      </c>
      <c r="M159" s="7">
        <f>B159+E159-F159-I159-J159</f>
        <v/>
      </c>
      <c r="N159" s="7">
        <f>M159-L159</f>
        <v/>
      </c>
      <c r="O159" s="7">
        <f>G159*$B$5</f>
        <v/>
      </c>
      <c r="P159" s="7">
        <f>M159-(B159+E159-F159-I159-J159)</f>
        <v/>
      </c>
    </row>
    <row r="160" hidden="1" outlineLevel="1">
      <c r="A160" t="n">
        <v>15</v>
      </c>
      <c r="B160" s="7">
        <f>M159</f>
        <v/>
      </c>
      <c r="C160" s="7">
        <f>MIN(B160,$B$11)</f>
        <v/>
      </c>
      <c r="D160" s="7">
        <f>MAX(B160-C160,0)</f>
        <v/>
      </c>
      <c r="E160" s="7">
        <f>C160*$B$4+D160*$B$13</f>
        <v/>
      </c>
      <c r="F160" s="7">
        <f>$B$10</f>
        <v/>
      </c>
      <c r="G160" s="7">
        <f>IF($B$5&gt;0,MIN(1*$B$7,$B$8*MAX(E160-F160,0)),0)</f>
        <v/>
      </c>
      <c r="H160" s="7">
        <f>MAX(E160-F160-G160,0)</f>
        <v/>
      </c>
      <c r="I160" s="7">
        <f>H160*$B$5</f>
        <v/>
      </c>
      <c r="J160" s="7">
        <f>G160*(1-$B$6)</f>
        <v/>
      </c>
      <c r="K160" s="7">
        <f>G160*$B$6</f>
        <v/>
      </c>
      <c r="L160" s="7">
        <f>L159+K160</f>
        <v/>
      </c>
      <c r="M160" s="7">
        <f>B160+E160-F160-I160-J160</f>
        <v/>
      </c>
      <c r="N160" s="7">
        <f>M160-L160</f>
        <v/>
      </c>
      <c r="O160" s="7">
        <f>G160*$B$5</f>
        <v/>
      </c>
      <c r="P160" s="7">
        <f>M160-(B160+E160-F160-I160-J160)</f>
        <v/>
      </c>
    </row>
    <row r="161" hidden="1" outlineLevel="1">
      <c r="A161" t="n">
        <v>16</v>
      </c>
      <c r="B161" s="7">
        <f>M160</f>
        <v/>
      </c>
      <c r="C161" s="7">
        <f>MIN(B161,$B$11)</f>
        <v/>
      </c>
      <c r="D161" s="7">
        <f>MAX(B161-C161,0)</f>
        <v/>
      </c>
      <c r="E161" s="7">
        <f>C161*$B$4+D161*$B$13</f>
        <v/>
      </c>
      <c r="F161" s="7">
        <f>$B$10</f>
        <v/>
      </c>
      <c r="G161" s="7">
        <f>IF($B$5&gt;0,MIN(1*$B$7,$B$8*MAX(E161-F161,0)),0)</f>
        <v/>
      </c>
      <c r="H161" s="7">
        <f>MAX(E161-F161-G161,0)</f>
        <v/>
      </c>
      <c r="I161" s="7">
        <f>H161*$B$5</f>
        <v/>
      </c>
      <c r="J161" s="7">
        <f>G161*(1-$B$6)</f>
        <v/>
      </c>
      <c r="K161" s="7">
        <f>G161*$B$6</f>
        <v/>
      </c>
      <c r="L161" s="7">
        <f>L160+K161</f>
        <v/>
      </c>
      <c r="M161" s="7">
        <f>B161+E161-F161-I161-J161</f>
        <v/>
      </c>
      <c r="N161" s="7">
        <f>M161-L161</f>
        <v/>
      </c>
      <c r="O161" s="7">
        <f>G161*$B$5</f>
        <v/>
      </c>
      <c r="P161" s="7">
        <f>M161-(B161+E161-F161-I161-J161)</f>
        <v/>
      </c>
    </row>
    <row r="162" hidden="1" outlineLevel="1">
      <c r="A162" t="n">
        <v>17</v>
      </c>
      <c r="B162" s="7">
        <f>M161</f>
        <v/>
      </c>
      <c r="C162" s="7">
        <f>MIN(B162,$B$11)</f>
        <v/>
      </c>
      <c r="D162" s="7">
        <f>MAX(B162-C162,0)</f>
        <v/>
      </c>
      <c r="E162" s="7">
        <f>C162*$B$4+D162*$B$13</f>
        <v/>
      </c>
      <c r="F162" s="7">
        <f>$B$10</f>
        <v/>
      </c>
      <c r="G162" s="7">
        <f>IF($B$5&gt;0,MIN(1*$B$7,$B$8*MAX(E162-F162,0)),0)</f>
        <v/>
      </c>
      <c r="H162" s="7">
        <f>MAX(E162-F162-G162,0)</f>
        <v/>
      </c>
      <c r="I162" s="7">
        <f>H162*$B$5</f>
        <v/>
      </c>
      <c r="J162" s="7">
        <f>G162*(1-$B$6)</f>
        <v/>
      </c>
      <c r="K162" s="7">
        <f>G162*$B$6</f>
        <v/>
      </c>
      <c r="L162" s="7">
        <f>L161+K162</f>
        <v/>
      </c>
      <c r="M162" s="7">
        <f>B162+E162-F162-I162-J162</f>
        <v/>
      </c>
      <c r="N162" s="7">
        <f>M162-L162</f>
        <v/>
      </c>
      <c r="O162" s="7">
        <f>G162*$B$5</f>
        <v/>
      </c>
      <c r="P162" s="7">
        <f>M162-(B162+E162-F162-I162-J162)</f>
        <v/>
      </c>
    </row>
    <row r="163" hidden="1" outlineLevel="1">
      <c r="A163" t="n">
        <v>18</v>
      </c>
      <c r="B163" s="7">
        <f>M162</f>
        <v/>
      </c>
      <c r="C163" s="7">
        <f>MIN(B163,$B$11)</f>
        <v/>
      </c>
      <c r="D163" s="7">
        <f>MAX(B163-C163,0)</f>
        <v/>
      </c>
      <c r="E163" s="7">
        <f>C163*$B$4+D163*$B$13</f>
        <v/>
      </c>
      <c r="F163" s="7">
        <f>$B$10</f>
        <v/>
      </c>
      <c r="G163" s="7">
        <f>IF($B$5&gt;0,MIN(1*$B$7,$B$8*MAX(E163-F163,0)),0)</f>
        <v/>
      </c>
      <c r="H163" s="7">
        <f>MAX(E163-F163-G163,0)</f>
        <v/>
      </c>
      <c r="I163" s="7">
        <f>H163*$B$5</f>
        <v/>
      </c>
      <c r="J163" s="7">
        <f>G163*(1-$B$6)</f>
        <v/>
      </c>
      <c r="K163" s="7">
        <f>G163*$B$6</f>
        <v/>
      </c>
      <c r="L163" s="7">
        <f>L162+K163</f>
        <v/>
      </c>
      <c r="M163" s="7">
        <f>B163+E163-F163-I163-J163</f>
        <v/>
      </c>
      <c r="N163" s="7">
        <f>M163-L163</f>
        <v/>
      </c>
      <c r="O163" s="7">
        <f>G163*$B$5</f>
        <v/>
      </c>
      <c r="P163" s="7">
        <f>M163-(B163+E163-F163-I163-J163)</f>
        <v/>
      </c>
    </row>
    <row r="164" hidden="1" outlineLevel="1">
      <c r="A164" t="n">
        <v>19</v>
      </c>
      <c r="B164" s="7">
        <f>M163</f>
        <v/>
      </c>
      <c r="C164" s="7">
        <f>MIN(B164,$B$11)</f>
        <v/>
      </c>
      <c r="D164" s="7">
        <f>MAX(B164-C164,0)</f>
        <v/>
      </c>
      <c r="E164" s="7">
        <f>C164*$B$4+D164*$B$13</f>
        <v/>
      </c>
      <c r="F164" s="7">
        <f>$B$10</f>
        <v/>
      </c>
      <c r="G164" s="7">
        <f>IF($B$5&gt;0,MIN(1*$B$7,$B$8*MAX(E164-F164,0)),0)</f>
        <v/>
      </c>
      <c r="H164" s="7">
        <f>MAX(E164-F164-G164,0)</f>
        <v/>
      </c>
      <c r="I164" s="7">
        <f>H164*$B$5</f>
        <v/>
      </c>
      <c r="J164" s="7">
        <f>G164*(1-$B$6)</f>
        <v/>
      </c>
      <c r="K164" s="7">
        <f>G164*$B$6</f>
        <v/>
      </c>
      <c r="L164" s="7">
        <f>L163+K164</f>
        <v/>
      </c>
      <c r="M164" s="7">
        <f>B164+E164-F164-I164-J164</f>
        <v/>
      </c>
      <c r="N164" s="7">
        <f>M164-L164</f>
        <v/>
      </c>
      <c r="O164" s="7">
        <f>G164*$B$5</f>
        <v/>
      </c>
      <c r="P164" s="7">
        <f>M164-(B164+E164-F164-I164-J164)</f>
        <v/>
      </c>
    </row>
    <row r="165" hidden="1" outlineLevel="1">
      <c r="A165" t="n">
        <v>20</v>
      </c>
      <c r="B165" s="7">
        <f>M164</f>
        <v/>
      </c>
      <c r="C165" s="7">
        <f>MIN(B165,$B$11)</f>
        <v/>
      </c>
      <c r="D165" s="7">
        <f>MAX(B165-C165,0)</f>
        <v/>
      </c>
      <c r="E165" s="7">
        <f>C165*$B$4+D165*$B$13</f>
        <v/>
      </c>
      <c r="F165" s="7">
        <f>$B$10</f>
        <v/>
      </c>
      <c r="G165" s="7">
        <f>IF($B$5&gt;0,MIN(1*$B$7,$B$8*MAX(E165-F165,0)),0)</f>
        <v/>
      </c>
      <c r="H165" s="7">
        <f>MAX(E165-F165-G165,0)</f>
        <v/>
      </c>
      <c r="I165" s="7">
        <f>H165*$B$5</f>
        <v/>
      </c>
      <c r="J165" s="7">
        <f>G165*(1-$B$6)</f>
        <v/>
      </c>
      <c r="K165" s="7">
        <f>G165*$B$6</f>
        <v/>
      </c>
      <c r="L165" s="7">
        <f>L164+K165</f>
        <v/>
      </c>
      <c r="M165" s="7">
        <f>B165+E165-F165-I165-J165</f>
        <v/>
      </c>
      <c r="N165" s="7">
        <f>M165-L165</f>
        <v/>
      </c>
      <c r="O165" s="7">
        <f>G165*$B$5</f>
        <v/>
      </c>
      <c r="P165" s="7">
        <f>M165-(B165+E165-F165-I165-J165)</f>
        <v/>
      </c>
    </row>
    <row r="166" hidden="1" outlineLevel="1">
      <c r="B166" s="7" t="n"/>
      <c r="C166" s="7" t="n"/>
      <c r="D166" s="7" t="n"/>
      <c r="E166" s="7" t="n"/>
      <c r="F166" s="7" t="n"/>
      <c r="G166" s="7" t="n"/>
      <c r="H166" s="7" t="n"/>
      <c r="I166" s="7" t="n"/>
      <c r="J166" s="7" t="n"/>
      <c r="K166" s="7" t="n"/>
      <c r="L166" s="7" t="n"/>
      <c r="M166" s="7" t="n"/>
      <c r="N166" s="7" t="n"/>
      <c r="O166" s="7" t="n"/>
      <c r="P166" s="7" t="n"/>
    </row>
    <row r="167" hidden="1" outlineLevel="1">
      <c r="B167" s="7" t="n"/>
      <c r="C167" s="7" t="n"/>
      <c r="D167" s="7" t="n"/>
      <c r="E167" s="7" t="n"/>
      <c r="F167" s="7" t="n"/>
      <c r="G167" s="7" t="n"/>
      <c r="H167" s="7" t="n"/>
      <c r="I167" s="7" t="n"/>
      <c r="J167" s="7" t="n"/>
      <c r="K167" s="7" t="n"/>
      <c r="L167" s="7" t="n"/>
      <c r="M167" s="7" t="n"/>
      <c r="N167" s="7" t="n"/>
      <c r="O167" s="7" t="n"/>
      <c r="P167" s="7" t="n"/>
    </row>
    <row r="168" hidden="1" outlineLevel="1">
      <c r="B168" s="7" t="n"/>
      <c r="C168" s="7" t="n"/>
      <c r="D168" s="7" t="n"/>
      <c r="E168" s="7" t="n"/>
      <c r="F168" s="7" t="n"/>
      <c r="G168" s="7" t="n"/>
      <c r="H168" s="7" t="n"/>
      <c r="I168" s="7" t="n"/>
      <c r="J168" s="7" t="n"/>
      <c r="K168" s="7" t="n"/>
      <c r="L168" s="7" t="n"/>
      <c r="M168" s="7" t="n"/>
      <c r="N168" s="7" t="n"/>
      <c r="O168" s="7" t="n"/>
      <c r="P168" s="7" t="n"/>
    </row>
    <row r="169" hidden="1" outlineLevel="1">
      <c r="B169" s="7" t="n"/>
      <c r="C169" s="7" t="n"/>
      <c r="D169" s="7" t="n"/>
      <c r="E169" s="7" t="n"/>
      <c r="F169" s="7" t="n"/>
      <c r="G169" s="7" t="n"/>
      <c r="H169" s="7" t="n"/>
      <c r="I169" s="7" t="n"/>
      <c r="J169" s="7" t="n"/>
      <c r="K169" s="7" t="n"/>
      <c r="L169" s="7" t="n"/>
      <c r="M169" s="7" t="n"/>
      <c r="N169" s="7" t="n"/>
      <c r="O169" s="7" t="n"/>
      <c r="P169" s="7" t="n"/>
    </row>
    <row r="170" hidden="1" outlineLevel="1">
      <c r="B170" s="7" t="n"/>
      <c r="C170" s="7" t="n"/>
      <c r="D170" s="7" t="n"/>
      <c r="E170" s="7" t="n"/>
      <c r="F170" s="7" t="n"/>
      <c r="G170" s="7" t="n"/>
      <c r="H170" s="7" t="n"/>
      <c r="I170" s="7" t="n"/>
      <c r="J170" s="7" t="n"/>
      <c r="K170" s="7" t="n"/>
      <c r="L170" s="7" t="n"/>
      <c r="M170" s="7" t="n"/>
      <c r="N170" s="7" t="n"/>
      <c r="O170" s="7" t="n"/>
      <c r="P170" s="7" t="n"/>
    </row>
    <row r="171" hidden="1" outlineLevel="1">
      <c r="B171" s="7" t="n"/>
      <c r="C171" s="7" t="n"/>
      <c r="D171" s="7" t="n"/>
      <c r="E171" s="7" t="n"/>
      <c r="F171" s="7" t="n"/>
      <c r="G171" s="7" t="n"/>
      <c r="H171" s="7" t="n"/>
      <c r="I171" s="7" t="n"/>
      <c r="J171" s="7" t="n"/>
      <c r="K171" s="7" t="n"/>
      <c r="L171" s="7" t="n"/>
      <c r="M171" s="7" t="n"/>
      <c r="N171" s="7" t="n"/>
      <c r="O171" s="7" t="n"/>
      <c r="P171" s="7" t="n"/>
    </row>
    <row r="172" hidden="1" outlineLevel="1">
      <c r="B172" s="7" t="n"/>
      <c r="C172" s="7" t="n"/>
      <c r="D172" s="7" t="n"/>
      <c r="E172" s="7" t="n"/>
      <c r="F172" s="7" t="n"/>
      <c r="G172" s="7" t="n"/>
      <c r="H172" s="7" t="n"/>
      <c r="I172" s="7" t="n"/>
      <c r="J172" s="7" t="n"/>
      <c r="K172" s="7" t="n"/>
      <c r="L172" s="7" t="n"/>
      <c r="M172" s="7" t="n"/>
      <c r="N172" s="7" t="n"/>
      <c r="O172" s="7" t="n"/>
      <c r="P172" s="7" t="n"/>
    </row>
    <row r="173" hidden="1" outlineLevel="1">
      <c r="A173" t="inlineStr">
        <is>
          <t>Company + 2</t>
        </is>
      </c>
      <c r="B173" s="7" t="n"/>
      <c r="C173" s="7" t="n"/>
      <c r="D173" s="7" t="n"/>
      <c r="E173" s="7" t="n"/>
      <c r="F173" s="7" t="n"/>
      <c r="G173" s="7" t="n"/>
      <c r="H173" s="7" t="n"/>
      <c r="I173" s="7" t="n"/>
      <c r="J173" s="7" t="n"/>
      <c r="K173" s="7" t="n"/>
      <c r="L173" s="7" t="n"/>
      <c r="M173" s="7" t="n"/>
      <c r="N173" s="7" t="n"/>
      <c r="O173" s="7" t="n"/>
      <c r="P173" s="7" t="n"/>
    </row>
    <row r="174" hidden="1" outlineLevel="1" ht="40" customHeight="1">
      <c r="A174" s="4" t="inlineStr">
        <is>
          <t>Year</t>
        </is>
      </c>
      <c r="B174" s="8" t="inlineStr">
        <is>
          <t>Opening</t>
        </is>
      </c>
      <c r="C174" s="8" t="inlineStr">
        <is>
          <t>Deployed</t>
        </is>
      </c>
      <c r="D174" s="8" t="inlineStr">
        <is>
          <t>Idle</t>
        </is>
      </c>
      <c r="E174" s="8" t="inlineStr">
        <is>
          <t>Profit</t>
        </is>
      </c>
      <c r="F174" s="8" t="inlineStr">
        <is>
          <t>Overhead</t>
        </is>
      </c>
      <c r="G174" s="8" t="inlineStr">
        <is>
          <t>Salary paid</t>
        </is>
      </c>
      <c r="H174" s="8" t="inlineStr">
        <is>
          <t>Taxable profit</t>
        </is>
      </c>
      <c r="I174" s="8" t="inlineStr">
        <is>
          <t>Income tax</t>
        </is>
      </c>
      <c r="J174" s="8" t="inlineStr">
        <is>
          <t>Not lent back</t>
        </is>
      </c>
      <c r="K174" s="8" t="inlineStr">
        <is>
          <t>New payroll loan</t>
        </is>
      </c>
      <c r="L174" s="8" t="inlineStr">
        <is>
          <t>Loans outstanding</t>
        </is>
      </c>
      <c r="M174" s="8" t="inlineStr">
        <is>
          <t>Closing trading capital</t>
        </is>
      </c>
      <c r="N174" s="8" t="inlineStr">
        <is>
          <t>Closing less payroll debt</t>
        </is>
      </c>
      <c r="O174" s="8" t="inlineStr">
        <is>
          <t>Payroll deduction tax saving</t>
        </is>
      </c>
      <c r="P174" s="8" t="inlineStr">
        <is>
          <t>Check = 0</t>
        </is>
      </c>
    </row>
    <row r="175" hidden="1" outlineLevel="1">
      <c r="A175" t="n">
        <v>0</v>
      </c>
      <c r="B175" s="7">
        <f>$B$3</f>
        <v/>
      </c>
      <c r="C175" s="7" t="n">
        <v>0</v>
      </c>
      <c r="D175" s="7" t="n">
        <v>0</v>
      </c>
      <c r="E175" s="7" t="n">
        <v>0</v>
      </c>
      <c r="F175" s="7" t="n">
        <v>0</v>
      </c>
      <c r="G175" s="7" t="n">
        <v>0</v>
      </c>
      <c r="H175" s="7" t="n">
        <v>0</v>
      </c>
      <c r="I175" s="7" t="n">
        <v>0</v>
      </c>
      <c r="J175" s="7" t="n">
        <v>0</v>
      </c>
      <c r="K175" s="7" t="n">
        <v>0</v>
      </c>
      <c r="L175" s="7" t="n">
        <v>0</v>
      </c>
      <c r="M175" s="7">
        <f>$B$3</f>
        <v/>
      </c>
      <c r="N175" s="7">
        <f>$B$3</f>
        <v/>
      </c>
      <c r="O175" s="7" t="n">
        <v>0</v>
      </c>
      <c r="P175" s="7" t="n">
        <v>0</v>
      </c>
    </row>
    <row r="176" hidden="1" outlineLevel="1">
      <c r="A176" t="n">
        <v>1</v>
      </c>
      <c r="B176" s="7">
        <f>M175</f>
        <v/>
      </c>
      <c r="C176" s="7">
        <f>MIN(B176,$B$11)</f>
        <v/>
      </c>
      <c r="D176" s="7">
        <f>MAX(B176-C176,0)</f>
        <v/>
      </c>
      <c r="E176" s="7">
        <f>C176*$B$4+D176*$B$13</f>
        <v/>
      </c>
      <c r="F176" s="7">
        <f>$B$10</f>
        <v/>
      </c>
      <c r="G176" s="7">
        <f>IF($B$5&gt;0,MIN(2*$B$7,$B$8*MAX(E176-F176,0)),0)</f>
        <v/>
      </c>
      <c r="H176" s="7">
        <f>MAX(E176-F176-G176,0)</f>
        <v/>
      </c>
      <c r="I176" s="7">
        <f>H176*$B$5</f>
        <v/>
      </c>
      <c r="J176" s="7">
        <f>G176*(1-$B$6)</f>
        <v/>
      </c>
      <c r="K176" s="7">
        <f>G176*$B$6</f>
        <v/>
      </c>
      <c r="L176" s="7">
        <f>L175+K176</f>
        <v/>
      </c>
      <c r="M176" s="7">
        <f>B176+E176-F176-I176-J176</f>
        <v/>
      </c>
      <c r="N176" s="7">
        <f>M176-L176</f>
        <v/>
      </c>
      <c r="O176" s="7">
        <f>G176*$B$5</f>
        <v/>
      </c>
      <c r="P176" s="7">
        <f>M176-(B176+E176-F176-I176-J176)</f>
        <v/>
      </c>
    </row>
    <row r="177" hidden="1" outlineLevel="1">
      <c r="A177" t="n">
        <v>2</v>
      </c>
      <c r="B177" s="7">
        <f>M176</f>
        <v/>
      </c>
      <c r="C177" s="7">
        <f>MIN(B177,$B$11)</f>
        <v/>
      </c>
      <c r="D177" s="7">
        <f>MAX(B177-C177,0)</f>
        <v/>
      </c>
      <c r="E177" s="7">
        <f>C177*$B$4+D177*$B$13</f>
        <v/>
      </c>
      <c r="F177" s="7">
        <f>$B$10</f>
        <v/>
      </c>
      <c r="G177" s="7">
        <f>IF($B$5&gt;0,MIN(2*$B$7,$B$8*MAX(E177-F177,0)),0)</f>
        <v/>
      </c>
      <c r="H177" s="7">
        <f>MAX(E177-F177-G177,0)</f>
        <v/>
      </c>
      <c r="I177" s="7">
        <f>H177*$B$5</f>
        <v/>
      </c>
      <c r="J177" s="7">
        <f>G177*(1-$B$6)</f>
        <v/>
      </c>
      <c r="K177" s="7">
        <f>G177*$B$6</f>
        <v/>
      </c>
      <c r="L177" s="7">
        <f>L176+K177</f>
        <v/>
      </c>
      <c r="M177" s="7">
        <f>B177+E177-F177-I177-J177</f>
        <v/>
      </c>
      <c r="N177" s="7">
        <f>M177-L177</f>
        <v/>
      </c>
      <c r="O177" s="7">
        <f>G177*$B$5</f>
        <v/>
      </c>
      <c r="P177" s="7">
        <f>M177-(B177+E177-F177-I177-J177)</f>
        <v/>
      </c>
    </row>
    <row r="178" hidden="1" outlineLevel="1">
      <c r="A178" t="n">
        <v>3</v>
      </c>
      <c r="B178" s="7">
        <f>M177</f>
        <v/>
      </c>
      <c r="C178" s="7">
        <f>MIN(B178,$B$11)</f>
        <v/>
      </c>
      <c r="D178" s="7">
        <f>MAX(B178-C178,0)</f>
        <v/>
      </c>
      <c r="E178" s="7">
        <f>C178*$B$4+D178*$B$13</f>
        <v/>
      </c>
      <c r="F178" s="7">
        <f>$B$10</f>
        <v/>
      </c>
      <c r="G178" s="7">
        <f>IF($B$5&gt;0,MIN(2*$B$7,$B$8*MAX(E178-F178,0)),0)</f>
        <v/>
      </c>
      <c r="H178" s="7">
        <f>MAX(E178-F178-G178,0)</f>
        <v/>
      </c>
      <c r="I178" s="7">
        <f>H178*$B$5</f>
        <v/>
      </c>
      <c r="J178" s="7">
        <f>G178*(1-$B$6)</f>
        <v/>
      </c>
      <c r="K178" s="7">
        <f>G178*$B$6</f>
        <v/>
      </c>
      <c r="L178" s="7">
        <f>L177+K178</f>
        <v/>
      </c>
      <c r="M178" s="7">
        <f>B178+E178-F178-I178-J178</f>
        <v/>
      </c>
      <c r="N178" s="7">
        <f>M178-L178</f>
        <v/>
      </c>
      <c r="O178" s="7">
        <f>G178*$B$5</f>
        <v/>
      </c>
      <c r="P178" s="7">
        <f>M178-(B178+E178-F178-I178-J178)</f>
        <v/>
      </c>
    </row>
    <row r="179" hidden="1" outlineLevel="1">
      <c r="A179" t="n">
        <v>4</v>
      </c>
      <c r="B179" s="7">
        <f>M178</f>
        <v/>
      </c>
      <c r="C179" s="7">
        <f>MIN(B179,$B$11)</f>
        <v/>
      </c>
      <c r="D179" s="7">
        <f>MAX(B179-C179,0)</f>
        <v/>
      </c>
      <c r="E179" s="7">
        <f>C179*$B$4+D179*$B$13</f>
        <v/>
      </c>
      <c r="F179" s="7">
        <f>$B$10</f>
        <v/>
      </c>
      <c r="G179" s="7">
        <f>IF($B$5&gt;0,MIN(2*$B$7,$B$8*MAX(E179-F179,0)),0)</f>
        <v/>
      </c>
      <c r="H179" s="7">
        <f>MAX(E179-F179-G179,0)</f>
        <v/>
      </c>
      <c r="I179" s="7">
        <f>H179*$B$5</f>
        <v/>
      </c>
      <c r="J179" s="7">
        <f>G179*(1-$B$6)</f>
        <v/>
      </c>
      <c r="K179" s="7">
        <f>G179*$B$6</f>
        <v/>
      </c>
      <c r="L179" s="7">
        <f>L178+K179</f>
        <v/>
      </c>
      <c r="M179" s="7">
        <f>B179+E179-F179-I179-J179</f>
        <v/>
      </c>
      <c r="N179" s="7">
        <f>M179-L179</f>
        <v/>
      </c>
      <c r="O179" s="7">
        <f>G179*$B$5</f>
        <v/>
      </c>
      <c r="P179" s="7">
        <f>M179-(B179+E179-F179-I179-J179)</f>
        <v/>
      </c>
    </row>
    <row r="180" hidden="1" outlineLevel="1">
      <c r="A180" t="n">
        <v>5</v>
      </c>
      <c r="B180" s="7">
        <f>M179</f>
        <v/>
      </c>
      <c r="C180" s="7">
        <f>MIN(B180,$B$11)</f>
        <v/>
      </c>
      <c r="D180" s="7">
        <f>MAX(B180-C180,0)</f>
        <v/>
      </c>
      <c r="E180" s="7">
        <f>C180*$B$4+D180*$B$13</f>
        <v/>
      </c>
      <c r="F180" s="7">
        <f>$B$10</f>
        <v/>
      </c>
      <c r="G180" s="7">
        <f>IF($B$5&gt;0,MIN(2*$B$7,$B$8*MAX(E180-F180,0)),0)</f>
        <v/>
      </c>
      <c r="H180" s="7">
        <f>MAX(E180-F180-G180,0)</f>
        <v/>
      </c>
      <c r="I180" s="7">
        <f>H180*$B$5</f>
        <v/>
      </c>
      <c r="J180" s="7">
        <f>G180*(1-$B$6)</f>
        <v/>
      </c>
      <c r="K180" s="7">
        <f>G180*$B$6</f>
        <v/>
      </c>
      <c r="L180" s="7">
        <f>L179+K180</f>
        <v/>
      </c>
      <c r="M180" s="7">
        <f>B180+E180-F180-I180-J180</f>
        <v/>
      </c>
      <c r="N180" s="7">
        <f>M180-L180</f>
        <v/>
      </c>
      <c r="O180" s="7">
        <f>G180*$B$5</f>
        <v/>
      </c>
      <c r="P180" s="7">
        <f>M180-(B180+E180-F180-I180-J180)</f>
        <v/>
      </c>
    </row>
    <row r="181" hidden="1" outlineLevel="1">
      <c r="A181" t="n">
        <v>6</v>
      </c>
      <c r="B181" s="7">
        <f>M180</f>
        <v/>
      </c>
      <c r="C181" s="7">
        <f>MIN(B181,$B$11)</f>
        <v/>
      </c>
      <c r="D181" s="7">
        <f>MAX(B181-C181,0)</f>
        <v/>
      </c>
      <c r="E181" s="7">
        <f>C181*$B$4+D181*$B$13</f>
        <v/>
      </c>
      <c r="F181" s="7">
        <f>$B$10</f>
        <v/>
      </c>
      <c r="G181" s="7">
        <f>IF($B$5&gt;0,MIN(2*$B$7,$B$8*MAX(E181-F181,0)),0)</f>
        <v/>
      </c>
      <c r="H181" s="7">
        <f>MAX(E181-F181-G181,0)</f>
        <v/>
      </c>
      <c r="I181" s="7">
        <f>H181*$B$5</f>
        <v/>
      </c>
      <c r="J181" s="7">
        <f>G181*(1-$B$6)</f>
        <v/>
      </c>
      <c r="K181" s="7">
        <f>G181*$B$6</f>
        <v/>
      </c>
      <c r="L181" s="7">
        <f>L180+K181</f>
        <v/>
      </c>
      <c r="M181" s="7">
        <f>B181+E181-F181-I181-J181</f>
        <v/>
      </c>
      <c r="N181" s="7">
        <f>M181-L181</f>
        <v/>
      </c>
      <c r="O181" s="7">
        <f>G181*$B$5</f>
        <v/>
      </c>
      <c r="P181" s="7">
        <f>M181-(B181+E181-F181-I181-J181)</f>
        <v/>
      </c>
    </row>
    <row r="182" hidden="1" outlineLevel="1">
      <c r="A182" t="n">
        <v>7</v>
      </c>
      <c r="B182" s="7">
        <f>M181</f>
        <v/>
      </c>
      <c r="C182" s="7">
        <f>MIN(B182,$B$11)</f>
        <v/>
      </c>
      <c r="D182" s="7">
        <f>MAX(B182-C182,0)</f>
        <v/>
      </c>
      <c r="E182" s="7">
        <f>C182*$B$4+D182*$B$13</f>
        <v/>
      </c>
      <c r="F182" s="7">
        <f>$B$10</f>
        <v/>
      </c>
      <c r="G182" s="7">
        <f>IF($B$5&gt;0,MIN(2*$B$7,$B$8*MAX(E182-F182,0)),0)</f>
        <v/>
      </c>
      <c r="H182" s="7">
        <f>MAX(E182-F182-G182,0)</f>
        <v/>
      </c>
      <c r="I182" s="7">
        <f>H182*$B$5</f>
        <v/>
      </c>
      <c r="J182" s="7">
        <f>G182*(1-$B$6)</f>
        <v/>
      </c>
      <c r="K182" s="7">
        <f>G182*$B$6</f>
        <v/>
      </c>
      <c r="L182" s="7">
        <f>L181+K182</f>
        <v/>
      </c>
      <c r="M182" s="7">
        <f>B182+E182-F182-I182-J182</f>
        <v/>
      </c>
      <c r="N182" s="7">
        <f>M182-L182</f>
        <v/>
      </c>
      <c r="O182" s="7">
        <f>G182*$B$5</f>
        <v/>
      </c>
      <c r="P182" s="7">
        <f>M182-(B182+E182-F182-I182-J182)</f>
        <v/>
      </c>
    </row>
    <row r="183" hidden="1" outlineLevel="1">
      <c r="A183" t="n">
        <v>8</v>
      </c>
      <c r="B183" s="7">
        <f>M182</f>
        <v/>
      </c>
      <c r="C183" s="7">
        <f>MIN(B183,$B$11)</f>
        <v/>
      </c>
      <c r="D183" s="7">
        <f>MAX(B183-C183,0)</f>
        <v/>
      </c>
      <c r="E183" s="7">
        <f>C183*$B$4+D183*$B$13</f>
        <v/>
      </c>
      <c r="F183" s="7">
        <f>$B$10</f>
        <v/>
      </c>
      <c r="G183" s="7">
        <f>IF($B$5&gt;0,MIN(2*$B$7,$B$8*MAX(E183-F183,0)),0)</f>
        <v/>
      </c>
      <c r="H183" s="7">
        <f>MAX(E183-F183-G183,0)</f>
        <v/>
      </c>
      <c r="I183" s="7">
        <f>H183*$B$5</f>
        <v/>
      </c>
      <c r="J183" s="7">
        <f>G183*(1-$B$6)</f>
        <v/>
      </c>
      <c r="K183" s="7">
        <f>G183*$B$6</f>
        <v/>
      </c>
      <c r="L183" s="7">
        <f>L182+K183</f>
        <v/>
      </c>
      <c r="M183" s="7">
        <f>B183+E183-F183-I183-J183</f>
        <v/>
      </c>
      <c r="N183" s="7">
        <f>M183-L183</f>
        <v/>
      </c>
      <c r="O183" s="7">
        <f>G183*$B$5</f>
        <v/>
      </c>
      <c r="P183" s="7">
        <f>M183-(B183+E183-F183-I183-J183)</f>
        <v/>
      </c>
    </row>
    <row r="184" hidden="1" outlineLevel="1">
      <c r="A184" t="n">
        <v>9</v>
      </c>
      <c r="B184" s="7">
        <f>M183</f>
        <v/>
      </c>
      <c r="C184" s="7">
        <f>MIN(B184,$B$11)</f>
        <v/>
      </c>
      <c r="D184" s="7">
        <f>MAX(B184-C184,0)</f>
        <v/>
      </c>
      <c r="E184" s="7">
        <f>C184*$B$4+D184*$B$13</f>
        <v/>
      </c>
      <c r="F184" s="7">
        <f>$B$10</f>
        <v/>
      </c>
      <c r="G184" s="7">
        <f>IF($B$5&gt;0,MIN(2*$B$7,$B$8*MAX(E184-F184,0)),0)</f>
        <v/>
      </c>
      <c r="H184" s="7">
        <f>MAX(E184-F184-G184,0)</f>
        <v/>
      </c>
      <c r="I184" s="7">
        <f>H184*$B$5</f>
        <v/>
      </c>
      <c r="J184" s="7">
        <f>G184*(1-$B$6)</f>
        <v/>
      </c>
      <c r="K184" s="7">
        <f>G184*$B$6</f>
        <v/>
      </c>
      <c r="L184" s="7">
        <f>L183+K184</f>
        <v/>
      </c>
      <c r="M184" s="7">
        <f>B184+E184-F184-I184-J184</f>
        <v/>
      </c>
      <c r="N184" s="7">
        <f>M184-L184</f>
        <v/>
      </c>
      <c r="O184" s="7">
        <f>G184*$B$5</f>
        <v/>
      </c>
      <c r="P184" s="7">
        <f>M184-(B184+E184-F184-I184-J184)</f>
        <v/>
      </c>
    </row>
    <row r="185" hidden="1" outlineLevel="1">
      <c r="A185" t="n">
        <v>10</v>
      </c>
      <c r="B185" s="7">
        <f>M184</f>
        <v/>
      </c>
      <c r="C185" s="7">
        <f>MIN(B185,$B$11)</f>
        <v/>
      </c>
      <c r="D185" s="7">
        <f>MAX(B185-C185,0)</f>
        <v/>
      </c>
      <c r="E185" s="7">
        <f>C185*$B$4+D185*$B$13</f>
        <v/>
      </c>
      <c r="F185" s="7">
        <f>$B$10</f>
        <v/>
      </c>
      <c r="G185" s="7">
        <f>IF($B$5&gt;0,MIN(2*$B$7,$B$8*MAX(E185-F185,0)),0)</f>
        <v/>
      </c>
      <c r="H185" s="7">
        <f>MAX(E185-F185-G185,0)</f>
        <v/>
      </c>
      <c r="I185" s="7">
        <f>H185*$B$5</f>
        <v/>
      </c>
      <c r="J185" s="7">
        <f>G185*(1-$B$6)</f>
        <v/>
      </c>
      <c r="K185" s="7">
        <f>G185*$B$6</f>
        <v/>
      </c>
      <c r="L185" s="7">
        <f>L184+K185</f>
        <v/>
      </c>
      <c r="M185" s="7">
        <f>B185+E185-F185-I185-J185</f>
        <v/>
      </c>
      <c r="N185" s="7">
        <f>M185-L185</f>
        <v/>
      </c>
      <c r="O185" s="7">
        <f>G185*$B$5</f>
        <v/>
      </c>
      <c r="P185" s="7">
        <f>M185-(B185+E185-F185-I185-J185)</f>
        <v/>
      </c>
    </row>
    <row r="186" hidden="1" outlineLevel="1">
      <c r="A186" t="n">
        <v>11</v>
      </c>
      <c r="B186" s="7">
        <f>M185</f>
        <v/>
      </c>
      <c r="C186" s="7">
        <f>MIN(B186,$B$11)</f>
        <v/>
      </c>
      <c r="D186" s="7">
        <f>MAX(B186-C186,0)</f>
        <v/>
      </c>
      <c r="E186" s="7">
        <f>C186*$B$4+D186*$B$13</f>
        <v/>
      </c>
      <c r="F186" s="7">
        <f>$B$10</f>
        <v/>
      </c>
      <c r="G186" s="7">
        <f>IF($B$5&gt;0,MIN(2*$B$7,$B$8*MAX(E186-F186,0)),0)</f>
        <v/>
      </c>
      <c r="H186" s="7">
        <f>MAX(E186-F186-G186,0)</f>
        <v/>
      </c>
      <c r="I186" s="7">
        <f>H186*$B$5</f>
        <v/>
      </c>
      <c r="J186" s="7">
        <f>G186*(1-$B$6)</f>
        <v/>
      </c>
      <c r="K186" s="7">
        <f>G186*$B$6</f>
        <v/>
      </c>
      <c r="L186" s="7">
        <f>L185+K186</f>
        <v/>
      </c>
      <c r="M186" s="7">
        <f>B186+E186-F186-I186-J186</f>
        <v/>
      </c>
      <c r="N186" s="7">
        <f>M186-L186</f>
        <v/>
      </c>
      <c r="O186" s="7">
        <f>G186*$B$5</f>
        <v/>
      </c>
      <c r="P186" s="7">
        <f>M186-(B186+E186-F186-I186-J186)</f>
        <v/>
      </c>
    </row>
    <row r="187" hidden="1" outlineLevel="1">
      <c r="A187" t="n">
        <v>12</v>
      </c>
      <c r="B187" s="7">
        <f>M186</f>
        <v/>
      </c>
      <c r="C187" s="7">
        <f>MIN(B187,$B$11)</f>
        <v/>
      </c>
      <c r="D187" s="7">
        <f>MAX(B187-C187,0)</f>
        <v/>
      </c>
      <c r="E187" s="7">
        <f>C187*$B$4+D187*$B$13</f>
        <v/>
      </c>
      <c r="F187" s="7">
        <f>$B$10</f>
        <v/>
      </c>
      <c r="G187" s="7">
        <f>IF($B$5&gt;0,MIN(2*$B$7,$B$8*MAX(E187-F187,0)),0)</f>
        <v/>
      </c>
      <c r="H187" s="7">
        <f>MAX(E187-F187-G187,0)</f>
        <v/>
      </c>
      <c r="I187" s="7">
        <f>H187*$B$5</f>
        <v/>
      </c>
      <c r="J187" s="7">
        <f>G187*(1-$B$6)</f>
        <v/>
      </c>
      <c r="K187" s="7">
        <f>G187*$B$6</f>
        <v/>
      </c>
      <c r="L187" s="7">
        <f>L186+K187</f>
        <v/>
      </c>
      <c r="M187" s="7">
        <f>B187+E187-F187-I187-J187</f>
        <v/>
      </c>
      <c r="N187" s="7">
        <f>M187-L187</f>
        <v/>
      </c>
      <c r="O187" s="7">
        <f>G187*$B$5</f>
        <v/>
      </c>
      <c r="P187" s="7">
        <f>M187-(B187+E187-F187-I187-J187)</f>
        <v/>
      </c>
    </row>
    <row r="188" hidden="1" outlineLevel="1">
      <c r="A188" t="n">
        <v>13</v>
      </c>
      <c r="B188" s="7">
        <f>M187</f>
        <v/>
      </c>
      <c r="C188" s="7">
        <f>MIN(B188,$B$11)</f>
        <v/>
      </c>
      <c r="D188" s="7">
        <f>MAX(B188-C188,0)</f>
        <v/>
      </c>
      <c r="E188" s="7">
        <f>C188*$B$4+D188*$B$13</f>
        <v/>
      </c>
      <c r="F188" s="7">
        <f>$B$10</f>
        <v/>
      </c>
      <c r="G188" s="7">
        <f>IF($B$5&gt;0,MIN(2*$B$7,$B$8*MAX(E188-F188,0)),0)</f>
        <v/>
      </c>
      <c r="H188" s="7">
        <f>MAX(E188-F188-G188,0)</f>
        <v/>
      </c>
      <c r="I188" s="7">
        <f>H188*$B$5</f>
        <v/>
      </c>
      <c r="J188" s="7">
        <f>G188*(1-$B$6)</f>
        <v/>
      </c>
      <c r="K188" s="7">
        <f>G188*$B$6</f>
        <v/>
      </c>
      <c r="L188" s="7">
        <f>L187+K188</f>
        <v/>
      </c>
      <c r="M188" s="7">
        <f>B188+E188-F188-I188-J188</f>
        <v/>
      </c>
      <c r="N188" s="7">
        <f>M188-L188</f>
        <v/>
      </c>
      <c r="O188" s="7">
        <f>G188*$B$5</f>
        <v/>
      </c>
      <c r="P188" s="7">
        <f>M188-(B188+E188-F188-I188-J188)</f>
        <v/>
      </c>
    </row>
    <row r="189" hidden="1" outlineLevel="1">
      <c r="A189" t="n">
        <v>14</v>
      </c>
      <c r="B189" s="7">
        <f>M188</f>
        <v/>
      </c>
      <c r="C189" s="7">
        <f>MIN(B189,$B$11)</f>
        <v/>
      </c>
      <c r="D189" s="7">
        <f>MAX(B189-C189,0)</f>
        <v/>
      </c>
      <c r="E189" s="7">
        <f>C189*$B$4+D189*$B$13</f>
        <v/>
      </c>
      <c r="F189" s="7">
        <f>$B$10</f>
        <v/>
      </c>
      <c r="G189" s="7">
        <f>IF($B$5&gt;0,MIN(2*$B$7,$B$8*MAX(E189-F189,0)),0)</f>
        <v/>
      </c>
      <c r="H189" s="7">
        <f>MAX(E189-F189-G189,0)</f>
        <v/>
      </c>
      <c r="I189" s="7">
        <f>H189*$B$5</f>
        <v/>
      </c>
      <c r="J189" s="7">
        <f>G189*(1-$B$6)</f>
        <v/>
      </c>
      <c r="K189" s="7">
        <f>G189*$B$6</f>
        <v/>
      </c>
      <c r="L189" s="7">
        <f>L188+K189</f>
        <v/>
      </c>
      <c r="M189" s="7">
        <f>B189+E189-F189-I189-J189</f>
        <v/>
      </c>
      <c r="N189" s="7">
        <f>M189-L189</f>
        <v/>
      </c>
      <c r="O189" s="7">
        <f>G189*$B$5</f>
        <v/>
      </c>
      <c r="P189" s="7">
        <f>M189-(B189+E189-F189-I189-J189)</f>
        <v/>
      </c>
    </row>
    <row r="190" hidden="1" outlineLevel="1">
      <c r="A190" t="n">
        <v>15</v>
      </c>
      <c r="B190" s="7">
        <f>M189</f>
        <v/>
      </c>
      <c r="C190" s="7">
        <f>MIN(B190,$B$11)</f>
        <v/>
      </c>
      <c r="D190" s="7">
        <f>MAX(B190-C190,0)</f>
        <v/>
      </c>
      <c r="E190" s="7">
        <f>C190*$B$4+D190*$B$13</f>
        <v/>
      </c>
      <c r="F190" s="7">
        <f>$B$10</f>
        <v/>
      </c>
      <c r="G190" s="7">
        <f>IF($B$5&gt;0,MIN(2*$B$7,$B$8*MAX(E190-F190,0)),0)</f>
        <v/>
      </c>
      <c r="H190" s="7">
        <f>MAX(E190-F190-G190,0)</f>
        <v/>
      </c>
      <c r="I190" s="7">
        <f>H190*$B$5</f>
        <v/>
      </c>
      <c r="J190" s="7">
        <f>G190*(1-$B$6)</f>
        <v/>
      </c>
      <c r="K190" s="7">
        <f>G190*$B$6</f>
        <v/>
      </c>
      <c r="L190" s="7">
        <f>L189+K190</f>
        <v/>
      </c>
      <c r="M190" s="7">
        <f>B190+E190-F190-I190-J190</f>
        <v/>
      </c>
      <c r="N190" s="7">
        <f>M190-L190</f>
        <v/>
      </c>
      <c r="O190" s="7">
        <f>G190*$B$5</f>
        <v/>
      </c>
      <c r="P190" s="7">
        <f>M190-(B190+E190-F190-I190-J190)</f>
        <v/>
      </c>
    </row>
    <row r="191" hidden="1" outlineLevel="1">
      <c r="A191" t="n">
        <v>16</v>
      </c>
      <c r="B191" s="7">
        <f>M190</f>
        <v/>
      </c>
      <c r="C191" s="7">
        <f>MIN(B191,$B$11)</f>
        <v/>
      </c>
      <c r="D191" s="7">
        <f>MAX(B191-C191,0)</f>
        <v/>
      </c>
      <c r="E191" s="7">
        <f>C191*$B$4+D191*$B$13</f>
        <v/>
      </c>
      <c r="F191" s="7">
        <f>$B$10</f>
        <v/>
      </c>
      <c r="G191" s="7">
        <f>IF($B$5&gt;0,MIN(2*$B$7,$B$8*MAX(E191-F191,0)),0)</f>
        <v/>
      </c>
      <c r="H191" s="7">
        <f>MAX(E191-F191-G191,0)</f>
        <v/>
      </c>
      <c r="I191" s="7">
        <f>H191*$B$5</f>
        <v/>
      </c>
      <c r="J191" s="7">
        <f>G191*(1-$B$6)</f>
        <v/>
      </c>
      <c r="K191" s="7">
        <f>G191*$B$6</f>
        <v/>
      </c>
      <c r="L191" s="7">
        <f>L190+K191</f>
        <v/>
      </c>
      <c r="M191" s="7">
        <f>B191+E191-F191-I191-J191</f>
        <v/>
      </c>
      <c r="N191" s="7">
        <f>M191-L191</f>
        <v/>
      </c>
      <c r="O191" s="7">
        <f>G191*$B$5</f>
        <v/>
      </c>
      <c r="P191" s="7">
        <f>M191-(B191+E191-F191-I191-J191)</f>
        <v/>
      </c>
    </row>
    <row r="192" hidden="1" outlineLevel="1">
      <c r="A192" t="n">
        <v>17</v>
      </c>
      <c r="B192" s="7">
        <f>M191</f>
        <v/>
      </c>
      <c r="C192" s="7">
        <f>MIN(B192,$B$11)</f>
        <v/>
      </c>
      <c r="D192" s="7">
        <f>MAX(B192-C192,0)</f>
        <v/>
      </c>
      <c r="E192" s="7">
        <f>C192*$B$4+D192*$B$13</f>
        <v/>
      </c>
      <c r="F192" s="7">
        <f>$B$10</f>
        <v/>
      </c>
      <c r="G192" s="7">
        <f>IF($B$5&gt;0,MIN(2*$B$7,$B$8*MAX(E192-F192,0)),0)</f>
        <v/>
      </c>
      <c r="H192" s="7">
        <f>MAX(E192-F192-G192,0)</f>
        <v/>
      </c>
      <c r="I192" s="7">
        <f>H192*$B$5</f>
        <v/>
      </c>
      <c r="J192" s="7">
        <f>G192*(1-$B$6)</f>
        <v/>
      </c>
      <c r="K192" s="7">
        <f>G192*$B$6</f>
        <v/>
      </c>
      <c r="L192" s="7">
        <f>L191+K192</f>
        <v/>
      </c>
      <c r="M192" s="7">
        <f>B192+E192-F192-I192-J192</f>
        <v/>
      </c>
      <c r="N192" s="7">
        <f>M192-L192</f>
        <v/>
      </c>
      <c r="O192" s="7">
        <f>G192*$B$5</f>
        <v/>
      </c>
      <c r="P192" s="7">
        <f>M192-(B192+E192-F192-I192-J192)</f>
        <v/>
      </c>
    </row>
    <row r="193" hidden="1" outlineLevel="1">
      <c r="A193" t="n">
        <v>18</v>
      </c>
      <c r="B193" s="7">
        <f>M192</f>
        <v/>
      </c>
      <c r="C193" s="7">
        <f>MIN(B193,$B$11)</f>
        <v/>
      </c>
      <c r="D193" s="7">
        <f>MAX(B193-C193,0)</f>
        <v/>
      </c>
      <c r="E193" s="7">
        <f>C193*$B$4+D193*$B$13</f>
        <v/>
      </c>
      <c r="F193" s="7">
        <f>$B$10</f>
        <v/>
      </c>
      <c r="G193" s="7">
        <f>IF($B$5&gt;0,MIN(2*$B$7,$B$8*MAX(E193-F193,0)),0)</f>
        <v/>
      </c>
      <c r="H193" s="7">
        <f>MAX(E193-F193-G193,0)</f>
        <v/>
      </c>
      <c r="I193" s="7">
        <f>H193*$B$5</f>
        <v/>
      </c>
      <c r="J193" s="7">
        <f>G193*(1-$B$6)</f>
        <v/>
      </c>
      <c r="K193" s="7">
        <f>G193*$B$6</f>
        <v/>
      </c>
      <c r="L193" s="7">
        <f>L192+K193</f>
        <v/>
      </c>
      <c r="M193" s="7">
        <f>B193+E193-F193-I193-J193</f>
        <v/>
      </c>
      <c r="N193" s="7">
        <f>M193-L193</f>
        <v/>
      </c>
      <c r="O193" s="7">
        <f>G193*$B$5</f>
        <v/>
      </c>
      <c r="P193" s="7">
        <f>M193-(B193+E193-F193-I193-J193)</f>
        <v/>
      </c>
    </row>
    <row r="194" hidden="1" outlineLevel="1">
      <c r="A194" t="n">
        <v>19</v>
      </c>
      <c r="B194" s="7">
        <f>M193</f>
        <v/>
      </c>
      <c r="C194" s="7">
        <f>MIN(B194,$B$11)</f>
        <v/>
      </c>
      <c r="D194" s="7">
        <f>MAX(B194-C194,0)</f>
        <v/>
      </c>
      <c r="E194" s="7">
        <f>C194*$B$4+D194*$B$13</f>
        <v/>
      </c>
      <c r="F194" s="7">
        <f>$B$10</f>
        <v/>
      </c>
      <c r="G194" s="7">
        <f>IF($B$5&gt;0,MIN(2*$B$7,$B$8*MAX(E194-F194,0)),0)</f>
        <v/>
      </c>
      <c r="H194" s="7">
        <f>MAX(E194-F194-G194,0)</f>
        <v/>
      </c>
      <c r="I194" s="7">
        <f>H194*$B$5</f>
        <v/>
      </c>
      <c r="J194" s="7">
        <f>G194*(1-$B$6)</f>
        <v/>
      </c>
      <c r="K194" s="7">
        <f>G194*$B$6</f>
        <v/>
      </c>
      <c r="L194" s="7">
        <f>L193+K194</f>
        <v/>
      </c>
      <c r="M194" s="7">
        <f>B194+E194-F194-I194-J194</f>
        <v/>
      </c>
      <c r="N194" s="7">
        <f>M194-L194</f>
        <v/>
      </c>
      <c r="O194" s="7">
        <f>G194*$B$5</f>
        <v/>
      </c>
      <c r="P194" s="7">
        <f>M194-(B194+E194-F194-I194-J194)</f>
        <v/>
      </c>
    </row>
    <row r="195" hidden="1" outlineLevel="1">
      <c r="A195" t="n">
        <v>20</v>
      </c>
      <c r="B195" s="7">
        <f>M194</f>
        <v/>
      </c>
      <c r="C195" s="7">
        <f>MIN(B195,$B$11)</f>
        <v/>
      </c>
      <c r="D195" s="7">
        <f>MAX(B195-C195,0)</f>
        <v/>
      </c>
      <c r="E195" s="7">
        <f>C195*$B$4+D195*$B$13</f>
        <v/>
      </c>
      <c r="F195" s="7">
        <f>$B$10</f>
        <v/>
      </c>
      <c r="G195" s="7">
        <f>IF($B$5&gt;0,MIN(2*$B$7,$B$8*MAX(E195-F195,0)),0)</f>
        <v/>
      </c>
      <c r="H195" s="7">
        <f>MAX(E195-F195-G195,0)</f>
        <v/>
      </c>
      <c r="I195" s="7">
        <f>H195*$B$5</f>
        <v/>
      </c>
      <c r="J195" s="7">
        <f>G195*(1-$B$6)</f>
        <v/>
      </c>
      <c r="K195" s="7">
        <f>G195*$B$6</f>
        <v/>
      </c>
      <c r="L195" s="7">
        <f>L194+K195</f>
        <v/>
      </c>
      <c r="M195" s="7">
        <f>B195+E195-F195-I195-J195</f>
        <v/>
      </c>
      <c r="N195" s="7">
        <f>M195-L195</f>
        <v/>
      </c>
      <c r="O195" s="7">
        <f>G195*$B$5</f>
        <v/>
      </c>
      <c r="P195" s="7">
        <f>M195-(B195+E195-F195-I195-J195)</f>
        <v/>
      </c>
    </row>
    <row r="196" hidden="1" outlineLevel="1">
      <c r="B196" s="7" t="n"/>
      <c r="C196" s="7" t="n"/>
      <c r="D196" s="7" t="n"/>
      <c r="E196" s="7" t="n"/>
      <c r="F196" s="7" t="n"/>
      <c r="G196" s="7" t="n"/>
      <c r="H196" s="7" t="n"/>
      <c r="I196" s="7" t="n"/>
      <c r="J196" s="7" t="n"/>
      <c r="K196" s="7" t="n"/>
      <c r="L196" s="7" t="n"/>
      <c r="M196" s="7" t="n"/>
      <c r="N196" s="7" t="n"/>
      <c r="O196" s="7" t="n"/>
      <c r="P196" s="7" t="n"/>
    </row>
    <row r="197" hidden="1" outlineLevel="1">
      <c r="B197" s="7" t="n"/>
      <c r="C197" s="7" t="n"/>
      <c r="D197" s="7" t="n"/>
      <c r="E197" s="7" t="n"/>
      <c r="F197" s="7" t="n"/>
      <c r="G197" s="7" t="n"/>
      <c r="H197" s="7" t="n"/>
      <c r="I197" s="7" t="n"/>
      <c r="J197" s="7" t="n"/>
      <c r="K197" s="7" t="n"/>
      <c r="L197" s="7" t="n"/>
      <c r="M197" s="7" t="n"/>
      <c r="N197" s="7" t="n"/>
      <c r="O197" s="7" t="n"/>
      <c r="P197" s="7" t="n"/>
    </row>
    <row r="198" hidden="1" outlineLevel="1">
      <c r="B198" s="7" t="n"/>
      <c r="C198" s="7" t="n"/>
      <c r="D198" s="7" t="n"/>
      <c r="E198" s="7" t="n"/>
      <c r="F198" s="7" t="n"/>
      <c r="G198" s="7" t="n"/>
      <c r="H198" s="7" t="n"/>
      <c r="I198" s="7" t="n"/>
      <c r="J198" s="7" t="n"/>
      <c r="K198" s="7" t="n"/>
      <c r="L198" s="7" t="n"/>
      <c r="M198" s="7" t="n"/>
      <c r="N198" s="7" t="n"/>
      <c r="O198" s="7" t="n"/>
      <c r="P198" s="7" t="n"/>
    </row>
    <row r="199" hidden="1" outlineLevel="1">
      <c r="B199" s="7" t="n"/>
      <c r="C199" s="7" t="n"/>
      <c r="D199" s="7" t="n"/>
      <c r="E199" s="7" t="n"/>
      <c r="F199" s="7" t="n"/>
      <c r="G199" s="7" t="n"/>
      <c r="H199" s="7" t="n"/>
      <c r="I199" s="7" t="n"/>
      <c r="J199" s="7" t="n"/>
      <c r="K199" s="7" t="n"/>
      <c r="L199" s="7" t="n"/>
      <c r="M199" s="7" t="n"/>
      <c r="N199" s="7" t="n"/>
      <c r="O199" s="7" t="n"/>
      <c r="P199" s="7" t="n"/>
    </row>
    <row r="200" hidden="1" outlineLevel="1">
      <c r="B200" s="7" t="n"/>
      <c r="C200" s="7" t="n"/>
      <c r="D200" s="7" t="n"/>
      <c r="E200" s="7" t="n"/>
      <c r="F200" s="7" t="n"/>
      <c r="G200" s="7" t="n"/>
      <c r="H200" s="7" t="n"/>
      <c r="I200" s="7" t="n"/>
      <c r="J200" s="7" t="n"/>
      <c r="K200" s="7" t="n"/>
      <c r="L200" s="7" t="n"/>
      <c r="M200" s="7" t="n"/>
      <c r="N200" s="7" t="n"/>
      <c r="O200" s="7" t="n"/>
      <c r="P200" s="7" t="n"/>
    </row>
    <row r="201" hidden="1" outlineLevel="1">
      <c r="B201" s="7" t="n"/>
      <c r="C201" s="7" t="n"/>
      <c r="D201" s="7" t="n"/>
      <c r="E201" s="7" t="n"/>
      <c r="F201" s="7" t="n"/>
      <c r="G201" s="7" t="n"/>
      <c r="H201" s="7" t="n"/>
      <c r="I201" s="7" t="n"/>
      <c r="J201" s="7" t="n"/>
      <c r="K201" s="7" t="n"/>
      <c r="L201" s="7" t="n"/>
      <c r="M201" s="7" t="n"/>
      <c r="N201" s="7" t="n"/>
      <c r="O201" s="7" t="n"/>
      <c r="P201" s="7" t="n"/>
    </row>
    <row r="202" hidden="1" outlineLevel="1">
      <c r="B202" s="7" t="n"/>
      <c r="C202" s="7" t="n"/>
      <c r="D202" s="7" t="n"/>
      <c r="E202" s="7" t="n"/>
      <c r="F202" s="7" t="n"/>
      <c r="G202" s="7" t="n"/>
      <c r="H202" s="7" t="n"/>
      <c r="I202" s="7" t="n"/>
      <c r="J202" s="7" t="n"/>
      <c r="K202" s="7" t="n"/>
      <c r="L202" s="7" t="n"/>
      <c r="M202" s="7" t="n"/>
      <c r="N202" s="7" t="n"/>
      <c r="O202" s="7" t="n"/>
      <c r="P202" s="7" t="n"/>
    </row>
    <row r="203" hidden="1" outlineLevel="1">
      <c r="A203" t="inlineStr">
        <is>
          <t>Company + 3</t>
        </is>
      </c>
      <c r="B203" s="7" t="n"/>
      <c r="C203" s="7" t="n"/>
      <c r="D203" s="7" t="n"/>
      <c r="E203" s="7" t="n"/>
      <c r="F203" s="7" t="n"/>
      <c r="G203" s="7" t="n"/>
      <c r="H203" s="7" t="n"/>
      <c r="I203" s="7" t="n"/>
      <c r="J203" s="7" t="n"/>
      <c r="K203" s="7" t="n"/>
      <c r="L203" s="7" t="n"/>
      <c r="M203" s="7" t="n"/>
      <c r="N203" s="7" t="n"/>
      <c r="O203" s="7" t="n"/>
      <c r="P203" s="7" t="n"/>
    </row>
    <row r="204" hidden="1" outlineLevel="1" ht="40" customHeight="1">
      <c r="A204" s="4" t="inlineStr">
        <is>
          <t>Year</t>
        </is>
      </c>
      <c r="B204" s="8" t="inlineStr">
        <is>
          <t>Opening</t>
        </is>
      </c>
      <c r="C204" s="8" t="inlineStr">
        <is>
          <t>Deployed</t>
        </is>
      </c>
      <c r="D204" s="8" t="inlineStr">
        <is>
          <t>Idle</t>
        </is>
      </c>
      <c r="E204" s="8" t="inlineStr">
        <is>
          <t>Profit</t>
        </is>
      </c>
      <c r="F204" s="8" t="inlineStr">
        <is>
          <t>Overhead</t>
        </is>
      </c>
      <c r="G204" s="8" t="inlineStr">
        <is>
          <t>Salary paid</t>
        </is>
      </c>
      <c r="H204" s="8" t="inlineStr">
        <is>
          <t>Taxable profit</t>
        </is>
      </c>
      <c r="I204" s="8" t="inlineStr">
        <is>
          <t>Income tax</t>
        </is>
      </c>
      <c r="J204" s="8" t="inlineStr">
        <is>
          <t>Not lent back</t>
        </is>
      </c>
      <c r="K204" s="8" t="inlineStr">
        <is>
          <t>New payroll loan</t>
        </is>
      </c>
      <c r="L204" s="8" t="inlineStr">
        <is>
          <t>Loans outstanding</t>
        </is>
      </c>
      <c r="M204" s="8" t="inlineStr">
        <is>
          <t>Closing trading capital</t>
        </is>
      </c>
      <c r="N204" s="8" t="inlineStr">
        <is>
          <t>Closing less payroll debt</t>
        </is>
      </c>
      <c r="O204" s="8" t="inlineStr">
        <is>
          <t>Payroll deduction tax saving</t>
        </is>
      </c>
      <c r="P204" s="8" t="inlineStr">
        <is>
          <t>Check = 0</t>
        </is>
      </c>
    </row>
    <row r="205" hidden="1" outlineLevel="1">
      <c r="A205" t="n">
        <v>0</v>
      </c>
      <c r="B205" s="7">
        <f>$B$3</f>
        <v/>
      </c>
      <c r="C205" s="7" t="n">
        <v>0</v>
      </c>
      <c r="D205" s="7" t="n">
        <v>0</v>
      </c>
      <c r="E205" s="7" t="n">
        <v>0</v>
      </c>
      <c r="F205" s="7" t="n">
        <v>0</v>
      </c>
      <c r="G205" s="7" t="n">
        <v>0</v>
      </c>
      <c r="H205" s="7" t="n">
        <v>0</v>
      </c>
      <c r="I205" s="7" t="n">
        <v>0</v>
      </c>
      <c r="J205" s="7" t="n">
        <v>0</v>
      </c>
      <c r="K205" s="7" t="n">
        <v>0</v>
      </c>
      <c r="L205" s="7" t="n">
        <v>0</v>
      </c>
      <c r="M205" s="7">
        <f>$B$3</f>
        <v/>
      </c>
      <c r="N205" s="7">
        <f>$B$3</f>
        <v/>
      </c>
      <c r="O205" s="7" t="n">
        <v>0</v>
      </c>
      <c r="P205" s="7" t="n">
        <v>0</v>
      </c>
    </row>
    <row r="206" hidden="1" outlineLevel="1">
      <c r="A206" t="n">
        <v>1</v>
      </c>
      <c r="B206" s="7">
        <f>M205</f>
        <v/>
      </c>
      <c r="C206" s="7">
        <f>MIN(B206,$B$11)</f>
        <v/>
      </c>
      <c r="D206" s="7">
        <f>MAX(B206-C206,0)</f>
        <v/>
      </c>
      <c r="E206" s="7">
        <f>C206*$B$4+D206*$B$13</f>
        <v/>
      </c>
      <c r="F206" s="7">
        <f>$B$10</f>
        <v/>
      </c>
      <c r="G206" s="7">
        <f>IF($B$5&gt;0,MIN(3*$B$7,$B$8*MAX(E206-F206,0)),0)</f>
        <v/>
      </c>
      <c r="H206" s="7">
        <f>MAX(E206-F206-G206,0)</f>
        <v/>
      </c>
      <c r="I206" s="7">
        <f>H206*$B$5</f>
        <v/>
      </c>
      <c r="J206" s="7">
        <f>G206*(1-$B$6)</f>
        <v/>
      </c>
      <c r="K206" s="7">
        <f>G206*$B$6</f>
        <v/>
      </c>
      <c r="L206" s="7">
        <f>L205+K206</f>
        <v/>
      </c>
      <c r="M206" s="7">
        <f>B206+E206-F206-I206-J206</f>
        <v/>
      </c>
      <c r="N206" s="7">
        <f>M206-L206</f>
        <v/>
      </c>
      <c r="O206" s="7">
        <f>G206*$B$5</f>
        <v/>
      </c>
      <c r="P206" s="7">
        <f>M206-(B206+E206-F206-I206-J206)</f>
        <v/>
      </c>
    </row>
    <row r="207" hidden="1" outlineLevel="1">
      <c r="A207" t="n">
        <v>2</v>
      </c>
      <c r="B207" s="7">
        <f>M206</f>
        <v/>
      </c>
      <c r="C207" s="7">
        <f>MIN(B207,$B$11)</f>
        <v/>
      </c>
      <c r="D207" s="7">
        <f>MAX(B207-C207,0)</f>
        <v/>
      </c>
      <c r="E207" s="7">
        <f>C207*$B$4+D207*$B$13</f>
        <v/>
      </c>
      <c r="F207" s="7">
        <f>$B$10</f>
        <v/>
      </c>
      <c r="G207" s="7">
        <f>IF($B$5&gt;0,MIN(3*$B$7,$B$8*MAX(E207-F207,0)),0)</f>
        <v/>
      </c>
      <c r="H207" s="7">
        <f>MAX(E207-F207-G207,0)</f>
        <v/>
      </c>
      <c r="I207" s="7">
        <f>H207*$B$5</f>
        <v/>
      </c>
      <c r="J207" s="7">
        <f>G207*(1-$B$6)</f>
        <v/>
      </c>
      <c r="K207" s="7">
        <f>G207*$B$6</f>
        <v/>
      </c>
      <c r="L207" s="7">
        <f>L206+K207</f>
        <v/>
      </c>
      <c r="M207" s="7">
        <f>B207+E207-F207-I207-J207</f>
        <v/>
      </c>
      <c r="N207" s="7">
        <f>M207-L207</f>
        <v/>
      </c>
      <c r="O207" s="7">
        <f>G207*$B$5</f>
        <v/>
      </c>
      <c r="P207" s="7">
        <f>M207-(B207+E207-F207-I207-J207)</f>
        <v/>
      </c>
    </row>
    <row r="208" hidden="1" outlineLevel="1">
      <c r="A208" t="n">
        <v>3</v>
      </c>
      <c r="B208" s="7">
        <f>M207</f>
        <v/>
      </c>
      <c r="C208" s="7">
        <f>MIN(B208,$B$11)</f>
        <v/>
      </c>
      <c r="D208" s="7">
        <f>MAX(B208-C208,0)</f>
        <v/>
      </c>
      <c r="E208" s="7">
        <f>C208*$B$4+D208*$B$13</f>
        <v/>
      </c>
      <c r="F208" s="7">
        <f>$B$10</f>
        <v/>
      </c>
      <c r="G208" s="7">
        <f>IF($B$5&gt;0,MIN(3*$B$7,$B$8*MAX(E208-F208,0)),0)</f>
        <v/>
      </c>
      <c r="H208" s="7">
        <f>MAX(E208-F208-G208,0)</f>
        <v/>
      </c>
      <c r="I208" s="7">
        <f>H208*$B$5</f>
        <v/>
      </c>
      <c r="J208" s="7">
        <f>G208*(1-$B$6)</f>
        <v/>
      </c>
      <c r="K208" s="7">
        <f>G208*$B$6</f>
        <v/>
      </c>
      <c r="L208" s="7">
        <f>L207+K208</f>
        <v/>
      </c>
      <c r="M208" s="7">
        <f>B208+E208-F208-I208-J208</f>
        <v/>
      </c>
      <c r="N208" s="7">
        <f>M208-L208</f>
        <v/>
      </c>
      <c r="O208" s="7">
        <f>G208*$B$5</f>
        <v/>
      </c>
      <c r="P208" s="7">
        <f>M208-(B208+E208-F208-I208-J208)</f>
        <v/>
      </c>
    </row>
    <row r="209" hidden="1" outlineLevel="1">
      <c r="A209" t="n">
        <v>4</v>
      </c>
      <c r="B209" s="7">
        <f>M208</f>
        <v/>
      </c>
      <c r="C209" s="7">
        <f>MIN(B209,$B$11)</f>
        <v/>
      </c>
      <c r="D209" s="7">
        <f>MAX(B209-C209,0)</f>
        <v/>
      </c>
      <c r="E209" s="7">
        <f>C209*$B$4+D209*$B$13</f>
        <v/>
      </c>
      <c r="F209" s="7">
        <f>$B$10</f>
        <v/>
      </c>
      <c r="G209" s="7">
        <f>IF($B$5&gt;0,MIN(3*$B$7,$B$8*MAX(E209-F209,0)),0)</f>
        <v/>
      </c>
      <c r="H209" s="7">
        <f>MAX(E209-F209-G209,0)</f>
        <v/>
      </c>
      <c r="I209" s="7">
        <f>H209*$B$5</f>
        <v/>
      </c>
      <c r="J209" s="7">
        <f>G209*(1-$B$6)</f>
        <v/>
      </c>
      <c r="K209" s="7">
        <f>G209*$B$6</f>
        <v/>
      </c>
      <c r="L209" s="7">
        <f>L208+K209</f>
        <v/>
      </c>
      <c r="M209" s="7">
        <f>B209+E209-F209-I209-J209</f>
        <v/>
      </c>
      <c r="N209" s="7">
        <f>M209-L209</f>
        <v/>
      </c>
      <c r="O209" s="7">
        <f>G209*$B$5</f>
        <v/>
      </c>
      <c r="P209" s="7">
        <f>M209-(B209+E209-F209-I209-J209)</f>
        <v/>
      </c>
    </row>
    <row r="210" hidden="1" outlineLevel="1">
      <c r="A210" t="n">
        <v>5</v>
      </c>
      <c r="B210" s="7">
        <f>M209</f>
        <v/>
      </c>
      <c r="C210" s="7">
        <f>MIN(B210,$B$11)</f>
        <v/>
      </c>
      <c r="D210" s="7">
        <f>MAX(B210-C210,0)</f>
        <v/>
      </c>
      <c r="E210" s="7">
        <f>C210*$B$4+D210*$B$13</f>
        <v/>
      </c>
      <c r="F210" s="7">
        <f>$B$10</f>
        <v/>
      </c>
      <c r="G210" s="7">
        <f>IF($B$5&gt;0,MIN(3*$B$7,$B$8*MAX(E210-F210,0)),0)</f>
        <v/>
      </c>
      <c r="H210" s="7">
        <f>MAX(E210-F210-G210,0)</f>
        <v/>
      </c>
      <c r="I210" s="7">
        <f>H210*$B$5</f>
        <v/>
      </c>
      <c r="J210" s="7">
        <f>G210*(1-$B$6)</f>
        <v/>
      </c>
      <c r="K210" s="7">
        <f>G210*$B$6</f>
        <v/>
      </c>
      <c r="L210" s="7">
        <f>L209+K210</f>
        <v/>
      </c>
      <c r="M210" s="7">
        <f>B210+E210-F210-I210-J210</f>
        <v/>
      </c>
      <c r="N210" s="7">
        <f>M210-L210</f>
        <v/>
      </c>
      <c r="O210" s="7">
        <f>G210*$B$5</f>
        <v/>
      </c>
      <c r="P210" s="7">
        <f>M210-(B210+E210-F210-I210-J210)</f>
        <v/>
      </c>
    </row>
    <row r="211" hidden="1" outlineLevel="1">
      <c r="A211" t="n">
        <v>6</v>
      </c>
      <c r="B211" s="7">
        <f>M210</f>
        <v/>
      </c>
      <c r="C211" s="7">
        <f>MIN(B211,$B$11)</f>
        <v/>
      </c>
      <c r="D211" s="7">
        <f>MAX(B211-C211,0)</f>
        <v/>
      </c>
      <c r="E211" s="7">
        <f>C211*$B$4+D211*$B$13</f>
        <v/>
      </c>
      <c r="F211" s="7">
        <f>$B$10</f>
        <v/>
      </c>
      <c r="G211" s="7">
        <f>IF($B$5&gt;0,MIN(3*$B$7,$B$8*MAX(E211-F211,0)),0)</f>
        <v/>
      </c>
      <c r="H211" s="7">
        <f>MAX(E211-F211-G211,0)</f>
        <v/>
      </c>
      <c r="I211" s="7">
        <f>H211*$B$5</f>
        <v/>
      </c>
      <c r="J211" s="7">
        <f>G211*(1-$B$6)</f>
        <v/>
      </c>
      <c r="K211" s="7">
        <f>G211*$B$6</f>
        <v/>
      </c>
      <c r="L211" s="7">
        <f>L210+K211</f>
        <v/>
      </c>
      <c r="M211" s="7">
        <f>B211+E211-F211-I211-J211</f>
        <v/>
      </c>
      <c r="N211" s="7">
        <f>M211-L211</f>
        <v/>
      </c>
      <c r="O211" s="7">
        <f>G211*$B$5</f>
        <v/>
      </c>
      <c r="P211" s="7">
        <f>M211-(B211+E211-F211-I211-J211)</f>
        <v/>
      </c>
    </row>
    <row r="212" hidden="1" outlineLevel="1">
      <c r="A212" t="n">
        <v>7</v>
      </c>
      <c r="B212" s="7">
        <f>M211</f>
        <v/>
      </c>
      <c r="C212" s="7">
        <f>MIN(B212,$B$11)</f>
        <v/>
      </c>
      <c r="D212" s="7">
        <f>MAX(B212-C212,0)</f>
        <v/>
      </c>
      <c r="E212" s="7">
        <f>C212*$B$4+D212*$B$13</f>
        <v/>
      </c>
      <c r="F212" s="7">
        <f>$B$10</f>
        <v/>
      </c>
      <c r="G212" s="7">
        <f>IF($B$5&gt;0,MIN(3*$B$7,$B$8*MAX(E212-F212,0)),0)</f>
        <v/>
      </c>
      <c r="H212" s="7">
        <f>MAX(E212-F212-G212,0)</f>
        <v/>
      </c>
      <c r="I212" s="7">
        <f>H212*$B$5</f>
        <v/>
      </c>
      <c r="J212" s="7">
        <f>G212*(1-$B$6)</f>
        <v/>
      </c>
      <c r="K212" s="7">
        <f>G212*$B$6</f>
        <v/>
      </c>
      <c r="L212" s="7">
        <f>L211+K212</f>
        <v/>
      </c>
      <c r="M212" s="7">
        <f>B212+E212-F212-I212-J212</f>
        <v/>
      </c>
      <c r="N212" s="7">
        <f>M212-L212</f>
        <v/>
      </c>
      <c r="O212" s="7">
        <f>G212*$B$5</f>
        <v/>
      </c>
      <c r="P212" s="7">
        <f>M212-(B212+E212-F212-I212-J212)</f>
        <v/>
      </c>
    </row>
    <row r="213" hidden="1" outlineLevel="1">
      <c r="A213" t="n">
        <v>8</v>
      </c>
      <c r="B213" s="7">
        <f>M212</f>
        <v/>
      </c>
      <c r="C213" s="7">
        <f>MIN(B213,$B$11)</f>
        <v/>
      </c>
      <c r="D213" s="7">
        <f>MAX(B213-C213,0)</f>
        <v/>
      </c>
      <c r="E213" s="7">
        <f>C213*$B$4+D213*$B$13</f>
        <v/>
      </c>
      <c r="F213" s="7">
        <f>$B$10</f>
        <v/>
      </c>
      <c r="G213" s="7">
        <f>IF($B$5&gt;0,MIN(3*$B$7,$B$8*MAX(E213-F213,0)),0)</f>
        <v/>
      </c>
      <c r="H213" s="7">
        <f>MAX(E213-F213-G213,0)</f>
        <v/>
      </c>
      <c r="I213" s="7">
        <f>H213*$B$5</f>
        <v/>
      </c>
      <c r="J213" s="7">
        <f>G213*(1-$B$6)</f>
        <v/>
      </c>
      <c r="K213" s="7">
        <f>G213*$B$6</f>
        <v/>
      </c>
      <c r="L213" s="7">
        <f>L212+K213</f>
        <v/>
      </c>
      <c r="M213" s="7">
        <f>B213+E213-F213-I213-J213</f>
        <v/>
      </c>
      <c r="N213" s="7">
        <f>M213-L213</f>
        <v/>
      </c>
      <c r="O213" s="7">
        <f>G213*$B$5</f>
        <v/>
      </c>
      <c r="P213" s="7">
        <f>M213-(B213+E213-F213-I213-J213)</f>
        <v/>
      </c>
    </row>
    <row r="214" hidden="1" outlineLevel="1">
      <c r="A214" t="n">
        <v>9</v>
      </c>
      <c r="B214" s="7">
        <f>M213</f>
        <v/>
      </c>
      <c r="C214" s="7">
        <f>MIN(B214,$B$11)</f>
        <v/>
      </c>
      <c r="D214" s="7">
        <f>MAX(B214-C214,0)</f>
        <v/>
      </c>
      <c r="E214" s="7">
        <f>C214*$B$4+D214*$B$13</f>
        <v/>
      </c>
      <c r="F214" s="7">
        <f>$B$10</f>
        <v/>
      </c>
      <c r="G214" s="7">
        <f>IF($B$5&gt;0,MIN(3*$B$7,$B$8*MAX(E214-F214,0)),0)</f>
        <v/>
      </c>
      <c r="H214" s="7">
        <f>MAX(E214-F214-G214,0)</f>
        <v/>
      </c>
      <c r="I214" s="7">
        <f>H214*$B$5</f>
        <v/>
      </c>
      <c r="J214" s="7">
        <f>G214*(1-$B$6)</f>
        <v/>
      </c>
      <c r="K214" s="7">
        <f>G214*$B$6</f>
        <v/>
      </c>
      <c r="L214" s="7">
        <f>L213+K214</f>
        <v/>
      </c>
      <c r="M214" s="7">
        <f>B214+E214-F214-I214-J214</f>
        <v/>
      </c>
      <c r="N214" s="7">
        <f>M214-L214</f>
        <v/>
      </c>
      <c r="O214" s="7">
        <f>G214*$B$5</f>
        <v/>
      </c>
      <c r="P214" s="7">
        <f>M214-(B214+E214-F214-I214-J214)</f>
        <v/>
      </c>
    </row>
    <row r="215" hidden="1" outlineLevel="1">
      <c r="A215" t="n">
        <v>10</v>
      </c>
      <c r="B215" s="7">
        <f>M214</f>
        <v/>
      </c>
      <c r="C215" s="7">
        <f>MIN(B215,$B$11)</f>
        <v/>
      </c>
      <c r="D215" s="7">
        <f>MAX(B215-C215,0)</f>
        <v/>
      </c>
      <c r="E215" s="7">
        <f>C215*$B$4+D215*$B$13</f>
        <v/>
      </c>
      <c r="F215" s="7">
        <f>$B$10</f>
        <v/>
      </c>
      <c r="G215" s="7">
        <f>IF($B$5&gt;0,MIN(3*$B$7,$B$8*MAX(E215-F215,0)),0)</f>
        <v/>
      </c>
      <c r="H215" s="7">
        <f>MAX(E215-F215-G215,0)</f>
        <v/>
      </c>
      <c r="I215" s="7">
        <f>H215*$B$5</f>
        <v/>
      </c>
      <c r="J215" s="7">
        <f>G215*(1-$B$6)</f>
        <v/>
      </c>
      <c r="K215" s="7">
        <f>G215*$B$6</f>
        <v/>
      </c>
      <c r="L215" s="7">
        <f>L214+K215</f>
        <v/>
      </c>
      <c r="M215" s="7">
        <f>B215+E215-F215-I215-J215</f>
        <v/>
      </c>
      <c r="N215" s="7">
        <f>M215-L215</f>
        <v/>
      </c>
      <c r="O215" s="7">
        <f>G215*$B$5</f>
        <v/>
      </c>
      <c r="P215" s="7">
        <f>M215-(B215+E215-F215-I215-J215)</f>
        <v/>
      </c>
    </row>
    <row r="216" hidden="1" outlineLevel="1">
      <c r="A216" t="n">
        <v>11</v>
      </c>
      <c r="B216" s="7">
        <f>M215</f>
        <v/>
      </c>
      <c r="C216" s="7">
        <f>MIN(B216,$B$11)</f>
        <v/>
      </c>
      <c r="D216" s="7">
        <f>MAX(B216-C216,0)</f>
        <v/>
      </c>
      <c r="E216" s="7">
        <f>C216*$B$4+D216*$B$13</f>
        <v/>
      </c>
      <c r="F216" s="7">
        <f>$B$10</f>
        <v/>
      </c>
      <c r="G216" s="7">
        <f>IF($B$5&gt;0,MIN(3*$B$7,$B$8*MAX(E216-F216,0)),0)</f>
        <v/>
      </c>
      <c r="H216" s="7">
        <f>MAX(E216-F216-G216,0)</f>
        <v/>
      </c>
      <c r="I216" s="7">
        <f>H216*$B$5</f>
        <v/>
      </c>
      <c r="J216" s="7">
        <f>G216*(1-$B$6)</f>
        <v/>
      </c>
      <c r="K216" s="7">
        <f>G216*$B$6</f>
        <v/>
      </c>
      <c r="L216" s="7">
        <f>L215+K216</f>
        <v/>
      </c>
      <c r="M216" s="7">
        <f>B216+E216-F216-I216-J216</f>
        <v/>
      </c>
      <c r="N216" s="7">
        <f>M216-L216</f>
        <v/>
      </c>
      <c r="O216" s="7">
        <f>G216*$B$5</f>
        <v/>
      </c>
      <c r="P216" s="7">
        <f>M216-(B216+E216-F216-I216-J216)</f>
        <v/>
      </c>
    </row>
    <row r="217" hidden="1" outlineLevel="1">
      <c r="A217" t="n">
        <v>12</v>
      </c>
      <c r="B217" s="7">
        <f>M216</f>
        <v/>
      </c>
      <c r="C217" s="7">
        <f>MIN(B217,$B$11)</f>
        <v/>
      </c>
      <c r="D217" s="7">
        <f>MAX(B217-C217,0)</f>
        <v/>
      </c>
      <c r="E217" s="7">
        <f>C217*$B$4+D217*$B$13</f>
        <v/>
      </c>
      <c r="F217" s="7">
        <f>$B$10</f>
        <v/>
      </c>
      <c r="G217" s="7">
        <f>IF($B$5&gt;0,MIN(3*$B$7,$B$8*MAX(E217-F217,0)),0)</f>
        <v/>
      </c>
      <c r="H217" s="7">
        <f>MAX(E217-F217-G217,0)</f>
        <v/>
      </c>
      <c r="I217" s="7">
        <f>H217*$B$5</f>
        <v/>
      </c>
      <c r="J217" s="7">
        <f>G217*(1-$B$6)</f>
        <v/>
      </c>
      <c r="K217" s="7">
        <f>G217*$B$6</f>
        <v/>
      </c>
      <c r="L217" s="7">
        <f>L216+K217</f>
        <v/>
      </c>
      <c r="M217" s="7">
        <f>B217+E217-F217-I217-J217</f>
        <v/>
      </c>
      <c r="N217" s="7">
        <f>M217-L217</f>
        <v/>
      </c>
      <c r="O217" s="7">
        <f>G217*$B$5</f>
        <v/>
      </c>
      <c r="P217" s="7">
        <f>M217-(B217+E217-F217-I217-J217)</f>
        <v/>
      </c>
    </row>
    <row r="218" hidden="1" outlineLevel="1">
      <c r="A218" t="n">
        <v>13</v>
      </c>
      <c r="B218" s="7">
        <f>M217</f>
        <v/>
      </c>
      <c r="C218" s="7">
        <f>MIN(B218,$B$11)</f>
        <v/>
      </c>
      <c r="D218" s="7">
        <f>MAX(B218-C218,0)</f>
        <v/>
      </c>
      <c r="E218" s="7">
        <f>C218*$B$4+D218*$B$13</f>
        <v/>
      </c>
      <c r="F218" s="7">
        <f>$B$10</f>
        <v/>
      </c>
      <c r="G218" s="7">
        <f>IF($B$5&gt;0,MIN(3*$B$7,$B$8*MAX(E218-F218,0)),0)</f>
        <v/>
      </c>
      <c r="H218" s="7">
        <f>MAX(E218-F218-G218,0)</f>
        <v/>
      </c>
      <c r="I218" s="7">
        <f>H218*$B$5</f>
        <v/>
      </c>
      <c r="J218" s="7">
        <f>G218*(1-$B$6)</f>
        <v/>
      </c>
      <c r="K218" s="7">
        <f>G218*$B$6</f>
        <v/>
      </c>
      <c r="L218" s="7">
        <f>L217+K218</f>
        <v/>
      </c>
      <c r="M218" s="7">
        <f>B218+E218-F218-I218-J218</f>
        <v/>
      </c>
      <c r="N218" s="7">
        <f>M218-L218</f>
        <v/>
      </c>
      <c r="O218" s="7">
        <f>G218*$B$5</f>
        <v/>
      </c>
      <c r="P218" s="7">
        <f>M218-(B218+E218-F218-I218-J218)</f>
        <v/>
      </c>
    </row>
    <row r="219" hidden="1" outlineLevel="1">
      <c r="A219" t="n">
        <v>14</v>
      </c>
      <c r="B219" s="7">
        <f>M218</f>
        <v/>
      </c>
      <c r="C219" s="7">
        <f>MIN(B219,$B$11)</f>
        <v/>
      </c>
      <c r="D219" s="7">
        <f>MAX(B219-C219,0)</f>
        <v/>
      </c>
      <c r="E219" s="7">
        <f>C219*$B$4+D219*$B$13</f>
        <v/>
      </c>
      <c r="F219" s="7">
        <f>$B$10</f>
        <v/>
      </c>
      <c r="G219" s="7">
        <f>IF($B$5&gt;0,MIN(3*$B$7,$B$8*MAX(E219-F219,0)),0)</f>
        <v/>
      </c>
      <c r="H219" s="7">
        <f>MAX(E219-F219-G219,0)</f>
        <v/>
      </c>
      <c r="I219" s="7">
        <f>H219*$B$5</f>
        <v/>
      </c>
      <c r="J219" s="7">
        <f>G219*(1-$B$6)</f>
        <v/>
      </c>
      <c r="K219" s="7">
        <f>G219*$B$6</f>
        <v/>
      </c>
      <c r="L219" s="7">
        <f>L218+K219</f>
        <v/>
      </c>
      <c r="M219" s="7">
        <f>B219+E219-F219-I219-J219</f>
        <v/>
      </c>
      <c r="N219" s="7">
        <f>M219-L219</f>
        <v/>
      </c>
      <c r="O219" s="7">
        <f>G219*$B$5</f>
        <v/>
      </c>
      <c r="P219" s="7">
        <f>M219-(B219+E219-F219-I219-J219)</f>
        <v/>
      </c>
    </row>
    <row r="220" hidden="1" outlineLevel="1">
      <c r="A220" t="n">
        <v>15</v>
      </c>
      <c r="B220" s="7">
        <f>M219</f>
        <v/>
      </c>
      <c r="C220" s="7">
        <f>MIN(B220,$B$11)</f>
        <v/>
      </c>
      <c r="D220" s="7">
        <f>MAX(B220-C220,0)</f>
        <v/>
      </c>
      <c r="E220" s="7">
        <f>C220*$B$4+D220*$B$13</f>
        <v/>
      </c>
      <c r="F220" s="7">
        <f>$B$10</f>
        <v/>
      </c>
      <c r="G220" s="7">
        <f>IF($B$5&gt;0,MIN(3*$B$7,$B$8*MAX(E220-F220,0)),0)</f>
        <v/>
      </c>
      <c r="H220" s="7">
        <f>MAX(E220-F220-G220,0)</f>
        <v/>
      </c>
      <c r="I220" s="7">
        <f>H220*$B$5</f>
        <v/>
      </c>
      <c r="J220" s="7">
        <f>G220*(1-$B$6)</f>
        <v/>
      </c>
      <c r="K220" s="7">
        <f>G220*$B$6</f>
        <v/>
      </c>
      <c r="L220" s="7">
        <f>L219+K220</f>
        <v/>
      </c>
      <c r="M220" s="7">
        <f>B220+E220-F220-I220-J220</f>
        <v/>
      </c>
      <c r="N220" s="7">
        <f>M220-L220</f>
        <v/>
      </c>
      <c r="O220" s="7">
        <f>G220*$B$5</f>
        <v/>
      </c>
      <c r="P220" s="7">
        <f>M220-(B220+E220-F220-I220-J220)</f>
        <v/>
      </c>
    </row>
    <row r="221" hidden="1" outlineLevel="1">
      <c r="A221" t="n">
        <v>16</v>
      </c>
      <c r="B221" s="7">
        <f>M220</f>
        <v/>
      </c>
      <c r="C221" s="7">
        <f>MIN(B221,$B$11)</f>
        <v/>
      </c>
      <c r="D221" s="7">
        <f>MAX(B221-C221,0)</f>
        <v/>
      </c>
      <c r="E221" s="7">
        <f>C221*$B$4+D221*$B$13</f>
        <v/>
      </c>
      <c r="F221" s="7">
        <f>$B$10</f>
        <v/>
      </c>
      <c r="G221" s="7">
        <f>IF($B$5&gt;0,MIN(3*$B$7,$B$8*MAX(E221-F221,0)),0)</f>
        <v/>
      </c>
      <c r="H221" s="7">
        <f>MAX(E221-F221-G221,0)</f>
        <v/>
      </c>
      <c r="I221" s="7">
        <f>H221*$B$5</f>
        <v/>
      </c>
      <c r="J221" s="7">
        <f>G221*(1-$B$6)</f>
        <v/>
      </c>
      <c r="K221" s="7">
        <f>G221*$B$6</f>
        <v/>
      </c>
      <c r="L221" s="7">
        <f>L220+K221</f>
        <v/>
      </c>
      <c r="M221" s="7">
        <f>B221+E221-F221-I221-J221</f>
        <v/>
      </c>
      <c r="N221" s="7">
        <f>M221-L221</f>
        <v/>
      </c>
      <c r="O221" s="7">
        <f>G221*$B$5</f>
        <v/>
      </c>
      <c r="P221" s="7">
        <f>M221-(B221+E221-F221-I221-J221)</f>
        <v/>
      </c>
    </row>
    <row r="222" hidden="1" outlineLevel="1">
      <c r="A222" t="n">
        <v>17</v>
      </c>
      <c r="B222" s="7">
        <f>M221</f>
        <v/>
      </c>
      <c r="C222" s="7">
        <f>MIN(B222,$B$11)</f>
        <v/>
      </c>
      <c r="D222" s="7">
        <f>MAX(B222-C222,0)</f>
        <v/>
      </c>
      <c r="E222" s="7">
        <f>C222*$B$4+D222*$B$13</f>
        <v/>
      </c>
      <c r="F222" s="7">
        <f>$B$10</f>
        <v/>
      </c>
      <c r="G222" s="7">
        <f>IF($B$5&gt;0,MIN(3*$B$7,$B$8*MAX(E222-F222,0)),0)</f>
        <v/>
      </c>
      <c r="H222" s="7">
        <f>MAX(E222-F222-G222,0)</f>
        <v/>
      </c>
      <c r="I222" s="7">
        <f>H222*$B$5</f>
        <v/>
      </c>
      <c r="J222" s="7">
        <f>G222*(1-$B$6)</f>
        <v/>
      </c>
      <c r="K222" s="7">
        <f>G222*$B$6</f>
        <v/>
      </c>
      <c r="L222" s="7">
        <f>L221+K222</f>
        <v/>
      </c>
      <c r="M222" s="7">
        <f>B222+E222-F222-I222-J222</f>
        <v/>
      </c>
      <c r="N222" s="7">
        <f>M222-L222</f>
        <v/>
      </c>
      <c r="O222" s="7">
        <f>G222*$B$5</f>
        <v/>
      </c>
      <c r="P222" s="7">
        <f>M222-(B222+E222-F222-I222-J222)</f>
        <v/>
      </c>
    </row>
    <row r="223" hidden="1" outlineLevel="1">
      <c r="A223" t="n">
        <v>18</v>
      </c>
      <c r="B223" s="7">
        <f>M222</f>
        <v/>
      </c>
      <c r="C223" s="7">
        <f>MIN(B223,$B$11)</f>
        <v/>
      </c>
      <c r="D223" s="7">
        <f>MAX(B223-C223,0)</f>
        <v/>
      </c>
      <c r="E223" s="7">
        <f>C223*$B$4+D223*$B$13</f>
        <v/>
      </c>
      <c r="F223" s="7">
        <f>$B$10</f>
        <v/>
      </c>
      <c r="G223" s="7">
        <f>IF($B$5&gt;0,MIN(3*$B$7,$B$8*MAX(E223-F223,0)),0)</f>
        <v/>
      </c>
      <c r="H223" s="7">
        <f>MAX(E223-F223-G223,0)</f>
        <v/>
      </c>
      <c r="I223" s="7">
        <f>H223*$B$5</f>
        <v/>
      </c>
      <c r="J223" s="7">
        <f>G223*(1-$B$6)</f>
        <v/>
      </c>
      <c r="K223" s="7">
        <f>G223*$B$6</f>
        <v/>
      </c>
      <c r="L223" s="7">
        <f>L222+K223</f>
        <v/>
      </c>
      <c r="M223" s="7">
        <f>B223+E223-F223-I223-J223</f>
        <v/>
      </c>
      <c r="N223" s="7">
        <f>M223-L223</f>
        <v/>
      </c>
      <c r="O223" s="7">
        <f>G223*$B$5</f>
        <v/>
      </c>
      <c r="P223" s="7">
        <f>M223-(B223+E223-F223-I223-J223)</f>
        <v/>
      </c>
    </row>
    <row r="224" hidden="1" outlineLevel="1">
      <c r="A224" t="n">
        <v>19</v>
      </c>
      <c r="B224" s="7">
        <f>M223</f>
        <v/>
      </c>
      <c r="C224" s="7">
        <f>MIN(B224,$B$11)</f>
        <v/>
      </c>
      <c r="D224" s="7">
        <f>MAX(B224-C224,0)</f>
        <v/>
      </c>
      <c r="E224" s="7">
        <f>C224*$B$4+D224*$B$13</f>
        <v/>
      </c>
      <c r="F224" s="7">
        <f>$B$10</f>
        <v/>
      </c>
      <c r="G224" s="7">
        <f>IF($B$5&gt;0,MIN(3*$B$7,$B$8*MAX(E224-F224,0)),0)</f>
        <v/>
      </c>
      <c r="H224" s="7">
        <f>MAX(E224-F224-G224,0)</f>
        <v/>
      </c>
      <c r="I224" s="7">
        <f>H224*$B$5</f>
        <v/>
      </c>
      <c r="J224" s="7">
        <f>G224*(1-$B$6)</f>
        <v/>
      </c>
      <c r="K224" s="7">
        <f>G224*$B$6</f>
        <v/>
      </c>
      <c r="L224" s="7">
        <f>L223+K224</f>
        <v/>
      </c>
      <c r="M224" s="7">
        <f>B224+E224-F224-I224-J224</f>
        <v/>
      </c>
      <c r="N224" s="7">
        <f>M224-L224</f>
        <v/>
      </c>
      <c r="O224" s="7">
        <f>G224*$B$5</f>
        <v/>
      </c>
      <c r="P224" s="7">
        <f>M224-(B224+E224-F224-I224-J224)</f>
        <v/>
      </c>
    </row>
    <row r="225" hidden="1" outlineLevel="1">
      <c r="A225" t="n">
        <v>20</v>
      </c>
      <c r="B225" s="7">
        <f>M224</f>
        <v/>
      </c>
      <c r="C225" s="7">
        <f>MIN(B225,$B$11)</f>
        <v/>
      </c>
      <c r="D225" s="7">
        <f>MAX(B225-C225,0)</f>
        <v/>
      </c>
      <c r="E225" s="7">
        <f>C225*$B$4+D225*$B$13</f>
        <v/>
      </c>
      <c r="F225" s="7">
        <f>$B$10</f>
        <v/>
      </c>
      <c r="G225" s="7">
        <f>IF($B$5&gt;0,MIN(3*$B$7,$B$8*MAX(E225-F225,0)),0)</f>
        <v/>
      </c>
      <c r="H225" s="7">
        <f>MAX(E225-F225-G225,0)</f>
        <v/>
      </c>
      <c r="I225" s="7">
        <f>H225*$B$5</f>
        <v/>
      </c>
      <c r="J225" s="7">
        <f>G225*(1-$B$6)</f>
        <v/>
      </c>
      <c r="K225" s="7">
        <f>G225*$B$6</f>
        <v/>
      </c>
      <c r="L225" s="7">
        <f>L224+K225</f>
        <v/>
      </c>
      <c r="M225" s="7">
        <f>B225+E225-F225-I225-J225</f>
        <v/>
      </c>
      <c r="N225" s="7">
        <f>M225-L225</f>
        <v/>
      </c>
      <c r="O225" s="7">
        <f>G225*$B$5</f>
        <v/>
      </c>
      <c r="P225" s="7">
        <f>M225-(B225+E225-F225-I225-J225)</f>
        <v/>
      </c>
    </row>
    <row r="226" hidden="1" outlineLevel="1">
      <c r="B226" s="7" t="n"/>
      <c r="C226" s="7" t="n"/>
      <c r="D226" s="7" t="n"/>
      <c r="E226" s="7" t="n"/>
      <c r="F226" s="7" t="n"/>
      <c r="G226" s="7" t="n"/>
      <c r="H226" s="7" t="n"/>
      <c r="I226" s="7" t="n"/>
      <c r="J226" s="7" t="n"/>
      <c r="K226" s="7" t="n"/>
      <c r="L226" s="7" t="n"/>
      <c r="M226" s="7" t="n"/>
      <c r="N226" s="7" t="n"/>
      <c r="O226" s="7" t="n"/>
      <c r="P226" s="7" t="n"/>
    </row>
  </sheetData>
  <dataValidations count="1">
    <dataValidation sqref="B6" showDropDown="0" showInputMessage="0" showErrorMessage="1" allowBlank="0" type="decimal" operator="between">
      <formula1>0</formula1>
      <formula2>1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2026-10-14T21:00:17Z</dcterms:created>
  <dcterms:modified xmlns:dcterms="http://purl.org/dc/terms/" xmlns:xsi="http://www.w3.org/2001/XMLSchema-instance" xsi:type="dcterms:W3CDTF">2026-10-21T06:52:17Z</dcterms:modified>
</cp:coreProperties>
</file>