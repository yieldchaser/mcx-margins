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Trade Breakdown &amp; Buffer" sheetId="2" state="visible" r:id="rId2"/>
    <sheet xmlns:r="http://schemas.openxmlformats.org/officeDocument/2006/relationships" name="75% Annual" sheetId="3" state="visible" r:id="rId3"/>
    <sheet xmlns:r="http://schemas.openxmlformats.org/officeDocument/2006/relationships" name="80% Annual" sheetId="4" state="visible" r:id="rId4"/>
    <sheet xmlns:r="http://schemas.openxmlformats.org/officeDocument/2006/relationships" name="85% Annual" sheetId="5" state="visible" r:id="rId5"/>
    <sheet xmlns:r="http://schemas.openxmlformats.org/officeDocument/2006/relationships" name="100% Annual" sheetId="6" state="visible" r:id="rId6"/>
    <sheet xmlns:r="http://schemas.openxmlformats.org/officeDocument/2006/relationships" name="120% Annu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0.000000"/>
    <numFmt numFmtId="166" formatCode="₹#,##0.00"/>
    <numFmt numFmtId="167" formatCode="0.0%"/>
    <numFmt numFmtId="168" formatCode="₹#,##0"/>
    <numFmt numFmtId="169" formatCode="₹#,##0.000"/>
    <numFmt numFmtId="170" formatCode="0.00&quot;x&quot;"/>
    <numFmt numFmtId="171" formatCode="-0.0%"/>
    <numFmt numFmtId="172" formatCode="₹#,##0.0"/>
    <numFmt numFmtId="173" formatCode="#,##0.0"/>
    <numFmt numFmtId="174" formatCode="0.0&quot;x&quot;"/>
  </numFmts>
  <fonts count="10">
    <font>
      <name val="Calibri"/>
      <family val="2"/>
      <color theme="1"/>
      <sz val="11"/>
      <scheme val="minor"/>
    </font>
    <font>
      <b val="1"/>
      <color rgb="000000C0"/>
    </font>
    <font>
      <b val="1"/>
      <color rgb="00FFFFFF"/>
    </font>
    <font>
      <name val="Calibri"/>
      <b val="1"/>
      <color rgb="001F3864"/>
      <sz val="14"/>
    </font>
    <font>
      <name val="Calibri"/>
      <i val="1"/>
      <color rgb="00595959"/>
      <sz val="10"/>
    </font>
    <font>
      <name val="Calibri"/>
      <b val="1"/>
      <color rgb="001F3864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i val="1"/>
      <sz val="10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4F8E8"/>
      </patternFill>
    </fill>
    <fill>
      <patternFill patternType="solid">
        <fgColor rgb="001F3864"/>
        <bgColor rgb="001F3864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2E5B82"/>
        <bgColor rgb="002E5B8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3864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164" fontId="1" fillId="2" borderId="0" pivotButton="0" quotePrefix="0" xfId="0"/>
    <xf numFmtId="10" fontId="1" fillId="2" borderId="0" pivotButton="0" quotePrefix="0" xfId="0"/>
    <xf numFmtId="0" fontId="2" fillId="3" borderId="0" applyAlignment="1" pivotButton="0" quotePrefix="0" xfId="0">
      <alignment vertical="center" wrapText="1"/>
    </xf>
    <xf numFmtId="2" fontId="0" fillId="4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2" fillId="3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7" fillId="0" borderId="2" pivotButton="0" quotePrefix="0" xfId="0"/>
    <xf numFmtId="166" fontId="8" fillId="7" borderId="2" applyAlignment="1" pivotButton="0" quotePrefix="0" xfId="0">
      <alignment horizontal="right"/>
    </xf>
    <xf numFmtId="0" fontId="9" fillId="0" borderId="2" applyAlignment="1" pivotButton="0" quotePrefix="0" xfId="0">
      <alignment horizontal="center"/>
    </xf>
    <xf numFmtId="3" fontId="8" fillId="0" borderId="2" applyAlignment="1" pivotButton="0" quotePrefix="0" xfId="0">
      <alignment horizontal="right"/>
    </xf>
    <xf numFmtId="167" fontId="8" fillId="7" borderId="2" applyAlignment="1" pivotButton="0" quotePrefix="0" xfId="0">
      <alignment horizontal="right"/>
    </xf>
    <xf numFmtId="0" fontId="8" fillId="0" borderId="2" pivotButton="0" quotePrefix="0" xfId="0"/>
    <xf numFmtId="167" fontId="8" fillId="8" borderId="2" applyAlignment="1" pivotButton="0" quotePrefix="0" xfId="0">
      <alignment horizontal="right"/>
    </xf>
    <xf numFmtId="168" fontId="8" fillId="0" borderId="2" applyAlignment="1" pivotButton="0" quotePrefix="0" xfId="0">
      <alignment horizontal="right"/>
    </xf>
    <xf numFmtId="3" fontId="8" fillId="9" borderId="2" applyAlignment="1" pivotButton="0" quotePrefix="0" xfId="0">
      <alignment horizontal="right"/>
    </xf>
    <xf numFmtId="3" fontId="8" fillId="8" borderId="2" applyAlignment="1" pivotButton="0" quotePrefix="0" xfId="0">
      <alignment horizontal="right"/>
    </xf>
    <xf numFmtId="169" fontId="8" fillId="0" borderId="2" applyAlignment="1" pivotButton="0" quotePrefix="0" xfId="0">
      <alignment horizontal="right"/>
    </xf>
    <xf numFmtId="170" fontId="8" fillId="8" borderId="2" applyAlignment="1" pivotButton="0" quotePrefix="0" xfId="0">
      <alignment horizontal="right"/>
    </xf>
    <xf numFmtId="166" fontId="8" fillId="8" borderId="2" applyAlignment="1" pivotButton="0" quotePrefix="0" xfId="0">
      <alignment horizontal="right"/>
    </xf>
    <xf numFmtId="171" fontId="8" fillId="8" borderId="2" applyAlignment="1" pivotButton="0" quotePrefix="0" xfId="0">
      <alignment horizontal="right"/>
    </xf>
    <xf numFmtId="0" fontId="6" fillId="6" borderId="1" applyAlignment="1" pivotButton="0" quotePrefix="0" xfId="0">
      <alignment horizontal="center" vertical="center" wrapText="1"/>
    </xf>
    <xf numFmtId="0" fontId="8" fillId="9" borderId="2" pivotButton="0" quotePrefix="0" xfId="0"/>
    <xf numFmtId="166" fontId="7" fillId="9" borderId="2" applyAlignment="1" pivotButton="0" quotePrefix="0" xfId="0">
      <alignment horizontal="right"/>
    </xf>
    <xf numFmtId="167" fontId="7" fillId="9" borderId="2" applyAlignment="1" pivotButton="0" quotePrefix="0" xfId="0">
      <alignment horizontal="right"/>
    </xf>
    <xf numFmtId="3" fontId="8" fillId="9" borderId="2" applyAlignment="1" pivotButton="0" quotePrefix="0" xfId="0">
      <alignment horizontal="center"/>
    </xf>
    <xf numFmtId="169" fontId="7" fillId="9" borderId="2" applyAlignment="1" pivotButton="0" quotePrefix="0" xfId="0">
      <alignment horizontal="right"/>
    </xf>
    <xf numFmtId="170" fontId="8" fillId="9" borderId="2" applyAlignment="1" pivotButton="0" quotePrefix="0" xfId="0">
      <alignment horizontal="right"/>
    </xf>
    <xf numFmtId="0" fontId="8" fillId="9" borderId="2" applyAlignment="1" pivotButton="0" quotePrefix="0" xfId="0">
      <alignment horizontal="center"/>
    </xf>
    <xf numFmtId="0" fontId="7" fillId="9" borderId="2" applyAlignment="1" pivotButton="0" quotePrefix="0" xfId="0">
      <alignment horizontal="center"/>
    </xf>
    <xf numFmtId="166" fontId="7" fillId="0" borderId="2" applyAlignment="1" pivotButton="0" quotePrefix="0" xfId="0">
      <alignment horizontal="right"/>
    </xf>
    <xf numFmtId="167" fontId="7" fillId="0" borderId="2" applyAlignment="1" pivotButton="0" quotePrefix="0" xfId="0">
      <alignment horizontal="right"/>
    </xf>
    <xf numFmtId="3" fontId="8" fillId="0" borderId="2" applyAlignment="1" pivotButton="0" quotePrefix="0" xfId="0">
      <alignment horizontal="center"/>
    </xf>
    <xf numFmtId="169" fontId="7" fillId="0" borderId="2" applyAlignment="1" pivotButton="0" quotePrefix="0" xfId="0">
      <alignment horizontal="right"/>
    </xf>
    <xf numFmtId="170" fontId="8" fillId="0" borderId="2" applyAlignment="1" pivotButton="0" quotePrefix="0" xfId="0">
      <alignment horizontal="right"/>
    </xf>
    <xf numFmtId="171" fontId="8" fillId="0" borderId="2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8" fillId="8" borderId="2" pivotButton="0" quotePrefix="0" xfId="0"/>
    <xf numFmtId="166" fontId="7" fillId="8" borderId="2" applyAlignment="1" pivotButton="0" quotePrefix="0" xfId="0">
      <alignment horizontal="right"/>
    </xf>
    <xf numFmtId="167" fontId="7" fillId="8" borderId="2" applyAlignment="1" pivotButton="0" quotePrefix="0" xfId="0">
      <alignment horizontal="right"/>
    </xf>
    <xf numFmtId="3" fontId="8" fillId="8" borderId="2" applyAlignment="1" pivotButton="0" quotePrefix="0" xfId="0">
      <alignment horizontal="center"/>
    </xf>
    <xf numFmtId="169" fontId="7" fillId="8" borderId="2" applyAlignment="1" pivotButton="0" quotePrefix="0" xfId="0">
      <alignment horizontal="right"/>
    </xf>
    <xf numFmtId="171" fontId="8" fillId="8" borderId="2" applyAlignment="1" pivotButton="0" quotePrefix="0" xfId="0">
      <alignment horizontal="center"/>
    </xf>
    <xf numFmtId="0" fontId="7" fillId="8" borderId="2" applyAlignment="1" pivotButton="0" quotePrefix="0" xfId="0">
      <alignment horizontal="center"/>
    </xf>
    <xf numFmtId="0" fontId="8" fillId="10" borderId="2" pivotButton="0" quotePrefix="0" xfId="0"/>
    <xf numFmtId="166" fontId="7" fillId="10" borderId="2" applyAlignment="1" pivotButton="0" quotePrefix="0" xfId="0">
      <alignment horizontal="right"/>
    </xf>
    <xf numFmtId="167" fontId="7" fillId="10" borderId="2" applyAlignment="1" pivotButton="0" quotePrefix="0" xfId="0">
      <alignment horizontal="right"/>
    </xf>
    <xf numFmtId="3" fontId="8" fillId="10" borderId="2" applyAlignment="1" pivotButton="0" quotePrefix="0" xfId="0">
      <alignment horizontal="center"/>
    </xf>
    <xf numFmtId="169" fontId="7" fillId="10" borderId="2" applyAlignment="1" pivotButton="0" quotePrefix="0" xfId="0">
      <alignment horizontal="right"/>
    </xf>
    <xf numFmtId="170" fontId="8" fillId="10" borderId="2" applyAlignment="1" pivotButton="0" quotePrefix="0" xfId="0">
      <alignment horizontal="right"/>
    </xf>
    <xf numFmtId="171" fontId="8" fillId="10" borderId="2" applyAlignment="1" pivotButton="0" quotePrefix="0" xfId="0">
      <alignment horizontal="center"/>
    </xf>
    <xf numFmtId="0" fontId="7" fillId="10" borderId="2" applyAlignment="1" pivotButton="0" quotePrefix="0" xfId="0">
      <alignment horizontal="center"/>
    </xf>
    <xf numFmtId="0" fontId="8" fillId="8" borderId="2" applyAlignment="1" pivotButton="0" quotePrefix="0" xfId="0">
      <alignment horizontal="left"/>
    </xf>
    <xf numFmtId="0" fontId="8" fillId="8" borderId="2" applyAlignment="1" pivotButton="0" quotePrefix="0" xfId="0">
      <alignment horizontal="center"/>
    </xf>
    <xf numFmtId="172" fontId="7" fillId="8" borderId="2" applyAlignment="1" pivotButton="0" quotePrefix="0" xfId="0">
      <alignment horizontal="right"/>
    </xf>
    <xf numFmtId="173" fontId="7" fillId="8" borderId="2" applyAlignment="1" pivotButton="0" quotePrefix="0" xfId="0">
      <alignment horizontal="center"/>
    </xf>
    <xf numFmtId="174" fontId="8" fillId="8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8" fillId="0" borderId="2" applyAlignment="1" pivotButton="0" quotePrefix="0" xfId="0">
      <alignment horizontal="center"/>
    </xf>
    <xf numFmtId="172" fontId="7" fillId="0" borderId="2" applyAlignment="1" pivotButton="0" quotePrefix="0" xfId="0">
      <alignment horizontal="right"/>
    </xf>
    <xf numFmtId="167" fontId="8" fillId="0" borderId="2" applyAlignment="1" pivotButton="0" quotePrefix="0" xfId="0">
      <alignment horizontal="right"/>
    </xf>
    <xf numFmtId="173" fontId="7" fillId="0" borderId="2" applyAlignment="1" pivotButton="0" quotePrefix="0" xfId="0">
      <alignment horizontal="center"/>
    </xf>
    <xf numFmtId="174" fontId="8" fillId="0" borderId="2" applyAlignment="1" pivotButton="0" quotePrefix="0" xfId="0">
      <alignment horizontal="center"/>
    </xf>
    <xf numFmtId="0" fontId="6" fillId="11" borderId="1" applyAlignment="1" pivotButton="0" quotePrefix="0" xfId="0">
      <alignment horizontal="center" vertical="center"/>
    </xf>
    <xf numFmtId="173" fontId="8" fillId="0" borderId="2" applyAlignment="1" pivotButton="0" quotePrefix="0" xfId="0">
      <alignment horizontal="right"/>
    </xf>
    <xf numFmtId="173" fontId="7" fillId="0" borderId="2" applyAlignment="1" pivotButton="0" quotePrefix="0" xfId="0">
      <alignment horizontal="right"/>
    </xf>
    <xf numFmtId="3" fontId="7" fillId="0" borderId="2" applyAlignment="1" pivotButton="0" quotePrefix="0" xfId="0">
      <alignment horizontal="center"/>
    </xf>
    <xf numFmtId="10" fontId="7" fillId="0" borderId="2" applyAlignment="1" pivotButton="0" quotePrefix="0" xfId="0">
      <alignment horizontal="right"/>
    </xf>
    <xf numFmtId="0" fontId="7" fillId="0" borderId="2" applyAlignment="1" pivotButton="0" quotePrefix="0" xfId="0">
      <alignment horizontal="left"/>
    </xf>
    <xf numFmtId="166" fontId="8" fillId="0" borderId="2" applyAlignment="1" pivotButton="0" quotePrefix="0" xfId="0">
      <alignment horizontal="right"/>
    </xf>
    <xf numFmtId="0" fontId="7" fillId="8" borderId="2" applyAlignment="1" pivotButton="0" quotePrefix="0" xfId="0">
      <alignment horizontal="left"/>
    </xf>
    <xf numFmtId="0" fontId="8" fillId="10" borderId="2" applyAlignment="1" pivotButton="0" quotePrefix="0" xfId="0">
      <alignment horizontal="left"/>
    </xf>
    <xf numFmtId="166" fontId="8" fillId="10" borderId="2" applyAlignment="1" pivotButton="0" quotePrefix="0" xfId="0">
      <alignment horizontal="right"/>
    </xf>
    <xf numFmtId="0" fontId="7" fillId="10" borderId="2" applyAlignment="1" pivotButton="0" quotePrefix="0" xfId="0">
      <alignment horizontal="left"/>
    </xf>
    <xf numFmtId="3" fontId="7" fillId="8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 ht="30" customHeight="1">
      <c r="A1" s="1" t="inlineStr">
        <is>
          <t>FINAL MCX ROUTE COMPARISON</t>
        </is>
      </c>
      <c r="B1" s="1" t="inlineStr">
        <is>
          <t>Live formulas; annual cycles; not a legal opinion or return forecast</t>
        </is>
      </c>
    </row>
    <row r="2" ht="30" customHeight="1">
      <c r="A2" s="1" t="inlineStr">
        <is>
          <t>Use</t>
        </is>
      </c>
      <c r="B2" s="1" t="inlineStr">
        <is>
          <t>Open 75% Annual first. Inputs at top; closing-capital comparison then full cash ledgers.</t>
        </is>
      </c>
    </row>
    <row r="3" ht="30" customHeight="1">
      <c r="A3" s="1" t="inlineStr">
        <is>
          <t>Rates included</t>
        </is>
      </c>
      <c r="B3" s="1" t="inlineStr">
        <is>
          <t>75%, 80%, 100%, 120% annual; same assumptions throughout</t>
        </is>
      </c>
    </row>
    <row r="4" ht="30" customHeight="1">
      <c r="A4" s="1" t="inlineStr">
        <is>
          <t>Default loan-back</t>
        </is>
      </c>
      <c r="B4" s="1" t="inlineStr">
        <is>
          <t>90%. Change B6 to 100% to compare. Employee cash remains their property.</t>
        </is>
      </c>
    </row>
    <row r="5" ht="30" customHeight="1">
      <c r="A5" s="1" t="inlineStr">
        <is>
          <t>Personal income</t>
        </is>
      </c>
      <c r="B5" s="1" t="inlineStr">
        <is>
          <t>No outside taxable income assumed; change B12 if you have employment income (after deductions).</t>
        </is>
      </c>
    </row>
    <row r="6" ht="30" customHeight="1">
      <c r="A6" s="1" t="inlineStr">
        <is>
          <t>Company tax</t>
        </is>
      </c>
      <c r="B6" s="1" t="inlineStr">
        <is>
          <t>25.168%, conditional on applicable concessional election and compliance.</t>
        </is>
      </c>
    </row>
    <row r="7" ht="30" customHeight="1">
      <c r="A7" s="1" t="inlineStr">
        <is>
          <t>Salaries</t>
        </is>
      </c>
      <c r="B7" s="1" t="inlineStr">
        <is>
          <t>Clean structure: MD salary up to ₹12.75L + Mother office rent up to ₹4.8L. Artificial non-working family salaries dropped due to s.37/s.40A(2) GAAR disallowance.</t>
        </is>
      </c>
    </row>
    <row r="8" ht="30" customHeight="1">
      <c r="A8" s="1" t="inlineStr">
        <is>
          <t>Loan eligibility</t>
        </is>
      </c>
      <c r="B8" s="1" t="inlineStr">
        <is>
          <t>Gifts from Father and Brother u/s 56(2)(x) are 100% tax-free capital infusions. No circular loanback shams.</t>
        </is>
      </c>
    </row>
    <row r="9" ht="30" customHeight="1">
      <c r="A9" s="1" t="inlineStr">
        <is>
          <t>Debt</t>
        </is>
      </c>
      <c r="B9" s="1" t="inlineStr">
        <is>
          <t>No repayments or waivers assumed. Outstanding salary loans remain liabilities; silence does not extinguish them.</t>
        </is>
      </c>
    </row>
    <row r="10" ht="30" customHeight="1">
      <c r="A10" s="1" t="inlineStr">
        <is>
          <t>Costs</t>
        </is>
      </c>
      <c r="B10" s="1" t="inlineStr">
        <is>
          <t>Personal AI/software ₹50k/year; company AI/software ₹50k + audit allowance ₹50k. Estimates, not quotes.</t>
        </is>
      </c>
    </row>
    <row r="11" ht="30" customHeight="1">
      <c r="A11" s="1" t="inlineStr">
        <is>
          <t>Not priced</t>
        </is>
      </c>
      <c r="B11" s="1" t="inlineStr">
        <is>
          <t>Incorporation, statutory filing fees, GST or increasing audit fees; enter actual totals in inputs.</t>
        </is>
      </c>
    </row>
    <row r="12" ht="30" customHeight="1">
      <c r="A12" s="1" t="inlineStr">
        <is>
          <t>Return meaning</t>
        </is>
      </c>
      <c r="B12" s="1" t="inlineStr">
        <is>
          <t>After brokerage/CTT/roll/slippage, before overhead/payroll/tax. Annual return only on deployed capital.</t>
        </is>
      </c>
    </row>
    <row r="13" ht="30" customHeight="1">
      <c r="A13" s="1" t="inlineStr">
        <is>
          <t>Ceiling</t>
        </is>
      </c>
      <c r="B13" s="1" t="inlineStr">
        <is>
          <t>₹54.05 Cr empirical SEBI limit (4,800 lots @ ₹300 gas &amp; 3.33x leverage). Excess capital earns 6.5% idle yield.</t>
        </is>
      </c>
    </row>
    <row r="14" ht="30" customHeight="1">
      <c r="A14" s="1" t="inlineStr">
        <is>
          <t>Tax limitations</t>
        </is>
      </c>
      <c r="B14" s="1" t="inlineStr">
        <is>
          <t>Current slab assumptions held constant 20 years; marginal relief included; no loss carryforwards/advance-tax timing.</t>
        </is>
      </c>
    </row>
    <row r="15" ht="30" customHeight="1">
      <c r="A15" s="1" t="inlineStr">
        <is>
          <t>Personal tax inputs</t>
        </is>
      </c>
      <c r="B15" s="1" t="inlineStr">
        <is>
          <t>B12 is OTHER TAXABLE income, not gross salary; standard deduction must already be subtracted.</t>
        </is>
      </c>
    </row>
    <row r="16" ht="30" customHeight="1">
      <c r="A16" s="1" t="inlineStr">
        <is>
          <t>Loan conversion/waiver</t>
        </is>
      </c>
      <c r="B16" s="1" t="inlineStr">
        <is>
          <t>Not modelled: needs separate legal and tax assessment.</t>
        </is>
      </c>
    </row>
    <row r="17" ht="30" customHeight="1">
      <c r="A17" s="1" t="inlineStr">
        <is>
          <t>Tax references</t>
        </is>
      </c>
      <c r="B17" s="1" t="inlineStr">
        <is>
          <t>1961 Act section labels are legacy; confirm corresponding provisions under 2025 Act.</t>
        </is>
      </c>
    </row>
    <row r="18" ht="30" customHeight="1">
      <c r="A18" s="1" t="inlineStr">
        <is>
          <t>Sources</t>
        </is>
      </c>
      <c r="B18" s="1" t="inlineStr">
        <is>
          <t>https://www.incometaxindia.gov.in/w/section-40a-47 ; https://www.incometaxindia.gov.in/w/tax-rates%E2%80%8B</t>
        </is>
      </c>
    </row>
    <row r="19" ht="30" customHeight="1">
      <c r="A19" s="1" t="inlineStr">
        <is>
          <t>Version scope</t>
        </is>
      </c>
      <c r="B19" s="1" t="inlineStr">
        <is>
          <t>Self-contained final comparison, not the shipping/ETF workbook.</t>
        </is>
      </c>
    </row>
    <row r="20" ht="30" customHeight="1">
      <c r="A20" s="1" t="inlineStr">
        <is>
          <t>Trade Breakdown &amp; Buffer</t>
        </is>
      </c>
      <c r="B20" s="1" t="inlineStr">
        <is>
          <t>Dedicated Sheet 'Trade Breakdown &amp; Buffer': Live empirical sizing model, 40%-50% cash buffer stress tests, multi-trade decomposition (30%, 24.5%, 12.5% into 2/3/4 trades), empirical swing frequencies across 5,066 days, and SEBI capital milestone schedule.</t>
        </is>
      </c>
    </row>
    <row r="21" ht="30" customHeight="1">
      <c r="A21" s="1" t="inlineStr">
        <is>
          <t>75% year-10 capital</t>
        </is>
      </c>
      <c r="B21" s="1" t="inlineStr">
        <is>
          <t>32.83, 50.49, 53.42, 55.69, 57.02</t>
        </is>
      </c>
    </row>
    <row r="22" ht="30" customHeight="1">
      <c r="A22" s="1" t="inlineStr">
        <is>
          <t>80% year-10 capital</t>
        </is>
      </c>
      <c r="B22" s="1" t="inlineStr">
        <is>
          <t>40.22, 64.07, 67.56, 70.35, 72.05</t>
        </is>
      </c>
    </row>
    <row r="23" ht="30" customHeight="1">
      <c r="A23" s="1" t="inlineStr">
        <is>
          <t>100% year-10 capital</t>
        </is>
      </c>
      <c r="B23" s="1" t="inlineStr">
        <is>
          <t>84.23, 157.43, 164.30, 170.73, 174.65</t>
        </is>
      </c>
    </row>
    <row r="24" ht="30" customHeight="1">
      <c r="A24" s="1" t="inlineStr">
        <is>
          <t>120% year-10 capital</t>
        </is>
      </c>
      <c r="B24" s="1" t="inlineStr">
        <is>
          <t>169.59, 285.87, 292.94, 296.95, 299.49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24" customWidth="1" min="2" max="2"/>
    <col width="26" customWidth="1" min="3" max="3"/>
    <col width="24" customWidth="1" min="4" max="4"/>
    <col width="20" customWidth="1" min="5" max="5"/>
    <col width="24" customWidth="1" min="6" max="6"/>
    <col width="24" customWidth="1" min="7" max="7"/>
    <col width="26" customWidth="1" min="8" max="8"/>
    <col width="30" customWidth="1" min="9" max="9"/>
    <col width="26" customWidth="1" min="10" max="10"/>
    <col width="24" customWidth="1" min="11" max="11"/>
  </cols>
  <sheetData>
    <row r="1">
      <c r="A1" s="9" t="inlineStr">
        <is>
          <t>MCX NATURAL GAS: POSITION SIZING, BUFFER ABSORPTION &amp; SWING DECOMPOSITION</t>
        </is>
      </c>
    </row>
    <row r="2">
      <c r="A2" s="10" t="inlineStr">
        <is>
          <t>Empirical First-Principles Model across 5,066 Trading Days (2007–2026) in data/prices.db | Live Interactive Formulas</t>
        </is>
      </c>
    </row>
    <row r="4">
      <c r="A4" s="11" t="inlineStr">
        <is>
          <t>1. INTERACTIVE DESK INPUT PARAMETERS (Cream cells are live inputs)</t>
        </is>
      </c>
    </row>
    <row r="5">
      <c r="A5" s="12" t="inlineStr">
        <is>
          <t>Parameter Description</t>
        </is>
      </c>
      <c r="B5" s="13" t="inlineStr">
        <is>
          <t>Model Value</t>
        </is>
      </c>
      <c r="C5" s="13" t="inlineStr">
        <is>
          <t>Unit / Metric</t>
        </is>
      </c>
      <c r="D5" s="13" t="inlineStr">
        <is>
          <t>Formula / Source Reference</t>
        </is>
      </c>
    </row>
    <row r="6">
      <c r="A6" s="14" t="inlineStr">
        <is>
          <t>Desk Account Equity (Total Capital)</t>
        </is>
      </c>
      <c r="B6" s="15" t="n">
        <v>1</v>
      </c>
      <c r="C6" s="16" t="inlineStr">
        <is>
          <t>₹ Crores</t>
        </is>
      </c>
      <c r="D6" s="14" t="inlineStr">
        <is>
          <t>Input: Liquid equity deployed to desk</t>
        </is>
      </c>
    </row>
    <row r="7">
      <c r="A7" s="14" t="inlineStr">
        <is>
          <t>MCX Natural Gas Underlying Price</t>
        </is>
      </c>
      <c r="B7" s="15" t="n">
        <v>280</v>
      </c>
      <c r="C7" s="16" t="inlineStr">
        <is>
          <t>₹ / mmBtu</t>
        </is>
      </c>
      <c r="D7" s="14" t="inlineStr">
        <is>
          <t>Input: Current front-month price quote</t>
        </is>
      </c>
    </row>
    <row r="8">
      <c r="A8" s="14" t="inlineStr">
        <is>
          <t>Contract Multiplier</t>
        </is>
      </c>
      <c r="B8" s="17" t="n">
        <v>1250</v>
      </c>
      <c r="C8" s="16" t="inlineStr">
        <is>
          <t>mmBtu / lot</t>
        </is>
      </c>
      <c r="D8" s="14" t="inlineStr">
        <is>
          <t>Fixed: MCX Big Natural Gas contract size</t>
        </is>
      </c>
    </row>
    <row r="9">
      <c r="A9" s="14" t="inlineStr">
        <is>
          <t>Exchange Margin Requirement (Initial + ELM)</t>
        </is>
      </c>
      <c r="B9" s="18" t="n">
        <v>0.16</v>
      </c>
      <c r="C9" s="16" t="inlineStr">
        <is>
          <t>% of Notional</t>
        </is>
      </c>
      <c r="D9" s="14" t="inlineStr">
        <is>
          <t>MCXCCL baseline initial + ELM requirement (~16%)</t>
        </is>
      </c>
    </row>
    <row r="10">
      <c r="A10" s="19" t="inlineStr">
        <is>
          <t>Target Margin Utilization</t>
        </is>
      </c>
      <c r="B10" s="18" t="n">
        <v>0.5</v>
      </c>
      <c r="C10" s="16" t="inlineStr">
        <is>
          <t>% of Equity</t>
        </is>
      </c>
      <c r="D10" s="14" t="inlineStr">
        <is>
          <t>Input: 50% to 60% discipline (holding 40-50% buffer)</t>
        </is>
      </c>
    </row>
    <row r="11">
      <c r="A11" s="14" t="inlineStr">
        <is>
          <t>Resulting Unencumbered Cash Buffer</t>
        </is>
      </c>
      <c r="B11" s="20">
        <f>1-B10</f>
        <v/>
      </c>
      <c r="C11" s="16" t="inlineStr">
        <is>
          <t>% of Equity</t>
        </is>
      </c>
      <c r="D11" s="14" t="inlineStr">
        <is>
          <t>Formula: Capital held in overnight yield / T-Bills</t>
        </is>
      </c>
    </row>
    <row r="12">
      <c r="A12" s="14" t="inlineStr">
        <is>
          <t>Single Contract Notional Value</t>
        </is>
      </c>
      <c r="B12" s="21">
        <f>B7*B8</f>
        <v/>
      </c>
      <c r="C12" s="16" t="inlineStr">
        <is>
          <t>₹ per Contract</t>
        </is>
      </c>
      <c r="D12" s="14" t="inlineStr">
        <is>
          <t>Formula: Price × 1,250 mmBtu</t>
        </is>
      </c>
    </row>
    <row r="13">
      <c r="A13" s="14" t="inlineStr">
        <is>
          <t>Margin Required per Single Contract</t>
        </is>
      </c>
      <c r="B13" s="21">
        <f>B12*B9</f>
        <v/>
      </c>
      <c r="C13" s="16" t="inlineStr">
        <is>
          <t>₹ per Lot</t>
        </is>
      </c>
      <c r="D13" s="14" t="inlineStr">
        <is>
          <t>Formula: Notional Value × Margin %</t>
        </is>
      </c>
    </row>
    <row r="14">
      <c r="A14" s="19" t="inlineStr">
        <is>
          <t>100% Max Capacity (Zero Buffer - Liquidation Hazard)</t>
        </is>
      </c>
      <c r="B14" s="22">
        <f>INT((B6*10000000)/B13)</f>
        <v/>
      </c>
      <c r="C14" s="16" t="inlineStr">
        <is>
          <t>Lots</t>
        </is>
      </c>
      <c r="D14" s="14" t="inlineStr">
        <is>
          <t>Formula: 100% equity / Margin per lot (6.25x leverage)</t>
        </is>
      </c>
    </row>
    <row r="15">
      <c r="A15" s="19" t="inlineStr">
        <is>
          <t>Disciplined Target Lots Deployed</t>
        </is>
      </c>
      <c r="B15" s="23">
        <f>INT((B6*10000000*B10)/B13)</f>
        <v/>
      </c>
      <c r="C15" s="16" t="inlineStr">
        <is>
          <t>Lots</t>
        </is>
      </c>
      <c r="D15" s="14" t="inlineStr">
        <is>
          <t>Formula: Target Margin Equity / Margin per lot</t>
        </is>
      </c>
    </row>
    <row r="16">
      <c r="A16" s="14" t="inlineStr">
        <is>
          <t>Total Active Notional Market Exposure</t>
        </is>
      </c>
      <c r="B16" s="24">
        <f>(B15*B12)/10000000</f>
        <v/>
      </c>
      <c r="C16" s="16" t="inlineStr">
        <is>
          <t>₹ Crores</t>
        </is>
      </c>
      <c r="D16" s="14" t="inlineStr">
        <is>
          <t>Formula: Lots Deployed × Contract Notional Value</t>
        </is>
      </c>
    </row>
    <row r="17">
      <c r="A17" s="14" t="inlineStr">
        <is>
          <t>Effective Portfolio Leverage</t>
        </is>
      </c>
      <c r="B17" s="25">
        <f>B16/B6</f>
        <v/>
      </c>
      <c r="C17" s="16" t="inlineStr">
        <is>
          <t>x Leverage</t>
        </is>
      </c>
      <c r="D17" s="14" t="inlineStr">
        <is>
          <t>Formula: Active Notional Exposure / Account Equity</t>
        </is>
      </c>
    </row>
    <row r="18">
      <c r="A18" s="14" t="inlineStr">
        <is>
          <t>Liquid Cash Buffer Reserve</t>
        </is>
      </c>
      <c r="B18" s="26">
        <f>(B6*10000000*B11)/100000</f>
        <v/>
      </c>
      <c r="C18" s="16" t="inlineStr">
        <is>
          <t>₹ Lakhs</t>
        </is>
      </c>
      <c r="D18" s="14" t="inlineStr">
        <is>
          <t>Formula: Equity × Cash Buffer % (Instant M2M cushion)</t>
        </is>
      </c>
    </row>
    <row r="19">
      <c r="A19" s="19" t="inlineStr">
        <is>
          <t>Adverse Move Absorbed Before Margin Call</t>
        </is>
      </c>
      <c r="B19" s="27">
        <f>-B11/B17</f>
        <v/>
      </c>
      <c r="C19" s="16" t="inlineStr">
        <is>
          <t>% Adverse Move</t>
        </is>
      </c>
      <c r="D19" s="14" t="inlineStr">
        <is>
          <t>Formula: -Cash Buffer % / Effective Leverage</t>
        </is>
      </c>
    </row>
    <row r="22">
      <c r="A22" s="11" t="inlineStr">
        <is>
          <t>2. CAPITAL SIZING &amp; RISK ABSORPTION SPECTRUM (Per ₹1.00 Crore Account Equity)</t>
        </is>
      </c>
    </row>
    <row r="23" ht="28" customHeight="1">
      <c r="A23" s="28" t="inlineStr">
        <is>
          <t>Sizing Discipline Strategy</t>
        </is>
      </c>
      <c r="B23" s="28" t="inlineStr">
        <is>
          <t>Pledged Margin (₹ Lakhs)</t>
        </is>
      </c>
      <c r="C23" s="28" t="inlineStr">
        <is>
          <t>Pledged Margin (%)</t>
        </is>
      </c>
      <c r="D23" s="28" t="inlineStr">
        <is>
          <t>Liquid Cash Buffer (₹ L)</t>
        </is>
      </c>
      <c r="E23" s="28" t="inlineStr">
        <is>
          <t>Buffer Share (%)</t>
        </is>
      </c>
      <c r="F23" s="28" t="inlineStr">
        <is>
          <t>Lots Held</t>
        </is>
      </c>
      <c r="G23" s="28" t="inlineStr">
        <is>
          <t>Notional Exposure (₹ Cr)</t>
        </is>
      </c>
      <c r="H23" s="28" t="inlineStr">
        <is>
          <t>Effective Leverage</t>
        </is>
      </c>
      <c r="I23" s="28" t="inlineStr">
        <is>
          <t>Adverse Crash Absorbed</t>
        </is>
      </c>
      <c r="J23" s="28" t="inlineStr">
        <is>
          <t>Max Overnight Gap Immunity</t>
        </is>
      </c>
      <c r="K23" s="28" t="inlineStr">
        <is>
          <t>Annual Idle Yield (6.5%)</t>
        </is>
      </c>
    </row>
    <row r="24">
      <c r="A24" s="29" t="inlineStr">
        <is>
          <t>100% Max Capacity (Zero Buffer - PROHIBITED)</t>
        </is>
      </c>
      <c r="B24" s="30">
        <f>(F24*B$13)/100000</f>
        <v/>
      </c>
      <c r="C24" s="31">
        <f>B24/(B$6*100)</f>
        <v/>
      </c>
      <c r="D24" s="30">
        <f>(B$6*100)-B24</f>
        <v/>
      </c>
      <c r="E24" s="31">
        <f>D24/(B$6*100)</f>
        <v/>
      </c>
      <c r="F24" s="32">
        <f>B$14</f>
        <v/>
      </c>
      <c r="G24" s="33">
        <f>(F24*B$12)/10000000</f>
        <v/>
      </c>
      <c r="H24" s="34">
        <f>G24/B$6</f>
        <v/>
      </c>
      <c r="I24" s="35" t="inlineStr">
        <is>
          <t>0.0% (Instant Liquidation)</t>
        </is>
      </c>
      <c r="J24" s="36" t="inlineStr">
        <is>
          <t>0.0% (Zero Absorption)</t>
        </is>
      </c>
      <c r="K24" s="30">
        <f>D24*0.065</f>
        <v/>
      </c>
    </row>
    <row r="25">
      <c r="A25" s="19" t="inlineStr">
        <is>
          <t>60% Margin Capacity (40% Cash Buffer)</t>
        </is>
      </c>
      <c r="B25" s="37">
        <f>(F25*B$13)/100000</f>
        <v/>
      </c>
      <c r="C25" s="38">
        <f>B25/(B$6*100)</f>
        <v/>
      </c>
      <c r="D25" s="37">
        <f>(B$6*100)-B25</f>
        <v/>
      </c>
      <c r="E25" s="38">
        <f>D25/(B$6*100)</f>
        <v/>
      </c>
      <c r="F25" s="39">
        <f>INT((B$6*10000000*0.60)/B$13)</f>
        <v/>
      </c>
      <c r="G25" s="40">
        <f>(F25*B$12)/10000000</f>
        <v/>
      </c>
      <c r="H25" s="41">
        <f>G25/B$6</f>
        <v/>
      </c>
      <c r="I25" s="42">
        <f>-E25/H25</f>
        <v/>
      </c>
      <c r="J25" s="43" t="inlineStr">
        <is>
          <t>Can survive -10.0% gap</t>
        </is>
      </c>
      <c r="K25" s="37">
        <f>D25*0.065</f>
        <v/>
      </c>
    </row>
    <row r="26">
      <c r="A26" s="44" t="inlineStr">
        <is>
          <t>50% Margin Capacity (50% Buffer - RECOMMENDED)</t>
        </is>
      </c>
      <c r="B26" s="45">
        <f>(F26*B$13)/100000</f>
        <v/>
      </c>
      <c r="C26" s="46">
        <f>B26/(B$6*100)</f>
        <v/>
      </c>
      <c r="D26" s="45">
        <f>(B$6*100)-B26</f>
        <v/>
      </c>
      <c r="E26" s="46">
        <f>D26/(B$6*100)</f>
        <v/>
      </c>
      <c r="F26" s="47">
        <f>B$15</f>
        <v/>
      </c>
      <c r="G26" s="48">
        <f>(F26*B$12)/10000000</f>
        <v/>
      </c>
      <c r="H26" s="25">
        <f>G26/B$6</f>
        <v/>
      </c>
      <c r="I26" s="49">
        <f>-E26/H26</f>
        <v/>
      </c>
      <c r="J26" s="50" t="inlineStr">
        <is>
          <t>Can survive -15.0% gap</t>
        </is>
      </c>
      <c r="K26" s="45">
        <f>D26*0.065</f>
        <v/>
      </c>
    </row>
    <row r="27">
      <c r="A27" s="51" t="inlineStr">
        <is>
          <t>Fixed 50-Lot Allocation (72% Cash Buffer - ULTRA SAFE)</t>
        </is>
      </c>
      <c r="B27" s="52">
        <f>(F27*B$13)/100000</f>
        <v/>
      </c>
      <c r="C27" s="53">
        <f>B27/(B$6*100)</f>
        <v/>
      </c>
      <c r="D27" s="52">
        <f>(B$6*100)-B27</f>
        <v/>
      </c>
      <c r="E27" s="53">
        <f>D27/(B$6*100)</f>
        <v/>
      </c>
      <c r="F27" s="54" t="n">
        <v>50</v>
      </c>
      <c r="G27" s="55">
        <f>(F27*B$12)/10000000</f>
        <v/>
      </c>
      <c r="H27" s="56">
        <f>G27/B$6</f>
        <v/>
      </c>
      <c r="I27" s="57">
        <f>-E27/H27</f>
        <v/>
      </c>
      <c r="J27" s="58" t="inlineStr">
        <is>
          <t>Can survive -40.0% gap</t>
        </is>
      </c>
      <c r="K27" s="52">
        <f>D27*0.065</f>
        <v/>
      </c>
    </row>
    <row r="29">
      <c r="A29" s="11" t="inlineStr">
        <is>
          <t>3. DECONSTRUCTING ANNUAL TARGETS INTO MODEST SWING TRADES (Under 50% Margin Buffer / ~3.12x Leverage)</t>
        </is>
      </c>
    </row>
    <row r="30" ht="28" customHeight="1">
      <c r="A30" s="28" t="inlineStr">
        <is>
          <t>Annual Target Scenario</t>
        </is>
      </c>
      <c r="B30" s="28" t="inlineStr">
        <is>
          <t>Target Annual Underlying Move</t>
        </is>
      </c>
      <c r="C30" s="28" t="inlineStr">
        <is>
          <t>Trade Breakdown Structure</t>
        </is>
      </c>
      <c r="D30" s="28" t="inlineStr">
        <is>
          <t>Underlying Move / Trade (%)</t>
        </is>
      </c>
      <c r="E30" s="28" t="inlineStr">
        <is>
          <t>Gas Move in Points (₹)</t>
        </is>
      </c>
      <c r="F30" s="28" t="inlineStr">
        <is>
          <t>Portfolio Gain / Trade (%)</t>
        </is>
      </c>
      <c r="G30" s="28" t="inlineStr">
        <is>
          <t>Compounded Annual Return (%)</t>
        </is>
      </c>
      <c r="H30" s="28" t="inlineStr">
        <is>
          <t>Empirical Swings / Year</t>
        </is>
      </c>
      <c r="I30" s="28" t="inlineStr">
        <is>
          <t>Median Swing Duration</t>
        </is>
      </c>
      <c r="J30" s="28" t="inlineStr">
        <is>
          <t>Selectivity Surplus Ratio</t>
        </is>
      </c>
      <c r="K30" s="28" t="inlineStr">
        <is>
          <t>Execution Feasibility Rating</t>
        </is>
      </c>
    </row>
    <row r="31">
      <c r="A31" s="59" t="inlineStr">
        <is>
          <t>Scenario A: Aggressive Target (~100%–125% CAGR)</t>
        </is>
      </c>
      <c r="B31" s="46" t="n">
        <v>0.3</v>
      </c>
      <c r="C31" s="60" t="inlineStr">
        <is>
          <t>2 Swings / Year</t>
        </is>
      </c>
      <c r="D31" s="46">
        <f>B31/2</f>
        <v/>
      </c>
      <c r="E31" s="61">
        <f>D31*B$7</f>
        <v/>
      </c>
      <c r="F31" s="46">
        <f>D31*B$17</f>
        <v/>
      </c>
      <c r="G31" s="20">
        <f>(1+F31)^2 - 1</f>
        <v/>
      </c>
      <c r="H31" s="62" t="n">
        <v>7.8</v>
      </c>
      <c r="I31" s="50" t="inlineStr">
        <is>
          <t>30 days</t>
        </is>
      </c>
      <c r="J31" s="63">
        <f>H31/2</f>
        <v/>
      </c>
      <c r="K31" s="50" t="inlineStr">
        <is>
          <t>3.9x Available Surplus (High)</t>
        </is>
      </c>
    </row>
    <row r="32">
      <c r="A32" s="59" t="inlineStr">
        <is>
          <t>Scenario A: Aggressive Target (~100%–125% CAGR)</t>
        </is>
      </c>
      <c r="B32" s="46" t="n">
        <v>0.3</v>
      </c>
      <c r="C32" s="60" t="inlineStr">
        <is>
          <t>3 Swings / Year (Optimal)</t>
        </is>
      </c>
      <c r="D32" s="46">
        <f>B32/3</f>
        <v/>
      </c>
      <c r="E32" s="61">
        <f>D32*B$7</f>
        <v/>
      </c>
      <c r="F32" s="46">
        <f>D32*B$17</f>
        <v/>
      </c>
      <c r="G32" s="20">
        <f>(1+F32)^3 - 1</f>
        <v/>
      </c>
      <c r="H32" s="62" t="n">
        <v>13.6</v>
      </c>
      <c r="I32" s="50" t="inlineStr">
        <is>
          <t>17 days</t>
        </is>
      </c>
      <c r="J32" s="63">
        <f>H32/3</f>
        <v/>
      </c>
      <c r="K32" s="50" t="inlineStr">
        <is>
          <t>4.5x Available Surplus (Very High)</t>
        </is>
      </c>
    </row>
    <row r="33">
      <c r="A33" s="59" t="inlineStr">
        <is>
          <t>Scenario A: Aggressive Target (~100%–125% CAGR)</t>
        </is>
      </c>
      <c r="B33" s="46" t="n">
        <v>0.3</v>
      </c>
      <c r="C33" s="60" t="inlineStr">
        <is>
          <t>4 Swings / Year</t>
        </is>
      </c>
      <c r="D33" s="46">
        <f>B33/4</f>
        <v/>
      </c>
      <c r="E33" s="61">
        <f>D33*B$7</f>
        <v/>
      </c>
      <c r="F33" s="46">
        <f>D33*B$17</f>
        <v/>
      </c>
      <c r="G33" s="20">
        <f>(1+F33)^4 - 1</f>
        <v/>
      </c>
      <c r="H33" s="62" t="n">
        <v>18.1</v>
      </c>
      <c r="I33" s="50" t="inlineStr">
        <is>
          <t>14 days</t>
        </is>
      </c>
      <c r="J33" s="63">
        <f>H33/4</f>
        <v/>
      </c>
      <c r="K33" s="50" t="inlineStr">
        <is>
          <t>4.5x Available Surplus (Exceptional)</t>
        </is>
      </c>
    </row>
    <row r="34">
      <c r="A34" s="64" t="inlineStr">
        <is>
          <t>Scenario B: Baseline Target (~75%–85% CAGR)</t>
        </is>
      </c>
      <c r="B34" s="38" t="n">
        <v>0.245</v>
      </c>
      <c r="C34" s="65" t="inlineStr">
        <is>
          <t>2 Swings / Year</t>
        </is>
      </c>
      <c r="D34" s="38">
        <f>B34/2</f>
        <v/>
      </c>
      <c r="E34" s="66">
        <f>D34*B$7</f>
        <v/>
      </c>
      <c r="F34" s="38">
        <f>D34*B$17</f>
        <v/>
      </c>
      <c r="G34" s="67">
        <f>(1+F34)^2 - 1</f>
        <v/>
      </c>
      <c r="H34" s="68" t="n">
        <v>11.2</v>
      </c>
      <c r="I34" s="43" t="inlineStr">
        <is>
          <t>19 days</t>
        </is>
      </c>
      <c r="J34" s="69">
        <f>H34/2</f>
        <v/>
      </c>
      <c r="K34" s="43" t="inlineStr">
        <is>
          <t>5.6x Available Surplus (High)</t>
        </is>
      </c>
    </row>
    <row r="35">
      <c r="A35" s="59" t="inlineStr">
        <is>
          <t>Scenario B: Baseline Target (~75%–85% CAGR)</t>
        </is>
      </c>
      <c r="B35" s="46" t="n">
        <v>0.245</v>
      </c>
      <c r="C35" s="60" t="inlineStr">
        <is>
          <t>3 Swings / Year (Optimal)</t>
        </is>
      </c>
      <c r="D35" s="46">
        <f>B35/3</f>
        <v/>
      </c>
      <c r="E35" s="61">
        <f>D35*B$7</f>
        <v/>
      </c>
      <c r="F35" s="46">
        <f>D35*B$17</f>
        <v/>
      </c>
      <c r="G35" s="20">
        <f>(1+F35)^3 - 1</f>
        <v/>
      </c>
      <c r="H35" s="62" t="n">
        <v>18.1</v>
      </c>
      <c r="I35" s="50" t="inlineStr">
        <is>
          <t>14 days</t>
        </is>
      </c>
      <c r="J35" s="63">
        <f>H35/3</f>
        <v/>
      </c>
      <c r="K35" s="50" t="inlineStr">
        <is>
          <t>6.0x Available Surplus (Exceptional)</t>
        </is>
      </c>
    </row>
    <row r="36">
      <c r="A36" s="64" t="inlineStr">
        <is>
          <t>Scenario B: Baseline Target (~75%–85% CAGR)</t>
        </is>
      </c>
      <c r="B36" s="38" t="n">
        <v>0.245</v>
      </c>
      <c r="C36" s="65" t="inlineStr">
        <is>
          <t>4 Swings / Year</t>
        </is>
      </c>
      <c r="D36" s="38">
        <f>B36/4</f>
        <v/>
      </c>
      <c r="E36" s="66">
        <f>D36*B$7</f>
        <v/>
      </c>
      <c r="F36" s="38">
        <f>D36*B$17</f>
        <v/>
      </c>
      <c r="G36" s="67">
        <f>(1+F36)^4 - 1</f>
        <v/>
      </c>
      <c r="H36" s="68" t="n">
        <v>24</v>
      </c>
      <c r="I36" s="43" t="inlineStr">
        <is>
          <t>11 days</t>
        </is>
      </c>
      <c r="J36" s="69">
        <f>H36/4</f>
        <v/>
      </c>
      <c r="K36" s="43" t="inlineStr">
        <is>
          <t>6.0x Available Surplus (Maximum)</t>
        </is>
      </c>
    </row>
    <row r="37">
      <c r="A37" s="64" t="inlineStr">
        <is>
          <t>Scenario C: Conservative Target (~40%–50% CAGR)</t>
        </is>
      </c>
      <c r="B37" s="38" t="n">
        <v>0.125</v>
      </c>
      <c r="C37" s="65" t="inlineStr">
        <is>
          <t>2 Swings / Year</t>
        </is>
      </c>
      <c r="D37" s="38">
        <f>B37/2</f>
        <v/>
      </c>
      <c r="E37" s="66">
        <f>D37*B$7</f>
        <v/>
      </c>
      <c r="F37" s="38">
        <f>D37*B$17</f>
        <v/>
      </c>
      <c r="G37" s="67">
        <f>(1+F37)^2 - 1</f>
        <v/>
      </c>
      <c r="H37" s="68" t="n">
        <v>24</v>
      </c>
      <c r="I37" s="43" t="inlineStr">
        <is>
          <t>11 days</t>
        </is>
      </c>
      <c r="J37" s="69">
        <f>H37/2</f>
        <v/>
      </c>
      <c r="K37" s="43" t="inlineStr">
        <is>
          <t>12.0x Available Surplus (Ultra)</t>
        </is>
      </c>
    </row>
    <row r="38">
      <c r="A38" s="59" t="inlineStr">
        <is>
          <t>Scenario C: Conservative Target (~40%–50% CAGR)</t>
        </is>
      </c>
      <c r="B38" s="46" t="n">
        <v>0.125</v>
      </c>
      <c r="C38" s="60" t="inlineStr">
        <is>
          <t>3 Swings / Year (Optimal)</t>
        </is>
      </c>
      <c r="D38" s="46">
        <f>B38/3</f>
        <v/>
      </c>
      <c r="E38" s="61">
        <f>D38*B$7</f>
        <v/>
      </c>
      <c r="F38" s="46">
        <f>D38*B$17</f>
        <v/>
      </c>
      <c r="G38" s="20">
        <f>(1+F38)^3 - 1</f>
        <v/>
      </c>
      <c r="H38" s="62" t="n">
        <v>30.6</v>
      </c>
      <c r="I38" s="50" t="inlineStr">
        <is>
          <t>8 days</t>
        </is>
      </c>
      <c r="J38" s="63">
        <f>H38/3</f>
        <v/>
      </c>
      <c r="K38" s="50" t="inlineStr">
        <is>
          <t>10.2x Available Surplus (Extreme Ease)</t>
        </is>
      </c>
    </row>
    <row r="39">
      <c r="A39" s="64" t="inlineStr">
        <is>
          <t>Scenario C: Conservative Target (~40%–50% CAGR)</t>
        </is>
      </c>
      <c r="B39" s="38" t="n">
        <v>0.125</v>
      </c>
      <c r="C39" s="65" t="inlineStr">
        <is>
          <t>4 Swings / Year</t>
        </is>
      </c>
      <c r="D39" s="38">
        <f>B39/4</f>
        <v/>
      </c>
      <c r="E39" s="66">
        <f>D39*B$7</f>
        <v/>
      </c>
      <c r="F39" s="38">
        <f>D39*B$17</f>
        <v/>
      </c>
      <c r="G39" s="67">
        <f>(1+F39)^4 - 1</f>
        <v/>
      </c>
      <c r="H39" s="68" t="n">
        <v>30.6</v>
      </c>
      <c r="I39" s="43" t="inlineStr">
        <is>
          <t>8 days</t>
        </is>
      </c>
      <c r="J39" s="69">
        <f>H39/4</f>
        <v/>
      </c>
      <c r="K39" s="43" t="inlineStr">
        <is>
          <t>7.7x Available Surplus (Extreme Ease)</t>
        </is>
      </c>
    </row>
    <row r="42">
      <c r="A42" s="11" t="inlineStr">
        <is>
          <t>4. EMPIRICAL SWING FREQUENCY SPECTRUM (All 5,066 Trading Days 2010–2025 in data/prices.db)</t>
        </is>
      </c>
    </row>
    <row r="43">
      <c r="A43" s="70" t="inlineStr">
        <is>
          <t>Swing Threshold</t>
        </is>
      </c>
      <c r="B43" s="70" t="inlineStr">
        <is>
          <t>Avg Total Swings / Year</t>
        </is>
      </c>
      <c r="C43" s="70" t="inlineStr">
        <is>
          <t>Historical Annual Range (Min – Max)</t>
        </is>
      </c>
      <c r="D43" s="70" t="inlineStr">
        <is>
          <t>Avg Long Swings / Year</t>
        </is>
      </c>
      <c r="E43" s="70" t="inlineStr">
        <is>
          <t>Avg Short Swings / Year</t>
        </is>
      </c>
      <c r="F43" s="70" t="inlineStr">
        <is>
          <t>Median Swing Duration (Days)</t>
        </is>
      </c>
      <c r="G43" s="70" t="inlineStr">
        <is>
          <t>Daily Velocity (% / Day)</t>
        </is>
      </c>
      <c r="H43" s="70" t="inlineStr">
        <is>
          <t>Directional Characteristic</t>
        </is>
      </c>
    </row>
    <row r="44">
      <c r="A44" s="65" t="inlineStr">
        <is>
          <t>≥ 5.0% Swing</t>
        </is>
      </c>
      <c r="B44" s="71" t="n">
        <v>30.6</v>
      </c>
      <c r="C44" s="43" t="inlineStr">
        <is>
          <t>15 – 47 swings / yr</t>
        </is>
      </c>
      <c r="D44" s="72" t="n">
        <v>15.3</v>
      </c>
      <c r="E44" s="72" t="n">
        <v>15.3</v>
      </c>
      <c r="F44" s="73" t="n">
        <v>8</v>
      </c>
      <c r="G44" s="74" t="n">
        <v>0.0075</v>
      </c>
      <c r="H44" s="75" t="inlineStr">
        <is>
          <t>Symmetric noise &amp; micro-trends</t>
        </is>
      </c>
    </row>
    <row r="45">
      <c r="A45" s="65" t="inlineStr">
        <is>
          <t>≥ 8.0% Swing</t>
        </is>
      </c>
      <c r="B45" s="71" t="n">
        <v>18.1</v>
      </c>
      <c r="C45" s="43" t="inlineStr">
        <is>
          <t>11 – 31 swings / yr</t>
        </is>
      </c>
      <c r="D45" s="72" t="n">
        <v>9.1</v>
      </c>
      <c r="E45" s="72" t="n">
        <v>9.1</v>
      </c>
      <c r="F45" s="73" t="n">
        <v>14</v>
      </c>
      <c r="G45" s="74" t="n">
        <v>0.0068</v>
      </c>
      <c r="H45" s="75" t="inlineStr">
        <is>
          <t>Optimal weekly swing target (Highly Reliable)</t>
        </is>
      </c>
    </row>
    <row r="46">
      <c r="A46" s="65" t="inlineStr">
        <is>
          <t>≥ 10.0% Swing</t>
        </is>
      </c>
      <c r="B46" s="71" t="n">
        <v>13.6</v>
      </c>
      <c r="C46" s="43" t="inlineStr">
        <is>
          <t>7 – 25 swings / yr</t>
        </is>
      </c>
      <c r="D46" s="72" t="n">
        <v>6.8</v>
      </c>
      <c r="E46" s="72" t="n">
        <v>6.8</v>
      </c>
      <c r="F46" s="73" t="n">
        <v>17</v>
      </c>
      <c r="G46" s="74" t="n">
        <v>0.0065</v>
      </c>
      <c r="H46" s="75" t="inlineStr">
        <is>
          <t>Core swing building block (Exceeds 1 per month)</t>
        </is>
      </c>
    </row>
    <row r="47">
      <c r="A47" s="65" t="inlineStr">
        <is>
          <t>≥ 12.0% Swing</t>
        </is>
      </c>
      <c r="B47" s="71" t="n">
        <v>11.2</v>
      </c>
      <c r="C47" s="43" t="inlineStr">
        <is>
          <t>3 – 21 swings / yr</t>
        </is>
      </c>
      <c r="D47" s="72" t="n">
        <v>5.6</v>
      </c>
      <c r="E47" s="72" t="n">
        <v>5.6</v>
      </c>
      <c r="F47" s="73" t="n">
        <v>19</v>
      </c>
      <c r="G47" s="74" t="n">
        <v>0.0063</v>
      </c>
      <c r="H47" s="75" t="inlineStr">
        <is>
          <t>Multi-week seasonal expansion swing</t>
        </is>
      </c>
    </row>
    <row r="48">
      <c r="A48" s="65" t="inlineStr">
        <is>
          <t>≥ 15.0% Swing</t>
        </is>
      </c>
      <c r="B48" s="71" t="n">
        <v>7.8</v>
      </c>
      <c r="C48" s="43" t="inlineStr">
        <is>
          <t>3 – 17 swings / yr</t>
        </is>
      </c>
      <c r="D48" s="72" t="n">
        <v>3.9</v>
      </c>
      <c r="E48" s="72" t="n">
        <v>3.9</v>
      </c>
      <c r="F48" s="73" t="n">
        <v>30</v>
      </c>
      <c r="G48" s="74" t="n">
        <v>0.0055</v>
      </c>
      <c r="H48" s="75" t="inlineStr">
        <is>
          <t>Major structural inventory &amp; weather regime</t>
        </is>
      </c>
    </row>
    <row r="49">
      <c r="A49" s="65" t="inlineStr">
        <is>
          <t>≥ 20.0% Swing</t>
        </is>
      </c>
      <c r="B49" s="71" t="n">
        <v>5.2</v>
      </c>
      <c r="C49" s="43" t="inlineStr">
        <is>
          <t>1 – 13 swings / yr</t>
        </is>
      </c>
      <c r="D49" s="72" t="n">
        <v>2.6</v>
      </c>
      <c r="E49" s="72" t="n">
        <v>2.8</v>
      </c>
      <c r="F49" s="73" t="n">
        <v>41</v>
      </c>
      <c r="G49" s="74" t="n">
        <v>0.0051</v>
      </c>
      <c r="H49" s="75" t="inlineStr">
        <is>
          <t>Macro seasonal reversal (Winter / Summer)</t>
        </is>
      </c>
    </row>
    <row r="50">
      <c r="A50" s="65" t="inlineStr">
        <is>
          <t>≥ 25.0% Swing</t>
        </is>
      </c>
      <c r="B50" s="71" t="n">
        <v>4.5</v>
      </c>
      <c r="C50" s="43" t="inlineStr">
        <is>
          <t>1 – 12 swings / yr</t>
        </is>
      </c>
      <c r="D50" s="72" t="n">
        <v>2.4</v>
      </c>
      <c r="E50" s="72" t="n">
        <v>2.8</v>
      </c>
      <c r="F50" s="73" t="n">
        <v>42</v>
      </c>
      <c r="G50" s="74" t="n">
        <v>0.0058</v>
      </c>
      <c r="H50" s="75" t="inlineStr">
        <is>
          <t>Severe supply/demand dislocation shock</t>
        </is>
      </c>
    </row>
    <row r="51">
      <c r="A51" s="65" t="inlineStr">
        <is>
          <t>≥ 30.0% Swing</t>
        </is>
      </c>
      <c r="B51" s="71" t="n">
        <v>3.5</v>
      </c>
      <c r="C51" s="43" t="inlineStr">
        <is>
          <t>1 – 10 swings / yr</t>
        </is>
      </c>
      <c r="D51" s="72" t="n">
        <v>2.2</v>
      </c>
      <c r="E51" s="72" t="n">
        <v>2.2</v>
      </c>
      <c r="F51" s="73" t="n">
        <v>55</v>
      </c>
      <c r="G51" s="74" t="n">
        <v>0.0054</v>
      </c>
      <c r="H51" s="75" t="inlineStr">
        <is>
          <t>Historic multi-month cycle trend</t>
        </is>
      </c>
    </row>
    <row r="53">
      <c r="A53" s="11" t="inlineStr">
        <is>
          <t>5. CONTRACT LIFECYCLE RANGE DISTRIBUTION (Across All 207 Expiries in prices.db)</t>
        </is>
      </c>
    </row>
    <row r="54">
      <c r="A54" s="70" t="inlineStr">
        <is>
          <t>Contract Range Metric (Active Low to High)</t>
        </is>
      </c>
      <c r="B54" s="70" t="inlineStr">
        <is>
          <t>% of Historical Contracts Experiencing Range</t>
        </is>
      </c>
      <c r="C54" s="70" t="inlineStr">
        <is>
          <t>Empirical Probability Assessment</t>
        </is>
      </c>
      <c r="D54" s="70" t="inlineStr">
        <is>
          <t>Actionable Execution Edge</t>
        </is>
      </c>
    </row>
    <row r="55">
      <c r="A55" s="64" t="inlineStr">
        <is>
          <t>Contract Range ≥ 10.0%</t>
        </is>
      </c>
      <c r="B55" s="67" t="n">
        <v>0.99</v>
      </c>
      <c r="C55" s="43" t="inlineStr">
        <is>
          <t>99.0% (Near Mathematical Certainty)</t>
        </is>
      </c>
      <c r="D55" s="75" t="inlineStr">
        <is>
          <t>Virtually every single contract delivers at least a 10% tradable wave</t>
        </is>
      </c>
    </row>
    <row r="56">
      <c r="A56" s="64" t="inlineStr">
        <is>
          <t>Contract Range ≥ 15.0%</t>
        </is>
      </c>
      <c r="B56" s="67" t="n">
        <v>0.923</v>
      </c>
      <c r="C56" s="43" t="inlineStr">
        <is>
          <t>92.3% (9 out of 10 contracts)</t>
        </is>
      </c>
      <c r="D56" s="75" t="inlineStr">
        <is>
          <t>Capturing an 8% to 10% slice of a 15%+ wave is statistically routine</t>
        </is>
      </c>
    </row>
    <row r="57">
      <c r="A57" s="64" t="inlineStr">
        <is>
          <t>Contract Range ≥ 20.0%</t>
        </is>
      </c>
      <c r="B57" s="67" t="n">
        <v>0.797</v>
      </c>
      <c r="C57" s="43" t="inlineStr">
        <is>
          <t>79.7% (8 out of 10 contracts)</t>
        </is>
      </c>
      <c r="D57" s="75" t="inlineStr">
        <is>
          <t>Massive room to capture target gains without top/bottom ticking</t>
        </is>
      </c>
    </row>
    <row r="58">
      <c r="A58" s="64" t="inlineStr">
        <is>
          <t>Contract Range ≥ 25.0%</t>
        </is>
      </c>
      <c r="B58" s="67" t="n">
        <v>0.7</v>
      </c>
      <c r="C58" s="43" t="inlineStr">
        <is>
          <t>70.0% (7 out of 10 contracts)</t>
        </is>
      </c>
      <c r="D58" s="75" t="inlineStr">
        <is>
          <t>High volatility regime provides ample swing headroom</t>
        </is>
      </c>
    </row>
    <row r="59">
      <c r="A59" s="64" t="inlineStr">
        <is>
          <t>Contract Range ≥ 30.0%</t>
        </is>
      </c>
      <c r="B59" s="67" t="n">
        <v>0.556</v>
      </c>
      <c r="C59" s="43" t="inlineStr">
        <is>
          <t>55.6% (Over half of all contracts)</t>
        </is>
      </c>
      <c r="D59" s="75" t="inlineStr">
        <is>
          <t>Major seasonal trending contracts deliver expansive swings</t>
        </is>
      </c>
    </row>
    <row r="60">
      <c r="A60" s="64" t="inlineStr">
        <is>
          <t>Median Active Contract Range</t>
        </is>
      </c>
      <c r="B60" s="67" t="n">
        <v>0.329</v>
      </c>
      <c r="C60" s="43" t="inlineStr">
        <is>
          <t>32.9% Median Trough-to-Peak</t>
        </is>
      </c>
      <c r="D60" s="75" t="inlineStr">
        <is>
          <t>The typical MCX Natural Gas contract swings by 32.9% in its active lifecycle</t>
        </is>
      </c>
    </row>
    <row r="61">
      <c r="A61" s="64" t="inlineStr">
        <is>
          <t>Directional Asymmetry: High First (Short Dominant)</t>
        </is>
      </c>
      <c r="B61" s="67" t="n">
        <v>0.609</v>
      </c>
      <c r="C61" s="43" t="inlineStr">
        <is>
          <t>60.9% of Contracts</t>
        </is>
      </c>
      <c r="D61" s="75" t="inlineStr">
        <is>
          <t>Contracts tumble faster than they rise; short setups offer superior velocity</t>
        </is>
      </c>
    </row>
    <row r="62">
      <c r="A62" s="64" t="inlineStr">
        <is>
          <t>Directional Asymmetry: Low First (Long Dominant)</t>
        </is>
      </c>
      <c r="B62" s="67" t="n">
        <v>0.391</v>
      </c>
      <c r="C62" s="43" t="inlineStr">
        <is>
          <t>39.1% of Contracts</t>
        </is>
      </c>
      <c r="D62" s="75" t="inlineStr">
        <is>
          <t>Bull accumulation takes longer base-building periods (spring/summer)</t>
        </is>
      </c>
    </row>
    <row r="64">
      <c r="A64" s="11" t="inlineStr">
        <is>
          <t>6. CAPITAL MILESTONE DEPLOYMENT SCHEDULE (Maintaining 50% Cash Buffer up to SEBI Limit)</t>
        </is>
      </c>
    </row>
    <row r="65" ht="28" customHeight="1">
      <c r="A65" s="28" t="inlineStr">
        <is>
          <t>Growth Milestone Stage</t>
        </is>
      </c>
      <c r="B65" s="28" t="inlineStr">
        <is>
          <t>Account Equity (₹ Cr)</t>
        </is>
      </c>
      <c r="C65" s="28" t="inlineStr">
        <is>
          <t>Pledged Margin (₹ Cr)</t>
        </is>
      </c>
      <c r="D65" s="28" t="inlineStr">
        <is>
          <t>Liquid Cash Buffer (₹ Cr)</t>
        </is>
      </c>
      <c r="E65" s="28" t="inlineStr">
        <is>
          <t>MCX Lots Deployed</t>
        </is>
      </c>
      <c r="F65" s="28" t="inlineStr">
        <is>
          <t>Total Notional Exposure (₹ Cr)</t>
        </is>
      </c>
      <c r="G65" s="28" t="inlineStr">
        <is>
          <t>Effective Leverage</t>
        </is>
      </c>
      <c r="H65" s="28" t="inlineStr">
        <is>
          <t>Exchange Limit Headroom</t>
        </is>
      </c>
      <c r="I65" s="28" t="inlineStr">
        <is>
          <t>Execution Architecture &amp; Liquidity Reality</t>
        </is>
      </c>
    </row>
    <row r="66">
      <c r="A66" s="64" t="inlineStr">
        <is>
          <t>Genesis Trading Desk</t>
        </is>
      </c>
      <c r="B66" s="76" t="n">
        <v>0.6</v>
      </c>
      <c r="C66" s="37">
        <f>B66*0.50</f>
        <v/>
      </c>
      <c r="D66" s="37">
        <f>B66-C66</f>
        <v/>
      </c>
      <c r="E66" s="39">
        <f>INT((C66*10000000)/B$13)</f>
        <v/>
      </c>
      <c r="F66" s="37">
        <f>(E66*B$12)/10000000</f>
        <v/>
      </c>
      <c r="G66" s="41">
        <f>F66/B66</f>
        <v/>
      </c>
      <c r="H66" s="73">
        <f>4800-E66</f>
        <v/>
      </c>
      <c r="I66" s="75" t="inlineStr">
        <is>
          <t>Zero execution friction; 100% market fill via TWAP</t>
        </is>
      </c>
    </row>
    <row r="67">
      <c r="A67" s="64" t="inlineStr">
        <is>
          <t>Milestone 1: Scale Proof</t>
        </is>
      </c>
      <c r="B67" s="76" t="n">
        <v>1</v>
      </c>
      <c r="C67" s="37">
        <f>B67*0.50</f>
        <v/>
      </c>
      <c r="D67" s="37">
        <f>B67-C67</f>
        <v/>
      </c>
      <c r="E67" s="39">
        <f>INT((C67*10000000)/B$13)</f>
        <v/>
      </c>
      <c r="F67" s="37">
        <f>(E67*B$12)/10000000</f>
        <v/>
      </c>
      <c r="G67" s="41">
        <f>F67/B67</f>
        <v/>
      </c>
      <c r="H67" s="73">
        <f>4800-E67</f>
        <v/>
      </c>
      <c r="I67" s="75" t="inlineStr">
        <is>
          <t>Frictionless execution; absorbs -16.0% flash moves</t>
        </is>
      </c>
    </row>
    <row r="68">
      <c r="A68" s="64" t="inlineStr">
        <is>
          <t>Milestone 2: Multi-Crore Desk</t>
        </is>
      </c>
      <c r="B68" s="76" t="n">
        <v>3</v>
      </c>
      <c r="C68" s="37">
        <f>B68*0.50</f>
        <v/>
      </c>
      <c r="D68" s="37">
        <f>B68-C68</f>
        <v/>
      </c>
      <c r="E68" s="39">
        <f>INT((C68*10000000)/B$13)</f>
        <v/>
      </c>
      <c r="F68" s="37">
        <f>(E68*B$12)/10000000</f>
        <v/>
      </c>
      <c r="G68" s="41">
        <f>F68/B68</f>
        <v/>
      </c>
      <c r="H68" s="73">
        <f>4800-E68</f>
        <v/>
      </c>
      <c r="I68" s="75" t="inlineStr">
        <is>
          <t>Comfortable absorption in daily 25,000+ lot volume</t>
        </is>
      </c>
    </row>
    <row r="69">
      <c r="A69" s="64" t="inlineStr">
        <is>
          <t>Milestone 3: Institutional Tier 1</t>
        </is>
      </c>
      <c r="B69" s="76" t="n">
        <v>5</v>
      </c>
      <c r="C69" s="37">
        <f>B69*0.50</f>
        <v/>
      </c>
      <c r="D69" s="37">
        <f>B69-C69</f>
        <v/>
      </c>
      <c r="E69" s="39">
        <f>INT((C69*10000000)/B$13)</f>
        <v/>
      </c>
      <c r="F69" s="37">
        <f>(E69*B$12)/10000000</f>
        <v/>
      </c>
      <c r="G69" s="41">
        <f>F69/B69</f>
        <v/>
      </c>
      <c r="H69" s="73">
        <f>4800-E69</f>
        <v/>
      </c>
      <c r="I69" s="75" t="inlineStr">
        <is>
          <t>TWAP slices across 30-minute liquid US overlap</t>
        </is>
      </c>
    </row>
    <row r="70">
      <c r="A70" s="64" t="inlineStr">
        <is>
          <t>Milestone 4: Institutional Tier 2</t>
        </is>
      </c>
      <c r="B70" s="76" t="n">
        <v>10</v>
      </c>
      <c r="C70" s="37">
        <f>B70*0.50</f>
        <v/>
      </c>
      <c r="D70" s="37">
        <f>B70-C70</f>
        <v/>
      </c>
      <c r="E70" s="39">
        <f>INT((C70*10000000)/B$13)</f>
        <v/>
      </c>
      <c r="F70" s="37">
        <f>(E70*B$12)/10000000</f>
        <v/>
      </c>
      <c r="G70" s="41">
        <f>F70/B70</f>
        <v/>
      </c>
      <c r="H70" s="73">
        <f>4800-E70</f>
        <v/>
      </c>
      <c r="I70" s="75" t="inlineStr">
        <is>
          <t>Requires disciplined 3-day passive inventory build</t>
        </is>
      </c>
    </row>
    <row r="71">
      <c r="A71" s="64" t="inlineStr">
        <is>
          <t>Milestone 5: Friction Gateway</t>
        </is>
      </c>
      <c r="B71" s="76" t="n">
        <v>20</v>
      </c>
      <c r="C71" s="37">
        <f>B71*0.50</f>
        <v/>
      </c>
      <c r="D71" s="37">
        <f>B71-C71</f>
        <v/>
      </c>
      <c r="E71" s="39">
        <f>INT((C71*10000000)/B$13)</f>
        <v/>
      </c>
      <c r="F71" s="37">
        <f>(E71*B$12)/10000000</f>
        <v/>
      </c>
      <c r="G71" s="41">
        <f>F71/B71</f>
        <v/>
      </c>
      <c r="H71" s="73">
        <f>4800-E71</f>
        <v/>
      </c>
      <c r="I71" s="75" t="inlineStr">
        <is>
          <t>Roll execution over 4-5 days; slippage expands to 0.40 pts</t>
        </is>
      </c>
    </row>
    <row r="72">
      <c r="A72" s="59" t="inlineStr">
        <is>
          <t>Domestic Regulatory Ceiling (SEBI Cap)</t>
        </is>
      </c>
      <c r="B72" s="26" t="n">
        <v>54.051</v>
      </c>
      <c r="C72" s="45">
        <f>(E72*B$13)/10000000</f>
        <v/>
      </c>
      <c r="D72" s="45">
        <f>B72-C72</f>
        <v/>
      </c>
      <c r="E72" s="47" t="n">
        <v>4800</v>
      </c>
      <c r="F72" s="45">
        <f>(E72*B$12)/10000000</f>
        <v/>
      </c>
      <c r="G72" s="25">
        <f>F72/B72</f>
        <v/>
      </c>
      <c r="H72" s="81">
        <f>4800-E72</f>
        <v/>
      </c>
      <c r="I72" s="77" t="inlineStr">
        <is>
          <t>Hard domestic ceiling (4,800-lot SEBI limit reached)</t>
        </is>
      </c>
    </row>
    <row r="73">
      <c r="A73" s="78" t="inlineStr">
        <is>
          <t>Post-Cap Surplus Treasury (Scale Stage)</t>
        </is>
      </c>
      <c r="B73" s="79" t="n">
        <v>100</v>
      </c>
      <c r="C73" s="52">
        <f>(E73*B$13)/10000000</f>
        <v/>
      </c>
      <c r="D73" s="52">
        <f>B73-C73</f>
        <v/>
      </c>
      <c r="E73" s="54" t="n">
        <v>4800</v>
      </c>
      <c r="F73" s="52">
        <f>(E73*B$12)/10000000</f>
        <v/>
      </c>
      <c r="G73" s="56">
        <f>F73/B73</f>
        <v/>
      </c>
      <c r="H73" s="58" t="inlineStr">
        <is>
          <t>Capped; ₹73.12 Cr Yield</t>
        </is>
      </c>
      <c r="I73" s="80" t="inlineStr">
        <is>
          <t>₹26.88 Cr trades MCX (4,800 lots); ₹73.12 Cr earns 6.5% idle yield / GIFT City IFSC</t>
        </is>
      </c>
    </row>
    <row r="76">
      <c r="A76" s="11" t="inlineStr">
        <is>
          <t>7. OPTIMAL 3-TRADE SEASONAL CALENDAR ARCHITECTURE (Only ~50 Days Active Exposure / Year)</t>
        </is>
      </c>
    </row>
    <row r="77">
      <c r="A77" s="13" t="inlineStr">
        <is>
          <t>Annual Trade Window</t>
        </is>
      </c>
      <c r="B77" s="13" t="inlineStr">
        <is>
          <t>Optimal Execution Months</t>
        </is>
      </c>
      <c r="C77" s="13" t="inlineStr">
        <is>
          <t>Directional Bias</t>
        </is>
      </c>
      <c r="D77" s="13" t="inlineStr">
        <is>
          <t>Target Underlying Move</t>
        </is>
      </c>
      <c r="E77" s="13" t="inlineStr">
        <is>
          <t>Active Trade Duration</t>
        </is>
      </c>
      <c r="F77" s="13" t="inlineStr">
        <is>
          <t>Historical Edge &amp; Seasonal Catalyst</t>
        </is>
      </c>
      <c r="G77" s="13" t="inlineStr">
        <is>
          <t>Interim Account State</t>
        </is>
      </c>
    </row>
    <row r="78">
      <c r="A78" s="64" t="inlineStr">
        <is>
          <t>Trade 1: Winter Meltdown Short</t>
        </is>
      </c>
      <c r="B78" s="43" t="inlineStr">
        <is>
          <t>January / February</t>
        </is>
      </c>
      <c r="C78" s="65" t="inlineStr">
        <is>
          <t>SHORT Front Month</t>
        </is>
      </c>
      <c r="D78" s="60" t="inlineStr">
        <is>
          <t>8.0% to 12.0% Drop</t>
        </is>
      </c>
      <c r="E78" s="43" t="inlineStr">
        <is>
          <t>15 – 20 trading days</t>
        </is>
      </c>
      <c r="F78" s="75" t="inlineStr">
        <is>
          <t>Peak winter heating demand subsides; heating degree days drop; inventory rollover</t>
        </is>
      </c>
      <c r="G78" s="43" t="inlineStr">
        <is>
          <t>100% Cash / T-Bills (March)</t>
        </is>
      </c>
    </row>
    <row r="79">
      <c r="A79" s="64" t="inlineStr">
        <is>
          <t>Trade 2: Spring Shoulder Long</t>
        </is>
      </c>
      <c r="B79" s="43" t="inlineStr">
        <is>
          <t>April / May</t>
        </is>
      </c>
      <c r="C79" s="65" t="inlineStr">
        <is>
          <t>LONG Front Month</t>
        </is>
      </c>
      <c r="D79" s="60" t="inlineStr">
        <is>
          <t>8.0% to 10.0% Rally</t>
        </is>
      </c>
      <c r="E79" s="43" t="inlineStr">
        <is>
          <t>14 – 18 trading days</t>
        </is>
      </c>
      <c r="F79" s="75" t="inlineStr">
        <is>
          <t>70% Bull Win Rate in prices.db; spring production shut-ins &amp; summer refill anxiety</t>
        </is>
      </c>
      <c r="G79" s="43" t="inlineStr">
        <is>
          <t>100% Cash / T-Bills (June / July)</t>
        </is>
      </c>
    </row>
    <row r="80">
      <c r="A80" s="64" t="inlineStr">
        <is>
          <t>Trade 3: Late Summer Swing</t>
        </is>
      </c>
      <c r="B80" s="43" t="inlineStr">
        <is>
          <t>August / September</t>
        </is>
      </c>
      <c r="C80" s="65" t="inlineStr">
        <is>
          <t>LONG / SWING Front Month</t>
        </is>
      </c>
      <c r="D80" s="60" t="inlineStr">
        <is>
          <t>8.0% to 10.0% Swing</t>
        </is>
      </c>
      <c r="E80" s="43" t="inlineStr">
        <is>
          <t>14 – 16 trading days</t>
        </is>
      </c>
      <c r="F80" s="75" t="inlineStr">
        <is>
          <t>70% Bull Win Rate in prices.db; peak summer A/C burn + Gulf hurricane premium</t>
        </is>
      </c>
      <c r="G80" s="43" t="inlineStr">
        <is>
          <t>Full Annual Target Achieved!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0.75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0.8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 (85% return)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0.85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1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1.2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2026-10-14T21:00:17Z</dcterms:created>
  <dcterms:modified xmlns:dcterms="http://purl.org/dc/terms/" xmlns:xsi="http://www.w3.org/2001/XMLSchema-instance" xsi:type="dcterms:W3CDTF">2026-10-21T09:20:29Z</dcterms:modified>
</cp:coreProperties>
</file>