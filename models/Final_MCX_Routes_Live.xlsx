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3-Route Tax Visualizer" sheetId="2" state="visible" r:id="rId2"/>
    <sheet xmlns:r="http://schemas.openxmlformats.org/officeDocument/2006/relationships" name="Trade &amp; Stress Calculator" sheetId="3" state="visible" r:id="rId3"/>
    <sheet xmlns:r="http://schemas.openxmlformats.org/officeDocument/2006/relationships" name="Trade Breakdown &amp; Buff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2">
    <numFmt numFmtId="164" formatCode="0.0000"/>
    <numFmt numFmtId="165" formatCode="0.000000"/>
    <numFmt numFmtId="166" formatCode="₹#,##0.00"/>
    <numFmt numFmtId="167" formatCode="0.0%"/>
    <numFmt numFmtId="168" formatCode="₹#,##0"/>
    <numFmt numFmtId="169" formatCode="₹#,##0.000"/>
    <numFmt numFmtId="170" formatCode="0.00&quot;x&quot;"/>
    <numFmt numFmtId="171" formatCode="-0.0%"/>
    <numFmt numFmtId="172" formatCode="₹#,##0.0"/>
    <numFmt numFmtId="173" formatCode="#,##0.0"/>
    <numFmt numFmtId="174" formatCode="0.0&quot;x&quot;"/>
    <numFmt numFmtId="175" formatCode="0.000%"/>
    <numFmt numFmtId="176" formatCode="₹#,##0.00&quot; Cr&quot;"/>
    <numFmt numFmtId="177" formatCode="+₹#,##0.00;-₹#,##0.00;&quot;₹0.00&quot;"/>
    <numFmt numFmtId="178" formatCode="#,##0&quot; Lots&quot;"/>
    <numFmt numFmtId="179" formatCode="+₹#,##0;-₹#,##0;&quot;₹0&quot;"/>
    <numFmt numFmtId="180" formatCode="+0.00%"/>
    <numFmt numFmtId="181" formatCode="-₹#,##0"/>
    <numFmt numFmtId="182" formatCode="+₹#,##0.00;[Red]-₹#,##0.00;&quot;₹0.00&quot;"/>
    <numFmt numFmtId="183" formatCode="+₹#,##0;[Red]-₹#,##0;₹0"/>
    <numFmt numFmtId="184" formatCode="+0.00%;[Red]-0.00%;0.00%"/>
    <numFmt numFmtId="185" formatCode="₹#,##0;[Red]-₹#,##0;₹0"/>
  </numFmts>
  <fonts count="15">
    <font>
      <name val="Calibri"/>
      <family val="2"/>
      <color theme="1"/>
      <sz val="11"/>
      <scheme val="minor"/>
    </font>
    <font>
      <b val="1"/>
      <color rgb="000000C0"/>
    </font>
    <font>
      <b val="1"/>
      <color rgb="00FFFFFF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sz val="10"/>
    </font>
    <font>
      <name val="Calibri"/>
      <b val="1"/>
      <color rgb="00475467"/>
      <sz val="16"/>
    </font>
    <font>
      <name val="Calibri"/>
      <color rgb="00595959"/>
      <sz val="10"/>
    </font>
    <font>
      <name val="Calibri"/>
      <b val="1"/>
      <color rgb="00276A3C"/>
      <sz val="16"/>
    </font>
    <font>
      <name val="Calibri"/>
      <b val="1"/>
      <color rgb="008A5E0B"/>
      <sz val="16"/>
    </font>
    <font>
      <name val="Calibri"/>
      <b val="1"/>
      <color rgb="001F3864"/>
      <sz val="16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F8E8"/>
      </patternFill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2E5B82"/>
        <bgColor rgb="002E5B82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10" fontId="1" fillId="2" borderId="0" pivotButton="0" quotePrefix="0" xfId="0"/>
    <xf numFmtId="0" fontId="2" fillId="3" borderId="0" applyAlignment="1" pivotButton="0" quotePrefix="0" xfId="0">
      <alignment vertical="center" wrapText="1"/>
    </xf>
    <xf numFmtId="2" fontId="0" fillId="4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0" borderId="2" pivotButton="0" quotePrefix="0" xfId="0"/>
    <xf numFmtId="166" fontId="8" fillId="7" borderId="2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3" fontId="8" fillId="0" borderId="2" applyAlignment="1" pivotButton="0" quotePrefix="0" xfId="0">
      <alignment horizontal="right"/>
    </xf>
    <xf numFmtId="167" fontId="8" fillId="7" borderId="2" applyAlignment="1" pivotButton="0" quotePrefix="0" xfId="0">
      <alignment horizontal="right"/>
    </xf>
    <xf numFmtId="0" fontId="8" fillId="0" borderId="2" pivotButton="0" quotePrefix="0" xfId="0"/>
    <xf numFmtId="167" fontId="8" fillId="8" borderId="2" applyAlignment="1" pivotButton="0" quotePrefix="0" xfId="0">
      <alignment horizontal="right"/>
    </xf>
    <xf numFmtId="168" fontId="8" fillId="0" borderId="2" applyAlignment="1" pivotButton="0" quotePrefix="0" xfId="0">
      <alignment horizontal="right"/>
    </xf>
    <xf numFmtId="3" fontId="8" fillId="9" borderId="2" applyAlignment="1" pivotButton="0" quotePrefix="0" xfId="0">
      <alignment horizontal="right"/>
    </xf>
    <xf numFmtId="3" fontId="8" fillId="8" borderId="2" applyAlignment="1" pivotButton="0" quotePrefix="0" xfId="0">
      <alignment horizontal="right"/>
    </xf>
    <xf numFmtId="169" fontId="8" fillId="0" borderId="2" applyAlignment="1" pivotButton="0" quotePrefix="0" xfId="0">
      <alignment horizontal="right"/>
    </xf>
    <xf numFmtId="170" fontId="8" fillId="8" borderId="2" applyAlignment="1" pivotButton="0" quotePrefix="0" xfId="0">
      <alignment horizontal="right"/>
    </xf>
    <xf numFmtId="166" fontId="8" fillId="8" borderId="2" applyAlignment="1" pivotButton="0" quotePrefix="0" xfId="0">
      <alignment horizontal="right"/>
    </xf>
    <xf numFmtId="171" fontId="8" fillId="8" borderId="2" applyAlignment="1" pivotButton="0" quotePrefix="0" xfId="0">
      <alignment horizontal="right"/>
    </xf>
    <xf numFmtId="0" fontId="6" fillId="6" borderId="1" applyAlignment="1" pivotButton="0" quotePrefix="0" xfId="0">
      <alignment horizontal="center" vertical="center" wrapText="1"/>
    </xf>
    <xf numFmtId="0" fontId="8" fillId="9" borderId="2" pivotButton="0" quotePrefix="0" xfId="0"/>
    <xf numFmtId="166" fontId="7" fillId="9" borderId="2" applyAlignment="1" pivotButton="0" quotePrefix="0" xfId="0">
      <alignment horizontal="right"/>
    </xf>
    <xf numFmtId="167" fontId="7" fillId="9" borderId="2" applyAlignment="1" pivotButton="0" quotePrefix="0" xfId="0">
      <alignment horizontal="right"/>
    </xf>
    <xf numFmtId="3" fontId="8" fillId="9" borderId="2" applyAlignment="1" pivotButton="0" quotePrefix="0" xfId="0">
      <alignment horizontal="center"/>
    </xf>
    <xf numFmtId="169" fontId="7" fillId="9" borderId="2" applyAlignment="1" pivotButton="0" quotePrefix="0" xfId="0">
      <alignment horizontal="right"/>
    </xf>
    <xf numFmtId="170" fontId="8" fillId="9" borderId="2" applyAlignment="1" pivotButton="0" quotePrefix="0" xfId="0">
      <alignment horizontal="right"/>
    </xf>
    <xf numFmtId="0" fontId="8" fillId="9" borderId="2" applyAlignment="1" pivotButton="0" quotePrefix="0" xfId="0">
      <alignment horizontal="center"/>
    </xf>
    <xf numFmtId="0" fontId="7" fillId="9" borderId="2" applyAlignment="1" pivotButton="0" quotePrefix="0" xfId="0">
      <alignment horizontal="center"/>
    </xf>
    <xf numFmtId="166" fontId="7" fillId="0" borderId="2" applyAlignment="1" pivotButton="0" quotePrefix="0" xfId="0">
      <alignment horizontal="right"/>
    </xf>
    <xf numFmtId="167" fontId="7" fillId="0" borderId="2" applyAlignment="1" pivotButton="0" quotePrefix="0" xfId="0">
      <alignment horizontal="right"/>
    </xf>
    <xf numFmtId="3" fontId="8" fillId="0" borderId="2" applyAlignment="1" pivotButton="0" quotePrefix="0" xfId="0">
      <alignment horizontal="center"/>
    </xf>
    <xf numFmtId="169" fontId="7" fillId="0" borderId="2" applyAlignment="1" pivotButton="0" quotePrefix="0" xfId="0">
      <alignment horizontal="right"/>
    </xf>
    <xf numFmtId="170" fontId="8" fillId="0" borderId="2" applyAlignment="1" pivotButton="0" quotePrefix="0" xfId="0">
      <alignment horizontal="right"/>
    </xf>
    <xf numFmtId="171" fontId="8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8" borderId="2" pivotButton="0" quotePrefix="0" xfId="0"/>
    <xf numFmtId="166" fontId="7" fillId="8" borderId="2" applyAlignment="1" pivotButton="0" quotePrefix="0" xfId="0">
      <alignment horizontal="right"/>
    </xf>
    <xf numFmtId="167" fontId="7" fillId="8" borderId="2" applyAlignment="1" pivotButton="0" quotePrefix="0" xfId="0">
      <alignment horizontal="right"/>
    </xf>
    <xf numFmtId="3" fontId="8" fillId="8" borderId="2" applyAlignment="1" pivotButton="0" quotePrefix="0" xfId="0">
      <alignment horizontal="center"/>
    </xf>
    <xf numFmtId="169" fontId="7" fillId="8" borderId="2" applyAlignment="1" pivotButton="0" quotePrefix="0" xfId="0">
      <alignment horizontal="right"/>
    </xf>
    <xf numFmtId="171" fontId="8" fillId="8" borderId="2" applyAlignment="1" pivotButton="0" quotePrefix="0" xfId="0">
      <alignment horizontal="center"/>
    </xf>
    <xf numFmtId="0" fontId="7" fillId="8" borderId="2" applyAlignment="1" pivotButton="0" quotePrefix="0" xfId="0">
      <alignment horizontal="center"/>
    </xf>
    <xf numFmtId="0" fontId="8" fillId="10" borderId="2" pivotButton="0" quotePrefix="0" xfId="0"/>
    <xf numFmtId="166" fontId="7" fillId="10" borderId="2" applyAlignment="1" pivotButton="0" quotePrefix="0" xfId="0">
      <alignment horizontal="right"/>
    </xf>
    <xf numFmtId="167" fontId="7" fillId="10" borderId="2" applyAlignment="1" pivotButton="0" quotePrefix="0" xfId="0">
      <alignment horizontal="right"/>
    </xf>
    <xf numFmtId="3" fontId="8" fillId="10" borderId="2" applyAlignment="1" pivotButton="0" quotePrefix="0" xfId="0">
      <alignment horizontal="center"/>
    </xf>
    <xf numFmtId="169" fontId="7" fillId="10" borderId="2" applyAlignment="1" pivotButton="0" quotePrefix="0" xfId="0">
      <alignment horizontal="right"/>
    </xf>
    <xf numFmtId="170" fontId="8" fillId="10" borderId="2" applyAlignment="1" pivotButton="0" quotePrefix="0" xfId="0">
      <alignment horizontal="right"/>
    </xf>
    <xf numFmtId="171" fontId="8" fillId="10" borderId="2" applyAlignment="1" pivotButton="0" quotePrefix="0" xfId="0">
      <alignment horizontal="center"/>
    </xf>
    <xf numFmtId="0" fontId="7" fillId="10" borderId="2" applyAlignment="1" pivotButton="0" quotePrefix="0" xfId="0">
      <alignment horizontal="center"/>
    </xf>
    <xf numFmtId="0" fontId="8" fillId="8" borderId="2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172" fontId="7" fillId="8" borderId="2" applyAlignment="1" pivotButton="0" quotePrefix="0" xfId="0">
      <alignment horizontal="right"/>
    </xf>
    <xf numFmtId="173" fontId="7" fillId="8" borderId="2" applyAlignment="1" pivotButton="0" quotePrefix="0" xfId="0">
      <alignment horizontal="center"/>
    </xf>
    <xf numFmtId="174" fontId="8" fillId="8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8" fillId="0" borderId="2" applyAlignment="1" pivotButton="0" quotePrefix="0" xfId="0">
      <alignment horizontal="center"/>
    </xf>
    <xf numFmtId="172" fontId="7" fillId="0" borderId="2" applyAlignment="1" pivotButton="0" quotePrefix="0" xfId="0">
      <alignment horizontal="right"/>
    </xf>
    <xf numFmtId="167" fontId="8" fillId="0" borderId="2" applyAlignment="1" pivotButton="0" quotePrefix="0" xfId="0">
      <alignment horizontal="right"/>
    </xf>
    <xf numFmtId="173" fontId="7" fillId="0" borderId="2" applyAlignment="1" pivotButton="0" quotePrefix="0" xfId="0">
      <alignment horizontal="center"/>
    </xf>
    <xf numFmtId="174" fontId="8" fillId="0" borderId="2" applyAlignment="1" pivotButton="0" quotePrefix="0" xfId="0">
      <alignment horizontal="center"/>
    </xf>
    <xf numFmtId="0" fontId="6" fillId="11" borderId="1" applyAlignment="1" pivotButton="0" quotePrefix="0" xfId="0">
      <alignment horizontal="center" vertical="center"/>
    </xf>
    <xf numFmtId="173" fontId="8" fillId="0" borderId="2" applyAlignment="1" pivotButton="0" quotePrefix="0" xfId="0">
      <alignment horizontal="right"/>
    </xf>
    <xf numFmtId="173" fontId="7" fillId="0" borderId="2" applyAlignment="1" pivotButton="0" quotePrefix="0" xfId="0">
      <alignment horizontal="right"/>
    </xf>
    <xf numFmtId="3" fontId="7" fillId="0" borderId="2" applyAlignment="1" pivotButton="0" quotePrefix="0" xfId="0">
      <alignment horizontal="center"/>
    </xf>
    <xf numFmtId="10" fontId="7" fillId="0" borderId="2" applyAlignment="1" pivotButton="0" quotePrefix="0" xfId="0">
      <alignment horizontal="right"/>
    </xf>
    <xf numFmtId="0" fontId="7" fillId="0" borderId="2" applyAlignment="1" pivotButton="0" quotePrefix="0" xfId="0">
      <alignment horizontal="left"/>
    </xf>
    <xf numFmtId="166" fontId="8" fillId="0" borderId="2" applyAlignment="1" pivotButton="0" quotePrefix="0" xfId="0">
      <alignment horizontal="right"/>
    </xf>
    <xf numFmtId="0" fontId="7" fillId="8" borderId="2" applyAlignment="1" pivotButton="0" quotePrefix="0" xfId="0">
      <alignment horizontal="left"/>
    </xf>
    <xf numFmtId="0" fontId="8" fillId="10" borderId="2" applyAlignment="1" pivotButton="0" quotePrefix="0" xfId="0">
      <alignment horizontal="left"/>
    </xf>
    <xf numFmtId="166" fontId="8" fillId="10" borderId="2" applyAlignment="1" pivotButton="0" quotePrefix="0" xfId="0">
      <alignment horizontal="right"/>
    </xf>
    <xf numFmtId="0" fontId="7" fillId="10" borderId="2" applyAlignment="1" pivotButton="0" quotePrefix="0" xfId="0">
      <alignment horizontal="left"/>
    </xf>
    <xf numFmtId="3" fontId="7" fillId="8" borderId="2" applyAlignment="1" pivotButton="0" quotePrefix="0" xfId="0">
      <alignment horizontal="center"/>
    </xf>
    <xf numFmtId="3" fontId="8" fillId="7" borderId="2" applyAlignment="1" pivotButton="0" quotePrefix="0" xfId="0">
      <alignment horizontal="right"/>
    </xf>
    <xf numFmtId="170" fontId="8" fillId="7" borderId="2" applyAlignment="1" pivotButton="0" quotePrefix="0" xfId="0">
      <alignment horizontal="right"/>
    </xf>
    <xf numFmtId="175" fontId="8" fillId="0" borderId="2" applyAlignment="1" pivotButton="0" quotePrefix="0" xfId="0">
      <alignment horizontal="right"/>
    </xf>
    <xf numFmtId="176" fontId="8" fillId="8" borderId="2" applyAlignment="1" pivotButton="0" quotePrefix="0" xfId="0">
      <alignment horizontal="right"/>
    </xf>
    <xf numFmtId="176" fontId="8" fillId="0" borderId="2" applyAlignment="1" pivotButton="0" quotePrefix="0" xfId="0">
      <alignment horizontal="right"/>
    </xf>
    <xf numFmtId="0" fontId="8" fillId="12" borderId="2" pivotButton="0" quotePrefix="0" xfId="0"/>
    <xf numFmtId="0" fontId="8" fillId="7" borderId="2" pivotButton="0" quotePrefix="0" xfId="0"/>
    <xf numFmtId="176" fontId="10" fillId="0" borderId="2" applyAlignment="1" pivotButton="0" quotePrefix="0" xfId="0">
      <alignment horizontal="center"/>
    </xf>
    <xf numFmtId="176" fontId="12" fillId="0" borderId="2" applyAlignment="1" pivotButton="0" quotePrefix="0" xfId="0">
      <alignment horizontal="center"/>
    </xf>
    <xf numFmtId="176" fontId="13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167" fontId="7" fillId="0" borderId="2" applyAlignment="1" pivotButton="0" quotePrefix="0" xfId="0">
      <alignment horizontal="center"/>
    </xf>
    <xf numFmtId="177" fontId="7" fillId="0" borderId="2" applyAlignment="1" pivotButton="0" quotePrefix="0" xfId="0">
      <alignment horizontal="right"/>
    </xf>
    <xf numFmtId="177" fontId="8" fillId="0" borderId="2" applyAlignment="1" pivotButton="0" quotePrefix="0" xfId="0">
      <alignment horizontal="right"/>
    </xf>
    <xf numFmtId="0" fontId="8" fillId="12" borderId="2" applyAlignment="1" pivotButton="0" quotePrefix="0" xfId="0">
      <alignment horizontal="center"/>
    </xf>
    <xf numFmtId="167" fontId="7" fillId="12" borderId="2" applyAlignment="1" pivotButton="0" quotePrefix="0" xfId="0">
      <alignment horizontal="center"/>
    </xf>
    <xf numFmtId="166" fontId="7" fillId="12" borderId="2" applyAlignment="1" pivotButton="0" quotePrefix="0" xfId="0">
      <alignment horizontal="right"/>
    </xf>
    <xf numFmtId="177" fontId="7" fillId="12" borderId="2" applyAlignment="1" pivotButton="0" quotePrefix="0" xfId="0">
      <alignment horizontal="right"/>
    </xf>
    <xf numFmtId="177" fontId="8" fillId="8" borderId="2" applyAlignment="1" pivotButton="0" quotePrefix="0" xfId="0">
      <alignment horizontal="right"/>
    </xf>
    <xf numFmtId="0" fontId="6" fillId="11" borderId="1" applyAlignment="1" pivotButton="0" quotePrefix="0" xfId="0">
      <alignment horizontal="center" vertical="center" wrapText="1"/>
    </xf>
    <xf numFmtId="167" fontId="7" fillId="12" borderId="2" applyAlignment="1" pivotButton="0" quotePrefix="0" xfId="0">
      <alignment horizontal="right"/>
    </xf>
    <xf numFmtId="166" fontId="8" fillId="12" borderId="2" applyAlignment="1" pivotButton="0" quotePrefix="0" xfId="0">
      <alignment horizontal="right"/>
    </xf>
    <xf numFmtId="176" fontId="8" fillId="12" borderId="2" applyAlignment="1" pivotButton="0" quotePrefix="0" xfId="0">
      <alignment horizontal="right"/>
    </xf>
    <xf numFmtId="0" fontId="8" fillId="7" borderId="2" applyAlignment="1" pivotButton="0" quotePrefix="0" xfId="0">
      <alignment horizontal="center"/>
    </xf>
    <xf numFmtId="166" fontId="7" fillId="7" borderId="2" applyAlignment="1" pivotButton="0" quotePrefix="0" xfId="0">
      <alignment horizontal="right"/>
    </xf>
    <xf numFmtId="167" fontId="7" fillId="7" borderId="2" applyAlignment="1" pivotButton="0" quotePrefix="0" xfId="0">
      <alignment horizontal="right"/>
    </xf>
    <xf numFmtId="176" fontId="8" fillId="7" borderId="2" applyAlignment="1" pivotButton="0" quotePrefix="0" xfId="0">
      <alignment horizontal="right"/>
    </xf>
    <xf numFmtId="168" fontId="8" fillId="7" borderId="2" applyAlignment="1" pivotButton="0" quotePrefix="0" xfId="0">
      <alignment horizontal="right"/>
    </xf>
    <xf numFmtId="49" fontId="8" fillId="7" borderId="2" applyAlignment="1" pivotButton="0" quotePrefix="0" xfId="0">
      <alignment horizontal="center"/>
    </xf>
    <xf numFmtId="0" fontId="6" fillId="11" borderId="2" pivotButton="0" quotePrefix="0" xfId="0"/>
    <xf numFmtId="178" fontId="14" fillId="0" borderId="2" applyAlignment="1" pivotButton="0" quotePrefix="0" xfId="0">
      <alignment horizontal="center"/>
    </xf>
    <xf numFmtId="168" fontId="14" fillId="0" borderId="2" applyAlignment="1" pivotButton="0" quotePrefix="0" xfId="0">
      <alignment horizontal="center"/>
    </xf>
    <xf numFmtId="179" fontId="12" fillId="0" borderId="2" applyAlignment="1" pivotButton="0" quotePrefix="0" xfId="0">
      <alignment horizontal="center"/>
    </xf>
    <xf numFmtId="180" fontId="12" fillId="0" borderId="2" applyAlignment="1" pivotButton="0" quotePrefix="0" xfId="0">
      <alignment horizontal="center"/>
    </xf>
    <xf numFmtId="168" fontId="8" fillId="0" borderId="0" pivotButton="0" quotePrefix="0" xfId="0"/>
    <xf numFmtId="181" fontId="8" fillId="9" borderId="2" applyAlignment="1" pivotButton="0" quotePrefix="0" xfId="0">
      <alignment horizontal="right"/>
    </xf>
    <xf numFmtId="168" fontId="8" fillId="8" borderId="2" applyAlignment="1" pivotButton="0" quotePrefix="0" xfId="0">
      <alignment horizontal="right"/>
    </xf>
    <xf numFmtId="49" fontId="8" fillId="8" borderId="2" applyAlignment="1" pivotButton="0" quotePrefix="0" xfId="0">
      <alignment horizontal="center"/>
    </xf>
    <xf numFmtId="10" fontId="8" fillId="0" borderId="2" applyAlignment="1" pivotButton="0" quotePrefix="0" xfId="0">
      <alignment horizontal="right"/>
    </xf>
    <xf numFmtId="167" fontId="8" fillId="0" borderId="2" applyAlignment="1" pivotButton="0" quotePrefix="0" xfId="0">
      <alignment horizontal="center"/>
    </xf>
    <xf numFmtId="181" fontId="7" fillId="0" borderId="2" applyAlignment="1" pivotButton="0" quotePrefix="0" xfId="0">
      <alignment horizontal="right"/>
    </xf>
    <xf numFmtId="168" fontId="7" fillId="0" borderId="2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82" fontId="7" fillId="0" borderId="2" applyAlignment="1" pivotButton="0" quotePrefix="0" xfId="0">
      <alignment horizontal="right"/>
    </xf>
    <xf numFmtId="182" fontId="8" fillId="0" borderId="2" applyAlignment="1" pivotButton="0" quotePrefix="0" xfId="0">
      <alignment horizontal="right"/>
    </xf>
    <xf numFmtId="182" fontId="7" fillId="12" borderId="2" applyAlignment="1" pivotButton="0" quotePrefix="0" xfId="0">
      <alignment horizontal="right"/>
    </xf>
    <xf numFmtId="182" fontId="8" fillId="8" borderId="2" applyAlignment="1" pivotButton="0" quotePrefix="0" xfId="0">
      <alignment horizontal="right"/>
    </xf>
    <xf numFmtId="183" fontId="12" fillId="0" borderId="2" applyAlignment="1" pivotButton="0" quotePrefix="0" xfId="0">
      <alignment horizontal="center"/>
    </xf>
    <xf numFmtId="184" fontId="12" fillId="0" borderId="2" applyAlignment="1" pivotButton="0" quotePrefix="0" xfId="0">
      <alignment horizontal="center"/>
    </xf>
    <xf numFmtId="185" fontId="8" fillId="9" borderId="2" applyAlignment="1" pivotButton="0" quotePrefix="0" xfId="0">
      <alignment horizontal="right"/>
    </xf>
    <xf numFmtId="185" fontId="8" fillId="8" borderId="2" applyAlignment="1" pivotButton="0" quotePrefix="0" xfId="0">
      <alignment horizontal="right"/>
    </xf>
    <xf numFmtId="49" fontId="8" fillId="8" borderId="2" applyAlignment="1" pivotButton="0" quotePrefix="0" xfId="0">
      <alignment horizontal="left" vertical="center"/>
    </xf>
    <xf numFmtId="185" fontId="7" fillId="0" borderId="2" applyAlignment="1" pivotButton="0" quotePrefix="0" xfId="0">
      <alignment horizontal="right"/>
    </xf>
    <xf numFmtId="185" fontId="8" fillId="0" borderId="2" applyAlignment="1" pivotButton="0" quotePrefix="0" xfId="0">
      <alignment horizontal="right"/>
    </xf>
    <xf numFmtId="0" fontId="6" fillId="6" borderId="1" applyAlignment="1" pivotButton="0" quotePrefix="0" xfId="0">
      <alignment vertical="top" wrapText="1"/>
    </xf>
    <xf numFmtId="0" fontId="8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82" fontId="7" fillId="0" borderId="2" applyAlignment="1" pivotButton="0" quotePrefix="0" xfId="0">
      <alignment horizontal="right"/>
    </xf>
    <xf numFmtId="182" fontId="8" fillId="0" borderId="2" applyAlignment="1" pivotButton="0" quotePrefix="0" xfId="0">
      <alignment horizontal="right"/>
    </xf>
    <xf numFmtId="182" fontId="7" fillId="12" borderId="2" applyAlignment="1" pivotButton="0" quotePrefix="0" xfId="0">
      <alignment horizontal="right"/>
    </xf>
    <xf numFmtId="182" fontId="8" fillId="8" borderId="2" applyAlignment="1" pivotButton="0" quotePrefix="0" xfId="0">
      <alignment horizontal="right"/>
    </xf>
    <xf numFmtId="183" fontId="12" fillId="0" borderId="2" applyAlignment="1" pivotButton="0" quotePrefix="0" xfId="0">
      <alignment horizontal="center"/>
    </xf>
    <xf numFmtId="184" fontId="12" fillId="0" borderId="2" applyAlignment="1" pivotButton="0" quotePrefix="0" xfId="0">
      <alignment horizontal="center"/>
    </xf>
    <xf numFmtId="185" fontId="8" fillId="9" borderId="2" applyAlignment="1" pivotButton="0" quotePrefix="0" xfId="0">
      <alignment horizontal="right"/>
    </xf>
    <xf numFmtId="185" fontId="8" fillId="8" borderId="2" applyAlignment="1" pivotButton="0" quotePrefix="0" xfId="0">
      <alignment horizontal="right"/>
    </xf>
    <xf numFmtId="185" fontId="7" fillId="0" borderId="2" applyAlignment="1" pivotButton="0" quotePrefix="0" xfId="0">
      <alignment horizontal="right"/>
    </xf>
    <xf numFmtId="185" fontId="8" fillId="0" borderId="2" applyAlignment="1" pivotButton="0" quotePrefix="0" xfId="0">
      <alignment horizontal="right"/>
    </xf>
  </cellXfs>
  <cellStyles count="1">
    <cellStyle name="Normal" xfId="0" builtinId="0" hidden="0"/>
  </cellStyles>
  <dxfs count="7">
    <dxf>
      <font>
        <name val="Calibri"/>
        <b val="1"/>
        <color rgb="00276A3C"/>
        <sz val="11"/>
      </font>
    </dxf>
    <dxf>
      <font>
        <name val="Calibri"/>
        <b val="1"/>
        <color rgb="00C00000"/>
        <sz val="11"/>
      </font>
    </dxf>
    <dxf>
      <font>
        <name val="Calibri"/>
        <b val="1"/>
        <color rgb="00276A3C"/>
        <sz val="16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C00000"/>
        <sz val="16"/>
      </font>
      <fill>
        <patternFill patternType="solid">
          <fgColor rgb="00FCE4D6"/>
          <bgColor rgb="00FCE4D6"/>
        </patternFill>
      </fill>
    </dxf>
    <dxf>
      <font>
        <name val="Calibri"/>
        <b val="1"/>
        <color rgb="00276A3C"/>
        <sz val="11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8A5E0B"/>
        <sz val="11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Capital Each Year (₹ Crores)</a:t>
            </a:r>
          </a:p>
        </rich>
      </tx>
    </title>
    <plotArea>
      <lineChart>
        <grouping val="standard"/>
        <ser>
          <idx val="0"/>
          <order val="0"/>
          <tx>
            <strRef>
              <f>'3-Route Tax Visualizer'!C31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'3-Route Tax Visualizer'!$A$32:$A$51</f>
            </numRef>
          </cat>
          <val>
            <numRef>
              <f>'3-Route Tax Visualizer'!$C$32:$C$51</f>
            </numRef>
          </val>
        </ser>
        <ser>
          <idx val="1"/>
          <order val="1"/>
          <tx>
            <strRef>
              <f>'3-Route Tax Visualizer'!D31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'3-Route Tax Visualizer'!$A$32:$A$51</f>
            </numRef>
          </cat>
          <val>
            <numRef>
              <f>'3-Route Tax Visualizer'!$D$32:$D$51</f>
            </numRef>
          </val>
        </ser>
        <ser>
          <idx val="2"/>
          <order val="2"/>
          <tx>
            <strRef>
              <f>'3-Route Tax Visualizer'!E31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'3-Route Tax Visualizer'!$A$32:$A$51</f>
            </numRef>
          </cat>
          <val>
            <numRef>
              <f>'3-Route Tax Visualizer'!$E$32:$E$51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Operating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Closing Capital (₹ Crores)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30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 ht="30" customHeight="1">
      <c r="A1" s="139" t="inlineStr">
        <is>
          <t>SECTION / TOPIC</t>
        </is>
      </c>
      <c r="B1" s="139" t="inlineStr">
        <is>
          <t>OPERATIONAL &amp; LEGAL ARCHITECTURE GUIDANCE</t>
        </is>
      </c>
    </row>
    <row r="2" ht="30" customHeight="1">
      <c r="A2" s="140" t="inlineStr">
        <is>
          <t>Executive Roadmap</t>
        </is>
      </c>
      <c r="B2" s="141" t="inlineStr">
        <is>
          <t>Start with '3-Route Tax Visualizer' and 'Trade &amp; Stress Calculator'. Cream cells (FFF2CC) are live interactive inputs.</t>
        </is>
      </c>
    </row>
    <row r="3" ht="30" customHeight="1">
      <c r="A3" s="140" t="inlineStr">
        <is>
          <t>3-Route Tax Visualizer</t>
        </is>
      </c>
      <c r="B3" s="141" t="inlineStr">
        <is>
          <t>Dynamic 20-year engine replicating ng-desk-tax-routes.html: Interactive return dial, KPI summary cards, embedded capital curve chart, side-by-side comparison, and full ledgers for Clean vs No Tricks vs Gemini.</t>
        </is>
      </c>
    </row>
    <row r="4" ht="30" customHeight="1">
      <c r="A4" s="140" t="inlineStr">
        <is>
          <t>Trade &amp; Stress Calculator</t>
        </is>
      </c>
      <c r="B4" s="141" t="inlineStr">
        <is>
          <t>Interactive trade sizing &amp; risk stress engine replicating ChatGPT: Change capital, entry, exit, buffer %; instantly updates lots, margin, profit, and live 0%-25% adverse shock M2M loss simulation with auto-color status.</t>
        </is>
      </c>
    </row>
    <row r="5" ht="30" customHeight="1">
      <c r="A5" s="140" t="inlineStr">
        <is>
          <t>Trade Breakdown &amp; Buffer</t>
        </is>
      </c>
      <c r="B5" s="141" t="inlineStr">
        <is>
          <t>Empirical study across all 5,066 trading days (2007-2026) in data/prices.db: Target decomposition (30%, 24.5%, 12.5% into 2/3/4 trades), 50% cash buffer sizing, contract range statistics, and SEBI milestone schedule.</t>
        </is>
      </c>
    </row>
    <row r="6" ht="30" customHeight="1">
      <c r="A6" s="140" t="inlineStr">
        <is>
          <t>Clean Tax Architecture</t>
        </is>
      </c>
      <c r="B6" s="141" t="inlineStr">
        <is>
          <t>MD salary up to ₹12.75L (tax-free under s.87A rebate) + Mother office rent up to ₹4.8L gifted back u/s 56(2)(x). 100% tax-compliant with zero GAAR penalty risk.</t>
        </is>
      </c>
    </row>
    <row r="7" ht="30" customHeight="1">
      <c r="A7" s="140" t="inlineStr">
        <is>
          <t>The Gemini Payroll Sham</t>
        </is>
      </c>
      <c r="B7" s="141" t="inlineStr">
        <is>
          <t>Artificial non-working family salaries fail under s.37(1) &amp; s.40A(2) GAAR. If disallowed, back-taxes + 200% penalty drop Gemini below Clean.</t>
        </is>
      </c>
    </row>
    <row r="8" ht="30" customHeight="1">
      <c r="A8" s="140" t="inlineStr">
        <is>
          <t>SEBI 4,800-Lot Domestic Cap</t>
        </is>
      </c>
      <c r="B8" s="141" t="inlineStr">
        <is>
          <t>₹54.05 Cr empirical capital limit (4,800 lots @ ₹300 gas &amp; 3.33x leverage). Excess capital beyond Year 9 compounds at 6.5% safe liquid idle yield.</t>
        </is>
      </c>
    </row>
    <row r="9" ht="30" customHeight="1">
      <c r="A9" s="140" t="inlineStr">
        <is>
          <t>Streamlined Architecture</t>
        </is>
      </c>
      <c r="B9" s="141" t="inlineStr">
        <is>
          <t>All static legacy annual sheets have been consolidated into the dynamic '3-Route Tax Visualizer' tab. The workbook now consists of 4 clean, self-contained, institutional-grade sheets.</t>
        </is>
      </c>
    </row>
    <row r="10" ht="30" customHeight="1">
      <c r="A10" s="140" t="inlineStr">
        <is>
          <t>Corporate Tax Rate</t>
        </is>
      </c>
      <c r="B10" s="141" t="inlineStr">
        <is>
          <t>25.168% under Section 115BAA (22% base + 10% surcharge + 4% cess).</t>
        </is>
      </c>
    </row>
    <row r="11" ht="30" customHeight="1">
      <c r="A11" s="140" t="inlineStr">
        <is>
          <t>Idle Cash Yield</t>
        </is>
      </c>
      <c r="B11" s="141" t="inlineStr">
        <is>
          <t>6.50% annualized yield assumed on unencumbered cash buffer / T-Bills / overnight sovereign funds.</t>
        </is>
      </c>
    </row>
    <row r="12" ht="30" customHeight="1">
      <c r="A12" s="140" t="inlineStr">
        <is>
          <t>Execution Slippage</t>
        </is>
      </c>
      <c r="B12" s="141" t="inlineStr">
        <is>
          <t>All futures returns are net of exchange transaction costs, CTT, GST, and standard slippage.</t>
        </is>
      </c>
    </row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0" customWidth="1" min="5" max="5"/>
    <col width="22" customWidth="1" min="6" max="6"/>
    <col width="20" customWidth="1" min="7" max="7"/>
    <col width="18" customWidth="1" min="8" max="8"/>
    <col width="22" customWidth="1" min="9" max="9"/>
    <col width="22" customWidth="1" min="10" max="10"/>
    <col width="20" customWidth="1" min="11" max="11"/>
    <col width="18" customWidth="1" min="12" max="12"/>
    <col width="18" customWidth="1" min="13" max="13"/>
    <col width="18" customWidth="1" min="14" max="14"/>
  </cols>
  <sheetData>
    <row r="1">
      <c r="A1" s="9" t="inlineStr">
        <is>
          <t>NATURAL GAS DESK: THREE TAX ROUTES, YEAR BY YEAR (INTERACTIVE VISUALIZER)</t>
        </is>
      </c>
    </row>
    <row r="2">
      <c r="A2" s="10" t="inlineStr">
        <is>
          <t>Interactive Financial Engine replicating ng-desk-tax-routes.html | Live Formulas, Comparison Ledgers &amp; Native Dynamic Chart</t>
        </is>
      </c>
    </row>
    <row r="4">
      <c r="A4" s="11" t="inlineStr">
        <is>
          <t>1. INTERACTIVE DESK INPUTS &amp; RETURN DIAL (Cream cells are live inputs)</t>
        </is>
      </c>
    </row>
    <row r="5">
      <c r="A5" s="12" t="inlineStr">
        <is>
          <t>Parameter Description</t>
        </is>
      </c>
      <c r="B5" s="13" t="inlineStr">
        <is>
          <t>Model Value</t>
        </is>
      </c>
      <c r="C5" s="13" t="inlineStr">
        <is>
          <t>Unit / Metric</t>
        </is>
      </c>
      <c r="D5" s="13" t="inlineStr">
        <is>
          <t>Formula / Source Reference</t>
        </is>
      </c>
    </row>
    <row r="6">
      <c r="A6" s="19" t="inlineStr">
        <is>
          <t>Gross Annual Return on Traded Capital</t>
        </is>
      </c>
      <c r="B6" s="18" t="n">
        <v>0.85</v>
      </c>
      <c r="C6" s="16" t="inlineStr">
        <is>
          <t>Annual %</t>
        </is>
      </c>
      <c r="D6" s="14" t="inlineStr">
        <is>
          <t>Change this return dial (e.g. 50%, 75%, 85%, 100%) to update all cards, charts and ledgers</t>
        </is>
      </c>
    </row>
    <row r="7">
      <c r="A7" s="19" t="inlineStr">
        <is>
          <t>Starting Capital Equity (Genesis)</t>
        </is>
      </c>
      <c r="B7" s="15" t="n">
        <v>60</v>
      </c>
      <c r="C7" s="16" t="inlineStr">
        <is>
          <t>₹ Lakhs</t>
        </is>
      </c>
      <c r="D7" s="14" t="inlineStr">
        <is>
          <t>Initial capital deployed into trading company (₹60.00 Lakhs)</t>
        </is>
      </c>
    </row>
    <row r="8">
      <c r="A8" s="14" t="inlineStr">
        <is>
          <t>Natural Gas Reference Price</t>
        </is>
      </c>
      <c r="B8" s="15" t="n">
        <v>300</v>
      </c>
      <c r="C8" s="16" t="inlineStr">
        <is>
          <t>₹ / mmBtu</t>
        </is>
      </c>
      <c r="D8" s="14" t="inlineStr">
        <is>
          <t>Front-month benchmark price for open interest notional capacity</t>
        </is>
      </c>
    </row>
    <row r="9">
      <c r="A9" s="14" t="inlineStr">
        <is>
          <t>SEBI Client Position Limit (Lots)</t>
        </is>
      </c>
      <c r="B9" s="82" t="n">
        <v>4800</v>
      </c>
      <c r="C9" s="16" t="inlineStr">
        <is>
          <t>Lots</t>
        </is>
      </c>
      <c r="D9" s="14" t="inlineStr">
        <is>
          <t>SEBI hard client limit for MCX Natural Gas</t>
        </is>
      </c>
    </row>
    <row r="10">
      <c r="A10" s="14" t="inlineStr">
        <is>
          <t>Contract Multiplier (MCX Big)</t>
        </is>
      </c>
      <c r="B10" s="17" t="n">
        <v>1250</v>
      </c>
      <c r="C10" s="16" t="inlineStr">
        <is>
          <t>mmBtu / lot</t>
        </is>
      </c>
      <c r="D10" s="14" t="inlineStr">
        <is>
          <t>Fixed contract size</t>
        </is>
      </c>
    </row>
    <row r="11">
      <c r="A11" s="14" t="inlineStr">
        <is>
          <t>Target Effective Portfolio Leverage</t>
        </is>
      </c>
      <c r="B11" s="83" t="n">
        <v>3.33</v>
      </c>
      <c r="C11" s="16" t="inlineStr">
        <is>
          <t>x Leverage</t>
        </is>
      </c>
      <c r="D11" s="14" t="inlineStr">
        <is>
          <t>Leverage ratio with 50% cash buffer discipline (~3.33x)</t>
        </is>
      </c>
    </row>
    <row r="12">
      <c r="A12" s="14" t="inlineStr">
        <is>
          <t>Corporate Tax Rate (New Regime)</t>
        </is>
      </c>
      <c r="B12" s="84" t="n">
        <v>0.25168</v>
      </c>
      <c r="C12" s="16" t="inlineStr">
        <is>
          <t>% Flat</t>
        </is>
      </c>
      <c r="D12" s="14" t="inlineStr">
        <is>
          <t>Section 115BAA corporate tax rate (22% base + 10% surcharge + 4% cess)</t>
        </is>
      </c>
    </row>
    <row r="13">
      <c r="A13" s="19" t="inlineStr">
        <is>
          <t>Idle Yield on Capital Above SEBI Cap</t>
        </is>
      </c>
      <c r="B13" s="18" t="n">
        <v>0.065</v>
      </c>
      <c r="C13" s="16" t="inlineStr">
        <is>
          <t>% Annual</t>
        </is>
      </c>
      <c r="D13" s="14" t="inlineStr">
        <is>
          <t>Liquid T-Bills / Overnight Fund yield on surplus capital above ₹54.05 Cr cap</t>
        </is>
      </c>
    </row>
    <row r="14">
      <c r="A14" s="14" t="inlineStr">
        <is>
          <t>Company Annual Overhead Costs</t>
        </is>
      </c>
      <c r="B14" s="15" t="n">
        <v>1.5</v>
      </c>
      <c r="C14" s="16" t="inlineStr">
        <is>
          <t>₹ Lakhs</t>
        </is>
      </c>
      <c r="D14" s="14" t="inlineStr">
        <is>
          <t>Statutory audit, filings, software &amp; compliance overhead</t>
        </is>
      </c>
    </row>
    <row r="15">
      <c r="A15" s="14" t="inlineStr">
        <is>
          <t>Clean MD Salary Deduction</t>
        </is>
      </c>
      <c r="B15" s="15" t="n">
        <v>12.75</v>
      </c>
      <c r="C15" s="16" t="inlineStr">
        <is>
          <t>₹ Lakhs</t>
        </is>
      </c>
      <c r="D15" s="14" t="inlineStr">
        <is>
          <t>MD salary deducted by company; tax-free in MD personal hands under s.87A rebate</t>
        </is>
      </c>
    </row>
    <row r="16">
      <c r="A16" s="14" t="inlineStr">
        <is>
          <t>Clean MD Salary Reinvestment Share</t>
        </is>
      </c>
      <c r="B16" s="67" t="n">
        <v>1</v>
      </c>
      <c r="C16" s="16" t="inlineStr">
        <is>
          <t>% Reinvested</t>
        </is>
      </c>
      <c r="D16" s="14" t="inlineStr">
        <is>
          <t>Share of MD salary injected back as equity capital</t>
        </is>
      </c>
    </row>
    <row r="17">
      <c r="A17" s="14" t="inlineStr">
        <is>
          <t>Clean Mother Office Rent Deduction</t>
        </is>
      </c>
      <c r="B17" s="15" t="n">
        <v>4.2</v>
      </c>
      <c r="C17" s="16" t="inlineStr">
        <is>
          <t>₹ Lakhs</t>
        </is>
      </c>
      <c r="D17" s="14" t="inlineStr">
        <is>
          <t>Market rent paid to mother for trading office (₹35,000 / month)</t>
        </is>
      </c>
    </row>
    <row r="18">
      <c r="A18" s="14" t="inlineStr">
        <is>
          <t>Clean Mother Gift Reinvestment Share</t>
        </is>
      </c>
      <c r="B18" s="18" t="n">
        <v>0.9</v>
      </c>
      <c r="C18" s="16" t="inlineStr">
        <is>
          <t>% Gifted Back</t>
        </is>
      </c>
      <c r="D18" s="14" t="inlineStr">
        <is>
          <t>Share of rent gifted back tax-free u/s 56(2)(x) by mother as equity</t>
        </is>
      </c>
    </row>
    <row r="19">
      <c r="A19" s="19" t="inlineStr">
        <is>
          <t>Calculated Deployable Trading Cap</t>
        </is>
      </c>
      <c r="B19" s="26">
        <f>(B9*B10*B8)/(B11*100000)</f>
        <v/>
      </c>
      <c r="C19" s="16" t="inlineStr">
        <is>
          <t>₹ Lakhs</t>
        </is>
      </c>
      <c r="D19" s="14" t="inlineStr">
        <is>
          <t>Formula: (Lots × 1250 × Price) / (Leverage × 100,000) = 5,405.41 Lakhs</t>
        </is>
      </c>
    </row>
    <row r="20">
      <c r="A20" s="19" t="inlineStr">
        <is>
          <t>Calculated Deployable Trading Cap (₹ Cr)</t>
        </is>
      </c>
      <c r="B20" s="85">
        <f>B19/100</f>
        <v/>
      </c>
      <c r="C20" s="16" t="inlineStr">
        <is>
          <t>₹ Crores</t>
        </is>
      </c>
      <c r="D20" s="14" t="inlineStr">
        <is>
          <t>Domestic regulatory ceiling (surplus above this earns 6.5% idle yield)</t>
        </is>
      </c>
    </row>
    <row r="21">
      <c r="A21" s="19" t="inlineStr">
        <is>
          <t>Total Contract Notional at Full SEBI Cap</t>
        </is>
      </c>
      <c r="B21" s="86">
        <f>(B9*B10*B8)/10000000</f>
        <v/>
      </c>
      <c r="C21" s="16" t="inlineStr">
        <is>
          <t>₹ Crores</t>
        </is>
      </c>
      <c r="D21" s="14" t="inlineStr">
        <is>
          <t>Formula: 4,800 lots × 1,250 mmBtu × ₹300 = ₹180.00 Crores notional</t>
        </is>
      </c>
    </row>
    <row r="23">
      <c r="A23" s="11" t="inlineStr">
        <is>
          <t>2. CAPITAL INSIDE THE COMPANY AFTER YEAR 10 (LIVE KPI CARDS)</t>
        </is>
      </c>
    </row>
    <row r="24">
      <c r="A24" s="87" t="inlineStr">
        <is>
          <t>ROUTE 1: NO TRICKS (Corporate 25.17% Flat)</t>
        </is>
      </c>
      <c r="B24" s="44" t="inlineStr">
        <is>
          <t>ROUTE 2: CLEAN ARCHITECTURE (MD + Rent)</t>
        </is>
      </c>
      <c r="C24" s="88" t="inlineStr">
        <is>
          <t>ROUTE 3: GEMINI (Family Payroll Scheme)</t>
        </is>
      </c>
    </row>
    <row r="25">
      <c r="A25" s="89">
        <f>K108</f>
        <v/>
      </c>
      <c r="B25" s="90">
        <f>K84</f>
        <v/>
      </c>
      <c r="C25" s="91">
        <f>K131</f>
        <v/>
      </c>
    </row>
    <row r="26">
      <c r="A26" s="92">
        <f>"Total Tax Paid: ₹" &amp; TEXT(SUM(G99:G108)/100, "0.00") &amp; " Cr"</f>
        <v/>
      </c>
      <c r="B26" s="92">
        <f>"Total Tax Paid: ₹" &amp; TEXT(SUM(G75:G84)/100, "0.00") &amp; " Cr"</f>
        <v/>
      </c>
      <c r="C26" s="92">
        <f>"Total Tax Paid: ₹" &amp; TEXT(SUM(G122:G131)/100, "0.00") &amp; " Cr"</f>
        <v/>
      </c>
    </row>
    <row r="28">
      <c r="A28" s="93">
        <f>"💡 EXECUTIVE TAKEAWAY: Clean beats No Tricks by ₹" &amp; TEXT(B25-A25, "0.00") &amp; " Cr (+" &amp; TEXT((B25-A25)/A25, "0.0%") &amp; "). Gemini adds only ₹" &amp; TEXT(C25-B25, "0.00") &amp; " Cr (+" &amp; TEXT((C25-B25)/B25, "0.0%") &amp; ") on top of Clean, and ONLY if none of its artificial family salaries are disallowed."</f>
        <v/>
      </c>
    </row>
    <row r="29">
      <c r="A29" s="94">
        <f>"⚠️ REGULATORY NOTE: SEBI 4,800-lot limit enforces deployable trading ceiling of ₹" &amp; TEXT(B20, "0.00") &amp; " Cr (₹180 Cr contracts at 3.33x leverage). Surplus capital beyond Year 9 compounds at 6.5% safe liquid idle yield."</f>
        <v/>
      </c>
    </row>
    <row r="30">
      <c r="A30" s="11" t="inlineStr">
        <is>
          <t>3. SIDE BY SIDE ROUTE COMPARISON (Years 1 to 20)</t>
        </is>
      </c>
    </row>
    <row r="31">
      <c r="A31" s="13" t="inlineStr">
        <is>
          <t>Year</t>
        </is>
      </c>
      <c r="B31" s="13" t="inlineStr">
        <is>
          <t>Return</t>
        </is>
      </c>
      <c r="C31" s="13" t="inlineStr">
        <is>
          <t>No Tricks (₹ Cr)</t>
        </is>
      </c>
      <c r="D31" s="13" t="inlineStr">
        <is>
          <t>Clean Architecture (₹ Cr)</t>
        </is>
      </c>
      <c r="E31" s="13" t="inlineStr">
        <is>
          <t>Gemini Payroll (₹ Cr)</t>
        </is>
      </c>
      <c r="F31" s="13" t="inlineStr">
        <is>
          <t>Gemini − Clean (₹ Cr)</t>
        </is>
      </c>
      <c r="G31" s="13" t="inlineStr">
        <is>
          <t>Clean − No Tricks (₹ Cr)</t>
        </is>
      </c>
    </row>
    <row r="32">
      <c r="A32" s="65" t="inlineStr">
        <is>
          <t>Year 1</t>
        </is>
      </c>
      <c r="B32" s="95">
        <f>B$6</f>
        <v/>
      </c>
      <c r="C32" s="37">
        <f>K99</f>
        <v/>
      </c>
      <c r="D32" s="76">
        <f>K75</f>
        <v/>
      </c>
      <c r="E32" s="37">
        <f>K122</f>
        <v/>
      </c>
      <c r="F32" s="142">
        <f>E32-D32</f>
        <v/>
      </c>
      <c r="G32" s="143">
        <f>D32-C32</f>
        <v/>
      </c>
    </row>
    <row r="33">
      <c r="A33" s="65" t="inlineStr">
        <is>
          <t>Year 2</t>
        </is>
      </c>
      <c r="B33" s="95">
        <f>B$6</f>
        <v/>
      </c>
      <c r="C33" s="37">
        <f>K100</f>
        <v/>
      </c>
      <c r="D33" s="76">
        <f>K76</f>
        <v/>
      </c>
      <c r="E33" s="37">
        <f>K123</f>
        <v/>
      </c>
      <c r="F33" s="142">
        <f>E33-D33</f>
        <v/>
      </c>
      <c r="G33" s="143">
        <f>D33-C33</f>
        <v/>
      </c>
    </row>
    <row r="34">
      <c r="A34" s="65" t="inlineStr">
        <is>
          <t>Year 3</t>
        </is>
      </c>
      <c r="B34" s="95">
        <f>B$6</f>
        <v/>
      </c>
      <c r="C34" s="37">
        <f>K101</f>
        <v/>
      </c>
      <c r="D34" s="76">
        <f>K77</f>
        <v/>
      </c>
      <c r="E34" s="37">
        <f>K124</f>
        <v/>
      </c>
      <c r="F34" s="142">
        <f>E34-D34</f>
        <v/>
      </c>
      <c r="G34" s="143">
        <f>D34-C34</f>
        <v/>
      </c>
    </row>
    <row r="35">
      <c r="A35" s="65" t="inlineStr">
        <is>
          <t>Year 4</t>
        </is>
      </c>
      <c r="B35" s="95">
        <f>B$6</f>
        <v/>
      </c>
      <c r="C35" s="37">
        <f>K102</f>
        <v/>
      </c>
      <c r="D35" s="76">
        <f>K78</f>
        <v/>
      </c>
      <c r="E35" s="37">
        <f>K125</f>
        <v/>
      </c>
      <c r="F35" s="142">
        <f>E35-D35</f>
        <v/>
      </c>
      <c r="G35" s="143">
        <f>D35-C35</f>
        <v/>
      </c>
    </row>
    <row r="36">
      <c r="A36" s="65" t="inlineStr">
        <is>
          <t>Year 5</t>
        </is>
      </c>
      <c r="B36" s="95">
        <f>B$6</f>
        <v/>
      </c>
      <c r="C36" s="37">
        <f>K103</f>
        <v/>
      </c>
      <c r="D36" s="76">
        <f>K79</f>
        <v/>
      </c>
      <c r="E36" s="37">
        <f>K126</f>
        <v/>
      </c>
      <c r="F36" s="142">
        <f>E36-D36</f>
        <v/>
      </c>
      <c r="G36" s="143">
        <f>D36-C36</f>
        <v/>
      </c>
    </row>
    <row r="37">
      <c r="A37" s="65" t="inlineStr">
        <is>
          <t>Year 6</t>
        </is>
      </c>
      <c r="B37" s="95">
        <f>B$6</f>
        <v/>
      </c>
      <c r="C37" s="37">
        <f>K104</f>
        <v/>
      </c>
      <c r="D37" s="76">
        <f>K80</f>
        <v/>
      </c>
      <c r="E37" s="37">
        <f>K127</f>
        <v/>
      </c>
      <c r="F37" s="142">
        <f>E37-D37</f>
        <v/>
      </c>
      <c r="G37" s="143">
        <f>D37-C37</f>
        <v/>
      </c>
    </row>
    <row r="38">
      <c r="A38" s="65" t="inlineStr">
        <is>
          <t>Year 7</t>
        </is>
      </c>
      <c r="B38" s="95">
        <f>B$6</f>
        <v/>
      </c>
      <c r="C38" s="37">
        <f>K105</f>
        <v/>
      </c>
      <c r="D38" s="76">
        <f>K81</f>
        <v/>
      </c>
      <c r="E38" s="37">
        <f>K128</f>
        <v/>
      </c>
      <c r="F38" s="142">
        <f>E38-D38</f>
        <v/>
      </c>
      <c r="G38" s="143">
        <f>D38-C38</f>
        <v/>
      </c>
    </row>
    <row r="39">
      <c r="A39" s="65" t="inlineStr">
        <is>
          <t>Year 8</t>
        </is>
      </c>
      <c r="B39" s="95">
        <f>B$6</f>
        <v/>
      </c>
      <c r="C39" s="37">
        <f>K106</f>
        <v/>
      </c>
      <c r="D39" s="76">
        <f>K82</f>
        <v/>
      </c>
      <c r="E39" s="37">
        <f>K129</f>
        <v/>
      </c>
      <c r="F39" s="142">
        <f>E39-D39</f>
        <v/>
      </c>
      <c r="G39" s="143">
        <f>D39-C39</f>
        <v/>
      </c>
    </row>
    <row r="40">
      <c r="A40" s="65" t="inlineStr">
        <is>
          <t>Year 9</t>
        </is>
      </c>
      <c r="B40" s="95">
        <f>B$6</f>
        <v/>
      </c>
      <c r="C40" s="37">
        <f>K107</f>
        <v/>
      </c>
      <c r="D40" s="76">
        <f>K83</f>
        <v/>
      </c>
      <c r="E40" s="37">
        <f>K130</f>
        <v/>
      </c>
      <c r="F40" s="142">
        <f>E40-D40</f>
        <v/>
      </c>
      <c r="G40" s="143">
        <f>D40-C40</f>
        <v/>
      </c>
    </row>
    <row r="41">
      <c r="A41" s="98" t="inlineStr">
        <is>
          <t>Year 10</t>
        </is>
      </c>
      <c r="B41" s="99">
        <f>B$6</f>
        <v/>
      </c>
      <c r="C41" s="100">
        <f>K108</f>
        <v/>
      </c>
      <c r="D41" s="26">
        <f>K84</f>
        <v/>
      </c>
      <c r="E41" s="100">
        <f>K131</f>
        <v/>
      </c>
      <c r="F41" s="144">
        <f>E41-D41</f>
        <v/>
      </c>
      <c r="G41" s="145">
        <f>D41-C41</f>
        <v/>
      </c>
    </row>
    <row r="42">
      <c r="A42" s="65" t="inlineStr">
        <is>
          <t>Year 11</t>
        </is>
      </c>
      <c r="B42" s="95">
        <f>B$6</f>
        <v/>
      </c>
      <c r="C42" s="37">
        <f>K109</f>
        <v/>
      </c>
      <c r="D42" s="76">
        <f>K85</f>
        <v/>
      </c>
      <c r="E42" s="37">
        <f>K132</f>
        <v/>
      </c>
      <c r="F42" s="142">
        <f>E42-D42</f>
        <v/>
      </c>
      <c r="G42" s="143">
        <f>D42-C42</f>
        <v/>
      </c>
    </row>
    <row r="43">
      <c r="A43" s="65" t="inlineStr">
        <is>
          <t>Year 12</t>
        </is>
      </c>
      <c r="B43" s="95">
        <f>B$6</f>
        <v/>
      </c>
      <c r="C43" s="37">
        <f>K110</f>
        <v/>
      </c>
      <c r="D43" s="76">
        <f>K86</f>
        <v/>
      </c>
      <c r="E43" s="37">
        <f>K133</f>
        <v/>
      </c>
      <c r="F43" s="142">
        <f>E43-D43</f>
        <v/>
      </c>
      <c r="G43" s="143">
        <f>D43-C43</f>
        <v/>
      </c>
    </row>
    <row r="44">
      <c r="A44" s="65" t="inlineStr">
        <is>
          <t>Year 13</t>
        </is>
      </c>
      <c r="B44" s="95">
        <f>B$6</f>
        <v/>
      </c>
      <c r="C44" s="37">
        <f>K111</f>
        <v/>
      </c>
      <c r="D44" s="76">
        <f>K87</f>
        <v/>
      </c>
      <c r="E44" s="37">
        <f>K134</f>
        <v/>
      </c>
      <c r="F44" s="142">
        <f>E44-D44</f>
        <v/>
      </c>
      <c r="G44" s="143">
        <f>D44-C44</f>
        <v/>
      </c>
    </row>
    <row r="45">
      <c r="A45" s="65" t="inlineStr">
        <is>
          <t>Year 14</t>
        </is>
      </c>
      <c r="B45" s="95">
        <f>B$6</f>
        <v/>
      </c>
      <c r="C45" s="37">
        <f>K112</f>
        <v/>
      </c>
      <c r="D45" s="76">
        <f>K88</f>
        <v/>
      </c>
      <c r="E45" s="37">
        <f>K135</f>
        <v/>
      </c>
      <c r="F45" s="142">
        <f>E45-D45</f>
        <v/>
      </c>
      <c r="G45" s="143">
        <f>D45-C45</f>
        <v/>
      </c>
    </row>
    <row r="46">
      <c r="A46" s="65" t="inlineStr">
        <is>
          <t>Year 15</t>
        </is>
      </c>
      <c r="B46" s="95">
        <f>B$6</f>
        <v/>
      </c>
      <c r="C46" s="37">
        <f>K113</f>
        <v/>
      </c>
      <c r="D46" s="76">
        <f>K89</f>
        <v/>
      </c>
      <c r="E46" s="37">
        <f>K136</f>
        <v/>
      </c>
      <c r="F46" s="142">
        <f>E46-D46</f>
        <v/>
      </c>
      <c r="G46" s="143">
        <f>D46-C46</f>
        <v/>
      </c>
    </row>
    <row r="47">
      <c r="A47" s="65" t="inlineStr">
        <is>
          <t>Year 16</t>
        </is>
      </c>
      <c r="B47" s="95">
        <f>B$6</f>
        <v/>
      </c>
      <c r="C47" s="37">
        <f>K114</f>
        <v/>
      </c>
      <c r="D47" s="76">
        <f>K90</f>
        <v/>
      </c>
      <c r="E47" s="37">
        <f>K137</f>
        <v/>
      </c>
      <c r="F47" s="142">
        <f>E47-D47</f>
        <v/>
      </c>
      <c r="G47" s="143">
        <f>D47-C47</f>
        <v/>
      </c>
    </row>
    <row r="48">
      <c r="A48" s="65" t="inlineStr">
        <is>
          <t>Year 17</t>
        </is>
      </c>
      <c r="B48" s="95">
        <f>B$6</f>
        <v/>
      </c>
      <c r="C48" s="37">
        <f>K115</f>
        <v/>
      </c>
      <c r="D48" s="76">
        <f>K91</f>
        <v/>
      </c>
      <c r="E48" s="37">
        <f>K138</f>
        <v/>
      </c>
      <c r="F48" s="142">
        <f>E48-D48</f>
        <v/>
      </c>
      <c r="G48" s="143">
        <f>D48-C48</f>
        <v/>
      </c>
    </row>
    <row r="49">
      <c r="A49" s="65" t="inlineStr">
        <is>
          <t>Year 18</t>
        </is>
      </c>
      <c r="B49" s="95">
        <f>B$6</f>
        <v/>
      </c>
      <c r="C49" s="37">
        <f>K116</f>
        <v/>
      </c>
      <c r="D49" s="76">
        <f>K92</f>
        <v/>
      </c>
      <c r="E49" s="37">
        <f>K139</f>
        <v/>
      </c>
      <c r="F49" s="142">
        <f>E49-D49</f>
        <v/>
      </c>
      <c r="G49" s="143">
        <f>D49-C49</f>
        <v/>
      </c>
    </row>
    <row r="50">
      <c r="A50" s="65" t="inlineStr">
        <is>
          <t>Year 19</t>
        </is>
      </c>
      <c r="B50" s="95">
        <f>B$6</f>
        <v/>
      </c>
      <c r="C50" s="37">
        <f>K117</f>
        <v/>
      </c>
      <c r="D50" s="76">
        <f>K93</f>
        <v/>
      </c>
      <c r="E50" s="37">
        <f>K140</f>
        <v/>
      </c>
      <c r="F50" s="142">
        <f>E50-D50</f>
        <v/>
      </c>
      <c r="G50" s="143">
        <f>D50-C50</f>
        <v/>
      </c>
    </row>
    <row r="51">
      <c r="A51" s="65" t="inlineStr">
        <is>
          <t>Year 20</t>
        </is>
      </c>
      <c r="B51" s="95">
        <f>B$6</f>
        <v/>
      </c>
      <c r="C51" s="37">
        <f>K118</f>
        <v/>
      </c>
      <c r="D51" s="76">
        <f>K94</f>
        <v/>
      </c>
      <c r="E51" s="37">
        <f>K141</f>
        <v/>
      </c>
      <c r="F51" s="142">
        <f>E51-D51</f>
        <v/>
      </c>
      <c r="G51" s="143">
        <f>D51-C51</f>
        <v/>
      </c>
    </row>
    <row r="73">
      <c r="A73" s="11" t="inlineStr">
        <is>
          <t>4A. FULL 20-YEAR LEDGER: CLEAN LEGAL ARCHITECTURE (MD Salary ₹12.75L + Mother Rent ₹4.20L)</t>
        </is>
      </c>
    </row>
    <row r="74" ht="28" customHeight="1">
      <c r="A74" s="103" t="inlineStr">
        <is>
          <t>Year</t>
        </is>
      </c>
      <c r="B74" s="103" t="inlineStr">
        <is>
          <t>Opening Equity (₹ L)</t>
        </is>
      </c>
      <c r="C74" s="103" t="inlineStr">
        <is>
          <t>Traded Capital (₹ L)</t>
        </is>
      </c>
      <c r="D74" s="103" t="inlineStr">
        <is>
          <t>Gross Profit (₹ L)</t>
        </is>
      </c>
      <c r="E74" s="103" t="inlineStr">
        <is>
          <t>Paid Out (₹ L)</t>
        </is>
      </c>
      <c r="F74" s="103" t="inlineStr">
        <is>
          <t>Taxable Profit (₹ L)</t>
        </is>
      </c>
      <c r="G74" s="103" t="inlineStr">
        <is>
          <t>Corporate Tax (₹ L)</t>
        </is>
      </c>
      <c r="H74" s="103" t="inlineStr">
        <is>
          <t>Effective Tax Rate</t>
        </is>
      </c>
      <c r="I74" s="103" t="inlineStr">
        <is>
          <t>Reinvested Back In (₹ L)</t>
        </is>
      </c>
      <c r="J74" s="103" t="inlineStr">
        <is>
          <t>Closing Equity (₹ L)</t>
        </is>
      </c>
      <c r="K74" s="103" t="inlineStr">
        <is>
          <t>Closing Capital (₹ Cr)</t>
        </is>
      </c>
    </row>
    <row r="75">
      <c r="A75" s="65" t="inlineStr">
        <is>
          <t>Year 1</t>
        </is>
      </c>
      <c r="B75" s="37">
        <f>B$7</f>
        <v/>
      </c>
      <c r="C75" s="37">
        <f>MIN(B75, B$19)</f>
        <v/>
      </c>
      <c r="D75" s="37">
        <f>(C75*B$6)+(MAX(B75-B$19, 0)*B$13)</f>
        <v/>
      </c>
      <c r="E75" s="37">
        <f>B$15+B$17</f>
        <v/>
      </c>
      <c r="F75" s="37">
        <f>MAX(D75-E75-B$14, 0)</f>
        <v/>
      </c>
      <c r="G75" s="37">
        <f>F75*B$12</f>
        <v/>
      </c>
      <c r="H75" s="38">
        <f>IF(D75&gt;0, G75/D75, 0)</f>
        <v/>
      </c>
      <c r="I75" s="37">
        <f>(B$15*B$16)+(B$17*B$18)</f>
        <v/>
      </c>
      <c r="J75" s="76">
        <f>B75+D75-E75-B$14-G75+I75</f>
        <v/>
      </c>
      <c r="K75" s="86">
        <f>J75/100</f>
        <v/>
      </c>
    </row>
    <row r="76">
      <c r="A76" s="65" t="inlineStr">
        <is>
          <t>Year 2</t>
        </is>
      </c>
      <c r="B76" s="37">
        <f>J75</f>
        <v/>
      </c>
      <c r="C76" s="37">
        <f>MIN(B76, B$19)</f>
        <v/>
      </c>
      <c r="D76" s="37">
        <f>(C76*B$6)+(MAX(B76-B$19, 0)*B$13)</f>
        <v/>
      </c>
      <c r="E76" s="37">
        <f>B$15+B$17</f>
        <v/>
      </c>
      <c r="F76" s="37">
        <f>MAX(D76-E76-B$14, 0)</f>
        <v/>
      </c>
      <c r="G76" s="37">
        <f>F76*B$12</f>
        <v/>
      </c>
      <c r="H76" s="38">
        <f>IF(D76&gt;0, G76/D76, 0)</f>
        <v/>
      </c>
      <c r="I76" s="37">
        <f>(B$15*B$16)+(B$17*B$18)</f>
        <v/>
      </c>
      <c r="J76" s="76">
        <f>B76+D76-E76-B$14-G76+I76</f>
        <v/>
      </c>
      <c r="K76" s="86">
        <f>J76/100</f>
        <v/>
      </c>
    </row>
    <row r="77">
      <c r="A77" s="65" t="inlineStr">
        <is>
          <t>Year 3</t>
        </is>
      </c>
      <c r="B77" s="37">
        <f>J76</f>
        <v/>
      </c>
      <c r="C77" s="37">
        <f>MIN(B77, B$19)</f>
        <v/>
      </c>
      <c r="D77" s="37">
        <f>(C77*B$6)+(MAX(B77-B$19, 0)*B$13)</f>
        <v/>
      </c>
      <c r="E77" s="37">
        <f>B$15+B$17</f>
        <v/>
      </c>
      <c r="F77" s="37">
        <f>MAX(D77-E77-B$14, 0)</f>
        <v/>
      </c>
      <c r="G77" s="37">
        <f>F77*B$12</f>
        <v/>
      </c>
      <c r="H77" s="38">
        <f>IF(D77&gt;0, G77/D77, 0)</f>
        <v/>
      </c>
      <c r="I77" s="37">
        <f>(B$15*B$16)+(B$17*B$18)</f>
        <v/>
      </c>
      <c r="J77" s="76">
        <f>B77+D77-E77-B$14-G77+I77</f>
        <v/>
      </c>
      <c r="K77" s="86">
        <f>J77/100</f>
        <v/>
      </c>
    </row>
    <row r="78">
      <c r="A78" s="65" t="inlineStr">
        <is>
          <t>Year 4</t>
        </is>
      </c>
      <c r="B78" s="37">
        <f>J77</f>
        <v/>
      </c>
      <c r="C78" s="37">
        <f>MIN(B78, B$19)</f>
        <v/>
      </c>
      <c r="D78" s="37">
        <f>(C78*B$6)+(MAX(B78-B$19, 0)*B$13)</f>
        <v/>
      </c>
      <c r="E78" s="37">
        <f>B$15+B$17</f>
        <v/>
      </c>
      <c r="F78" s="37">
        <f>MAX(D78-E78-B$14, 0)</f>
        <v/>
      </c>
      <c r="G78" s="37">
        <f>F78*B$12</f>
        <v/>
      </c>
      <c r="H78" s="38">
        <f>IF(D78&gt;0, G78/D78, 0)</f>
        <v/>
      </c>
      <c r="I78" s="37">
        <f>(B$15*B$16)+(B$17*B$18)</f>
        <v/>
      </c>
      <c r="J78" s="76">
        <f>B78+D78-E78-B$14-G78+I78</f>
        <v/>
      </c>
      <c r="K78" s="86">
        <f>J78/100</f>
        <v/>
      </c>
    </row>
    <row r="79">
      <c r="A79" s="65" t="inlineStr">
        <is>
          <t>Year 5</t>
        </is>
      </c>
      <c r="B79" s="37">
        <f>J78</f>
        <v/>
      </c>
      <c r="C79" s="37">
        <f>MIN(B79, B$19)</f>
        <v/>
      </c>
      <c r="D79" s="37">
        <f>(C79*B$6)+(MAX(B79-B$19, 0)*B$13)</f>
        <v/>
      </c>
      <c r="E79" s="37">
        <f>B$15+B$17</f>
        <v/>
      </c>
      <c r="F79" s="37">
        <f>MAX(D79-E79-B$14, 0)</f>
        <v/>
      </c>
      <c r="G79" s="37">
        <f>F79*B$12</f>
        <v/>
      </c>
      <c r="H79" s="38">
        <f>IF(D79&gt;0, G79/D79, 0)</f>
        <v/>
      </c>
      <c r="I79" s="37">
        <f>(B$15*B$16)+(B$17*B$18)</f>
        <v/>
      </c>
      <c r="J79" s="76">
        <f>B79+D79-E79-B$14-G79+I79</f>
        <v/>
      </c>
      <c r="K79" s="86">
        <f>J79/100</f>
        <v/>
      </c>
    </row>
    <row r="80">
      <c r="A80" s="65" t="inlineStr">
        <is>
          <t>Year 6</t>
        </is>
      </c>
      <c r="B80" s="37">
        <f>J79</f>
        <v/>
      </c>
      <c r="C80" s="37">
        <f>MIN(B80, B$19)</f>
        <v/>
      </c>
      <c r="D80" s="37">
        <f>(C80*B$6)+(MAX(B80-B$19, 0)*B$13)</f>
        <v/>
      </c>
      <c r="E80" s="37">
        <f>B$15+B$17</f>
        <v/>
      </c>
      <c r="F80" s="37">
        <f>MAX(D80-E80-B$14, 0)</f>
        <v/>
      </c>
      <c r="G80" s="37">
        <f>F80*B$12</f>
        <v/>
      </c>
      <c r="H80" s="38">
        <f>IF(D80&gt;0, G80/D80, 0)</f>
        <v/>
      </c>
      <c r="I80" s="37">
        <f>(B$15*B$16)+(B$17*B$18)</f>
        <v/>
      </c>
      <c r="J80" s="76">
        <f>B80+D80-E80-B$14-G80+I80</f>
        <v/>
      </c>
      <c r="K80" s="86">
        <f>J80/100</f>
        <v/>
      </c>
    </row>
    <row r="81">
      <c r="A81" s="65" t="inlineStr">
        <is>
          <t>Year 7</t>
        </is>
      </c>
      <c r="B81" s="37">
        <f>J80</f>
        <v/>
      </c>
      <c r="C81" s="37">
        <f>MIN(B81, B$19)</f>
        <v/>
      </c>
      <c r="D81" s="37">
        <f>(C81*B$6)+(MAX(B81-B$19, 0)*B$13)</f>
        <v/>
      </c>
      <c r="E81" s="37">
        <f>B$15+B$17</f>
        <v/>
      </c>
      <c r="F81" s="37">
        <f>MAX(D81-E81-B$14, 0)</f>
        <v/>
      </c>
      <c r="G81" s="37">
        <f>F81*B$12</f>
        <v/>
      </c>
      <c r="H81" s="38">
        <f>IF(D81&gt;0, G81/D81, 0)</f>
        <v/>
      </c>
      <c r="I81" s="37">
        <f>(B$15*B$16)+(B$17*B$18)</f>
        <v/>
      </c>
      <c r="J81" s="76">
        <f>B81+D81-E81-B$14-G81+I81</f>
        <v/>
      </c>
      <c r="K81" s="86">
        <f>J81/100</f>
        <v/>
      </c>
    </row>
    <row r="82">
      <c r="A82" s="65" t="inlineStr">
        <is>
          <t>Year 8</t>
        </is>
      </c>
      <c r="B82" s="37">
        <f>J81</f>
        <v/>
      </c>
      <c r="C82" s="37">
        <f>MIN(B82, B$19)</f>
        <v/>
      </c>
      <c r="D82" s="37">
        <f>(C82*B$6)+(MAX(B82-B$19, 0)*B$13)</f>
        <v/>
      </c>
      <c r="E82" s="37">
        <f>B$15+B$17</f>
        <v/>
      </c>
      <c r="F82" s="37">
        <f>MAX(D82-E82-B$14, 0)</f>
        <v/>
      </c>
      <c r="G82" s="37">
        <f>F82*B$12</f>
        <v/>
      </c>
      <c r="H82" s="38">
        <f>IF(D82&gt;0, G82/D82, 0)</f>
        <v/>
      </c>
      <c r="I82" s="37">
        <f>(B$15*B$16)+(B$17*B$18)</f>
        <v/>
      </c>
      <c r="J82" s="76">
        <f>B82+D82-E82-B$14-G82+I82</f>
        <v/>
      </c>
      <c r="K82" s="86">
        <f>J82/100</f>
        <v/>
      </c>
    </row>
    <row r="83">
      <c r="A83" s="65" t="inlineStr">
        <is>
          <t>Year 9</t>
        </is>
      </c>
      <c r="B83" s="37">
        <f>J82</f>
        <v/>
      </c>
      <c r="C83" s="37">
        <f>MIN(B83, B$19)</f>
        <v/>
      </c>
      <c r="D83" s="37">
        <f>(C83*B$6)+(MAX(B83-B$19, 0)*B$13)</f>
        <v/>
      </c>
      <c r="E83" s="37">
        <f>B$15+B$17</f>
        <v/>
      </c>
      <c r="F83" s="37">
        <f>MAX(D83-E83-B$14, 0)</f>
        <v/>
      </c>
      <c r="G83" s="37">
        <f>F83*B$12</f>
        <v/>
      </c>
      <c r="H83" s="38">
        <f>IF(D83&gt;0, G83/D83, 0)</f>
        <v/>
      </c>
      <c r="I83" s="37">
        <f>(B$15*B$16)+(B$17*B$18)</f>
        <v/>
      </c>
      <c r="J83" s="76">
        <f>B83+D83-E83-B$14-G83+I83</f>
        <v/>
      </c>
      <c r="K83" s="86">
        <f>J83/100</f>
        <v/>
      </c>
    </row>
    <row r="84">
      <c r="A84" s="60" t="inlineStr">
        <is>
          <t>Year 10</t>
        </is>
      </c>
      <c r="B84" s="45">
        <f>J83</f>
        <v/>
      </c>
      <c r="C84" s="45">
        <f>MIN(B84, B$19)</f>
        <v/>
      </c>
      <c r="D84" s="45">
        <f>(C84*B$6)+(MAX(B84-B$19, 0)*B$13)</f>
        <v/>
      </c>
      <c r="E84" s="45">
        <f>B$15+B$17</f>
        <v/>
      </c>
      <c r="F84" s="45">
        <f>MAX(D84-E84-B$14, 0)</f>
        <v/>
      </c>
      <c r="G84" s="45">
        <f>F84*B$12</f>
        <v/>
      </c>
      <c r="H84" s="46">
        <f>IF(D84&gt;0, G84/D84, 0)</f>
        <v/>
      </c>
      <c r="I84" s="45">
        <f>(B$15*B$16)+(B$17*B$18)</f>
        <v/>
      </c>
      <c r="J84" s="26">
        <f>B84+D84-E84-B$14-G84+I84</f>
        <v/>
      </c>
      <c r="K84" s="85">
        <f>J84/100</f>
        <v/>
      </c>
    </row>
    <row r="85">
      <c r="A85" s="65" t="inlineStr">
        <is>
          <t>Year 11</t>
        </is>
      </c>
      <c r="B85" s="37">
        <f>J84</f>
        <v/>
      </c>
      <c r="C85" s="37">
        <f>MIN(B85, B$19)</f>
        <v/>
      </c>
      <c r="D85" s="37">
        <f>(C85*B$6)+(MAX(B85-B$19, 0)*B$13)</f>
        <v/>
      </c>
      <c r="E85" s="37">
        <f>B$15+B$17</f>
        <v/>
      </c>
      <c r="F85" s="37">
        <f>MAX(D85-E85-B$14, 0)</f>
        <v/>
      </c>
      <c r="G85" s="37">
        <f>F85*B$12</f>
        <v/>
      </c>
      <c r="H85" s="38">
        <f>IF(D85&gt;0, G85/D85, 0)</f>
        <v/>
      </c>
      <c r="I85" s="37">
        <f>(B$15*B$16)+(B$17*B$18)</f>
        <v/>
      </c>
      <c r="J85" s="76">
        <f>B85+D85-E85-B$14-G85+I85</f>
        <v/>
      </c>
      <c r="K85" s="86">
        <f>J85/100</f>
        <v/>
      </c>
    </row>
    <row r="86">
      <c r="A86" s="65" t="inlineStr">
        <is>
          <t>Year 12</t>
        </is>
      </c>
      <c r="B86" s="37">
        <f>J85</f>
        <v/>
      </c>
      <c r="C86" s="37">
        <f>MIN(B86, B$19)</f>
        <v/>
      </c>
      <c r="D86" s="37">
        <f>(C86*B$6)+(MAX(B86-B$19, 0)*B$13)</f>
        <v/>
      </c>
      <c r="E86" s="37">
        <f>B$15+B$17</f>
        <v/>
      </c>
      <c r="F86" s="37">
        <f>MAX(D86-E86-B$14, 0)</f>
        <v/>
      </c>
      <c r="G86" s="37">
        <f>F86*B$12</f>
        <v/>
      </c>
      <c r="H86" s="38">
        <f>IF(D86&gt;0, G86/D86, 0)</f>
        <v/>
      </c>
      <c r="I86" s="37">
        <f>(B$15*B$16)+(B$17*B$18)</f>
        <v/>
      </c>
      <c r="J86" s="76">
        <f>B86+D86-E86-B$14-G86+I86</f>
        <v/>
      </c>
      <c r="K86" s="86">
        <f>J86/100</f>
        <v/>
      </c>
    </row>
    <row r="87">
      <c r="A87" s="65" t="inlineStr">
        <is>
          <t>Year 13</t>
        </is>
      </c>
      <c r="B87" s="37">
        <f>J86</f>
        <v/>
      </c>
      <c r="C87" s="37">
        <f>MIN(B87, B$19)</f>
        <v/>
      </c>
      <c r="D87" s="37">
        <f>(C87*B$6)+(MAX(B87-B$19, 0)*B$13)</f>
        <v/>
      </c>
      <c r="E87" s="37">
        <f>B$15+B$17</f>
        <v/>
      </c>
      <c r="F87" s="37">
        <f>MAX(D87-E87-B$14, 0)</f>
        <v/>
      </c>
      <c r="G87" s="37">
        <f>F87*B$12</f>
        <v/>
      </c>
      <c r="H87" s="38">
        <f>IF(D87&gt;0, G87/D87, 0)</f>
        <v/>
      </c>
      <c r="I87" s="37">
        <f>(B$15*B$16)+(B$17*B$18)</f>
        <v/>
      </c>
      <c r="J87" s="76">
        <f>B87+D87-E87-B$14-G87+I87</f>
        <v/>
      </c>
      <c r="K87" s="86">
        <f>J87/100</f>
        <v/>
      </c>
    </row>
    <row r="88">
      <c r="A88" s="65" t="inlineStr">
        <is>
          <t>Year 14</t>
        </is>
      </c>
      <c r="B88" s="37">
        <f>J87</f>
        <v/>
      </c>
      <c r="C88" s="37">
        <f>MIN(B88, B$19)</f>
        <v/>
      </c>
      <c r="D88" s="37">
        <f>(C88*B$6)+(MAX(B88-B$19, 0)*B$13)</f>
        <v/>
      </c>
      <c r="E88" s="37">
        <f>B$15+B$17</f>
        <v/>
      </c>
      <c r="F88" s="37">
        <f>MAX(D88-E88-B$14, 0)</f>
        <v/>
      </c>
      <c r="G88" s="37">
        <f>F88*B$12</f>
        <v/>
      </c>
      <c r="H88" s="38">
        <f>IF(D88&gt;0, G88/D88, 0)</f>
        <v/>
      </c>
      <c r="I88" s="37">
        <f>(B$15*B$16)+(B$17*B$18)</f>
        <v/>
      </c>
      <c r="J88" s="76">
        <f>B88+D88-E88-B$14-G88+I88</f>
        <v/>
      </c>
      <c r="K88" s="86">
        <f>J88/100</f>
        <v/>
      </c>
    </row>
    <row r="89">
      <c r="A89" s="65" t="inlineStr">
        <is>
          <t>Year 15</t>
        </is>
      </c>
      <c r="B89" s="37">
        <f>J88</f>
        <v/>
      </c>
      <c r="C89" s="37">
        <f>MIN(B89, B$19)</f>
        <v/>
      </c>
      <c r="D89" s="37">
        <f>(C89*B$6)+(MAX(B89-B$19, 0)*B$13)</f>
        <v/>
      </c>
      <c r="E89" s="37">
        <f>B$15+B$17</f>
        <v/>
      </c>
      <c r="F89" s="37">
        <f>MAX(D89-E89-B$14, 0)</f>
        <v/>
      </c>
      <c r="G89" s="37">
        <f>F89*B$12</f>
        <v/>
      </c>
      <c r="H89" s="38">
        <f>IF(D89&gt;0, G89/D89, 0)</f>
        <v/>
      </c>
      <c r="I89" s="37">
        <f>(B$15*B$16)+(B$17*B$18)</f>
        <v/>
      </c>
      <c r="J89" s="76">
        <f>B89+D89-E89-B$14-G89+I89</f>
        <v/>
      </c>
      <c r="K89" s="86">
        <f>J89/100</f>
        <v/>
      </c>
    </row>
    <row r="90">
      <c r="A90" s="65" t="inlineStr">
        <is>
          <t>Year 16</t>
        </is>
      </c>
      <c r="B90" s="37">
        <f>J89</f>
        <v/>
      </c>
      <c r="C90" s="37">
        <f>MIN(B90, B$19)</f>
        <v/>
      </c>
      <c r="D90" s="37">
        <f>(C90*B$6)+(MAX(B90-B$19, 0)*B$13)</f>
        <v/>
      </c>
      <c r="E90" s="37">
        <f>B$15+B$17</f>
        <v/>
      </c>
      <c r="F90" s="37">
        <f>MAX(D90-E90-B$14, 0)</f>
        <v/>
      </c>
      <c r="G90" s="37">
        <f>F90*B$12</f>
        <v/>
      </c>
      <c r="H90" s="38">
        <f>IF(D90&gt;0, G90/D90, 0)</f>
        <v/>
      </c>
      <c r="I90" s="37">
        <f>(B$15*B$16)+(B$17*B$18)</f>
        <v/>
      </c>
      <c r="J90" s="76">
        <f>B90+D90-E90-B$14-G90+I90</f>
        <v/>
      </c>
      <c r="K90" s="86">
        <f>J90/100</f>
        <v/>
      </c>
    </row>
    <row r="91">
      <c r="A91" s="65" t="inlineStr">
        <is>
          <t>Year 17</t>
        </is>
      </c>
      <c r="B91" s="37">
        <f>J90</f>
        <v/>
      </c>
      <c r="C91" s="37">
        <f>MIN(B91, B$19)</f>
        <v/>
      </c>
      <c r="D91" s="37">
        <f>(C91*B$6)+(MAX(B91-B$19, 0)*B$13)</f>
        <v/>
      </c>
      <c r="E91" s="37">
        <f>B$15+B$17</f>
        <v/>
      </c>
      <c r="F91" s="37">
        <f>MAX(D91-E91-B$14, 0)</f>
        <v/>
      </c>
      <c r="G91" s="37">
        <f>F91*B$12</f>
        <v/>
      </c>
      <c r="H91" s="38">
        <f>IF(D91&gt;0, G91/D91, 0)</f>
        <v/>
      </c>
      <c r="I91" s="37">
        <f>(B$15*B$16)+(B$17*B$18)</f>
        <v/>
      </c>
      <c r="J91" s="76">
        <f>B91+D91-E91-B$14-G91+I91</f>
        <v/>
      </c>
      <c r="K91" s="86">
        <f>J91/100</f>
        <v/>
      </c>
    </row>
    <row r="92">
      <c r="A92" s="65" t="inlineStr">
        <is>
          <t>Year 18</t>
        </is>
      </c>
      <c r="B92" s="37">
        <f>J91</f>
        <v/>
      </c>
      <c r="C92" s="37">
        <f>MIN(B92, B$19)</f>
        <v/>
      </c>
      <c r="D92" s="37">
        <f>(C92*B$6)+(MAX(B92-B$19, 0)*B$13)</f>
        <v/>
      </c>
      <c r="E92" s="37">
        <f>B$15+B$17</f>
        <v/>
      </c>
      <c r="F92" s="37">
        <f>MAX(D92-E92-B$14, 0)</f>
        <v/>
      </c>
      <c r="G92" s="37">
        <f>F92*B$12</f>
        <v/>
      </c>
      <c r="H92" s="38">
        <f>IF(D92&gt;0, G92/D92, 0)</f>
        <v/>
      </c>
      <c r="I92" s="37">
        <f>(B$15*B$16)+(B$17*B$18)</f>
        <v/>
      </c>
      <c r="J92" s="76">
        <f>B92+D92-E92-B$14-G92+I92</f>
        <v/>
      </c>
      <c r="K92" s="86">
        <f>J92/100</f>
        <v/>
      </c>
    </row>
    <row r="93">
      <c r="A93" s="65" t="inlineStr">
        <is>
          <t>Year 19</t>
        </is>
      </c>
      <c r="B93" s="37">
        <f>J92</f>
        <v/>
      </c>
      <c r="C93" s="37">
        <f>MIN(B93, B$19)</f>
        <v/>
      </c>
      <c r="D93" s="37">
        <f>(C93*B$6)+(MAX(B93-B$19, 0)*B$13)</f>
        <v/>
      </c>
      <c r="E93" s="37">
        <f>B$15+B$17</f>
        <v/>
      </c>
      <c r="F93" s="37">
        <f>MAX(D93-E93-B$14, 0)</f>
        <v/>
      </c>
      <c r="G93" s="37">
        <f>F93*B$12</f>
        <v/>
      </c>
      <c r="H93" s="38">
        <f>IF(D93&gt;0, G93/D93, 0)</f>
        <v/>
      </c>
      <c r="I93" s="37">
        <f>(B$15*B$16)+(B$17*B$18)</f>
        <v/>
      </c>
      <c r="J93" s="76">
        <f>B93+D93-E93-B$14-G93+I93</f>
        <v/>
      </c>
      <c r="K93" s="86">
        <f>J93/100</f>
        <v/>
      </c>
    </row>
    <row r="94">
      <c r="A94" s="65" t="inlineStr">
        <is>
          <t>Year 20</t>
        </is>
      </c>
      <c r="B94" s="37">
        <f>J93</f>
        <v/>
      </c>
      <c r="C94" s="37">
        <f>MIN(B94, B$19)</f>
        <v/>
      </c>
      <c r="D94" s="37">
        <f>(C94*B$6)+(MAX(B94-B$19, 0)*B$13)</f>
        <v/>
      </c>
      <c r="E94" s="37">
        <f>B$15+B$17</f>
        <v/>
      </c>
      <c r="F94" s="37">
        <f>MAX(D94-E94-B$14, 0)</f>
        <v/>
      </c>
      <c r="G94" s="37">
        <f>F94*B$12</f>
        <v/>
      </c>
      <c r="H94" s="38">
        <f>IF(D94&gt;0, G94/D94, 0)</f>
        <v/>
      </c>
      <c r="I94" s="37">
        <f>(B$15*B$16)+(B$17*B$18)</f>
        <v/>
      </c>
      <c r="J94" s="76">
        <f>B94+D94-E94-B$14-G94+I94</f>
        <v/>
      </c>
      <c r="K94" s="86">
        <f>J94/100</f>
        <v/>
      </c>
    </row>
    <row r="97">
      <c r="A97" s="11" t="inlineStr">
        <is>
          <t>4B. FULL 20-YEAR LEDGER: NO TRICKS (Corporate 25.17% Flat - Pure Baseline)</t>
        </is>
      </c>
    </row>
    <row r="98" ht="28" customHeight="1">
      <c r="A98" s="103" t="inlineStr">
        <is>
          <t>Year</t>
        </is>
      </c>
      <c r="B98" s="103" t="inlineStr">
        <is>
          <t>Opening Equity (₹ L)</t>
        </is>
      </c>
      <c r="C98" s="103" t="inlineStr">
        <is>
          <t>Traded Capital (₹ L)</t>
        </is>
      </c>
      <c r="D98" s="103" t="inlineStr">
        <is>
          <t>Gross Profit (₹ L)</t>
        </is>
      </c>
      <c r="E98" s="103" t="inlineStr">
        <is>
          <t>Paid Out (₹ L)</t>
        </is>
      </c>
      <c r="F98" s="103" t="inlineStr">
        <is>
          <t>Taxable Profit (₹ L)</t>
        </is>
      </c>
      <c r="G98" s="103" t="inlineStr">
        <is>
          <t>Corporate Tax (₹ L)</t>
        </is>
      </c>
      <c r="H98" s="103" t="inlineStr">
        <is>
          <t>Effective Tax Rate</t>
        </is>
      </c>
      <c r="I98" s="103" t="inlineStr">
        <is>
          <t>Reinvested Back In (₹ L)</t>
        </is>
      </c>
      <c r="J98" s="103" t="inlineStr">
        <is>
          <t>Closing Equity (₹ L)</t>
        </is>
      </c>
      <c r="K98" s="103" t="inlineStr">
        <is>
          <t>Closing Capital (₹ Cr)</t>
        </is>
      </c>
    </row>
    <row r="99">
      <c r="A99" s="65" t="inlineStr">
        <is>
          <t>Year 1</t>
        </is>
      </c>
      <c r="B99" s="37">
        <f>B$7</f>
        <v/>
      </c>
      <c r="C99" s="37">
        <f>MIN(B99, B$19)</f>
        <v/>
      </c>
      <c r="D99" s="37">
        <f>(C99*B$6)+(MAX(B99-B$19, 0)*B$13)</f>
        <v/>
      </c>
      <c r="E99" s="37" t="n">
        <v>0</v>
      </c>
      <c r="F99" s="37">
        <f>MAX(D99-E99-B$14, 0)</f>
        <v/>
      </c>
      <c r="G99" s="37">
        <f>F99*B$12</f>
        <v/>
      </c>
      <c r="H99" s="38">
        <f>IF(D99&gt;0, G99/D99, 0)</f>
        <v/>
      </c>
      <c r="I99" s="37" t="n">
        <v>0</v>
      </c>
      <c r="J99" s="76">
        <f>B99+D99-E99-B$14-G99+I99</f>
        <v/>
      </c>
      <c r="K99" s="86">
        <f>J99/100</f>
        <v/>
      </c>
    </row>
    <row r="100">
      <c r="A100" s="65" t="inlineStr">
        <is>
          <t>Year 2</t>
        </is>
      </c>
      <c r="B100" s="37">
        <f>J99</f>
        <v/>
      </c>
      <c r="C100" s="37">
        <f>MIN(B100, B$19)</f>
        <v/>
      </c>
      <c r="D100" s="37">
        <f>(C100*B$6)+(MAX(B100-B$19, 0)*B$13)</f>
        <v/>
      </c>
      <c r="E100" s="37" t="n">
        <v>0</v>
      </c>
      <c r="F100" s="37">
        <f>MAX(D100-E100-B$14, 0)</f>
        <v/>
      </c>
      <c r="G100" s="37">
        <f>F100*B$12</f>
        <v/>
      </c>
      <c r="H100" s="38">
        <f>IF(D100&gt;0, G100/D100, 0)</f>
        <v/>
      </c>
      <c r="I100" s="37" t="n">
        <v>0</v>
      </c>
      <c r="J100" s="76">
        <f>B100+D100-E100-B$14-G100+I100</f>
        <v/>
      </c>
      <c r="K100" s="86">
        <f>J100/100</f>
        <v/>
      </c>
    </row>
    <row r="101">
      <c r="A101" s="65" t="inlineStr">
        <is>
          <t>Year 3</t>
        </is>
      </c>
      <c r="B101" s="37">
        <f>J100</f>
        <v/>
      </c>
      <c r="C101" s="37">
        <f>MIN(B101, B$19)</f>
        <v/>
      </c>
      <c r="D101" s="37">
        <f>(C101*B$6)+(MAX(B101-B$19, 0)*B$13)</f>
        <v/>
      </c>
      <c r="E101" s="37" t="n">
        <v>0</v>
      </c>
      <c r="F101" s="37">
        <f>MAX(D101-E101-B$14, 0)</f>
        <v/>
      </c>
      <c r="G101" s="37">
        <f>F101*B$12</f>
        <v/>
      </c>
      <c r="H101" s="38">
        <f>IF(D101&gt;0, G101/D101, 0)</f>
        <v/>
      </c>
      <c r="I101" s="37" t="n">
        <v>0</v>
      </c>
      <c r="J101" s="76">
        <f>B101+D101-E101-B$14-G101+I101</f>
        <v/>
      </c>
      <c r="K101" s="86">
        <f>J101/100</f>
        <v/>
      </c>
    </row>
    <row r="102">
      <c r="A102" s="65" t="inlineStr">
        <is>
          <t>Year 4</t>
        </is>
      </c>
      <c r="B102" s="37">
        <f>J101</f>
        <v/>
      </c>
      <c r="C102" s="37">
        <f>MIN(B102, B$19)</f>
        <v/>
      </c>
      <c r="D102" s="37">
        <f>(C102*B$6)+(MAX(B102-B$19, 0)*B$13)</f>
        <v/>
      </c>
      <c r="E102" s="37" t="n">
        <v>0</v>
      </c>
      <c r="F102" s="37">
        <f>MAX(D102-E102-B$14, 0)</f>
        <v/>
      </c>
      <c r="G102" s="37">
        <f>F102*B$12</f>
        <v/>
      </c>
      <c r="H102" s="38">
        <f>IF(D102&gt;0, G102/D102, 0)</f>
        <v/>
      </c>
      <c r="I102" s="37" t="n">
        <v>0</v>
      </c>
      <c r="J102" s="76">
        <f>B102+D102-E102-B$14-G102+I102</f>
        <v/>
      </c>
      <c r="K102" s="86">
        <f>J102/100</f>
        <v/>
      </c>
    </row>
    <row r="103">
      <c r="A103" s="65" t="inlineStr">
        <is>
          <t>Year 5</t>
        </is>
      </c>
      <c r="B103" s="37">
        <f>J102</f>
        <v/>
      </c>
      <c r="C103" s="37">
        <f>MIN(B103, B$19)</f>
        <v/>
      </c>
      <c r="D103" s="37">
        <f>(C103*B$6)+(MAX(B103-B$19, 0)*B$13)</f>
        <v/>
      </c>
      <c r="E103" s="37" t="n">
        <v>0</v>
      </c>
      <c r="F103" s="37">
        <f>MAX(D103-E103-B$14, 0)</f>
        <v/>
      </c>
      <c r="G103" s="37">
        <f>F103*B$12</f>
        <v/>
      </c>
      <c r="H103" s="38">
        <f>IF(D103&gt;0, G103/D103, 0)</f>
        <v/>
      </c>
      <c r="I103" s="37" t="n">
        <v>0</v>
      </c>
      <c r="J103" s="76">
        <f>B103+D103-E103-B$14-G103+I103</f>
        <v/>
      </c>
      <c r="K103" s="86">
        <f>J103/100</f>
        <v/>
      </c>
    </row>
    <row r="104">
      <c r="A104" s="65" t="inlineStr">
        <is>
          <t>Year 6</t>
        </is>
      </c>
      <c r="B104" s="37">
        <f>J103</f>
        <v/>
      </c>
      <c r="C104" s="37">
        <f>MIN(B104, B$19)</f>
        <v/>
      </c>
      <c r="D104" s="37">
        <f>(C104*B$6)+(MAX(B104-B$19, 0)*B$13)</f>
        <v/>
      </c>
      <c r="E104" s="37" t="n">
        <v>0</v>
      </c>
      <c r="F104" s="37">
        <f>MAX(D104-E104-B$14, 0)</f>
        <v/>
      </c>
      <c r="G104" s="37">
        <f>F104*B$12</f>
        <v/>
      </c>
      <c r="H104" s="38">
        <f>IF(D104&gt;0, G104/D104, 0)</f>
        <v/>
      </c>
      <c r="I104" s="37" t="n">
        <v>0</v>
      </c>
      <c r="J104" s="76">
        <f>B104+D104-E104-B$14-G104+I104</f>
        <v/>
      </c>
      <c r="K104" s="86">
        <f>J104/100</f>
        <v/>
      </c>
    </row>
    <row r="105">
      <c r="A105" s="65" t="inlineStr">
        <is>
          <t>Year 7</t>
        </is>
      </c>
      <c r="B105" s="37">
        <f>J104</f>
        <v/>
      </c>
      <c r="C105" s="37">
        <f>MIN(B105, B$19)</f>
        <v/>
      </c>
      <c r="D105" s="37">
        <f>(C105*B$6)+(MAX(B105-B$19, 0)*B$13)</f>
        <v/>
      </c>
      <c r="E105" s="37" t="n">
        <v>0</v>
      </c>
      <c r="F105" s="37">
        <f>MAX(D105-E105-B$14, 0)</f>
        <v/>
      </c>
      <c r="G105" s="37">
        <f>F105*B$12</f>
        <v/>
      </c>
      <c r="H105" s="38">
        <f>IF(D105&gt;0, G105/D105, 0)</f>
        <v/>
      </c>
      <c r="I105" s="37" t="n">
        <v>0</v>
      </c>
      <c r="J105" s="76">
        <f>B105+D105-E105-B$14-G105+I105</f>
        <v/>
      </c>
      <c r="K105" s="86">
        <f>J105/100</f>
        <v/>
      </c>
    </row>
    <row r="106">
      <c r="A106" s="65" t="inlineStr">
        <is>
          <t>Year 8</t>
        </is>
      </c>
      <c r="B106" s="37">
        <f>J105</f>
        <v/>
      </c>
      <c r="C106" s="37">
        <f>MIN(B106, B$19)</f>
        <v/>
      </c>
      <c r="D106" s="37">
        <f>(C106*B$6)+(MAX(B106-B$19, 0)*B$13)</f>
        <v/>
      </c>
      <c r="E106" s="37" t="n">
        <v>0</v>
      </c>
      <c r="F106" s="37">
        <f>MAX(D106-E106-B$14, 0)</f>
        <v/>
      </c>
      <c r="G106" s="37">
        <f>F106*B$12</f>
        <v/>
      </c>
      <c r="H106" s="38">
        <f>IF(D106&gt;0, G106/D106, 0)</f>
        <v/>
      </c>
      <c r="I106" s="37" t="n">
        <v>0</v>
      </c>
      <c r="J106" s="76">
        <f>B106+D106-E106-B$14-G106+I106</f>
        <v/>
      </c>
      <c r="K106" s="86">
        <f>J106/100</f>
        <v/>
      </c>
    </row>
    <row r="107">
      <c r="A107" s="65" t="inlineStr">
        <is>
          <t>Year 9</t>
        </is>
      </c>
      <c r="B107" s="37">
        <f>J106</f>
        <v/>
      </c>
      <c r="C107" s="37">
        <f>MIN(B107, B$19)</f>
        <v/>
      </c>
      <c r="D107" s="37">
        <f>(C107*B$6)+(MAX(B107-B$19, 0)*B$13)</f>
        <v/>
      </c>
      <c r="E107" s="37" t="n">
        <v>0</v>
      </c>
      <c r="F107" s="37">
        <f>MAX(D107-E107-B$14, 0)</f>
        <v/>
      </c>
      <c r="G107" s="37">
        <f>F107*B$12</f>
        <v/>
      </c>
      <c r="H107" s="38">
        <f>IF(D107&gt;0, G107/D107, 0)</f>
        <v/>
      </c>
      <c r="I107" s="37" t="n">
        <v>0</v>
      </c>
      <c r="J107" s="76">
        <f>B107+D107-E107-B$14-G107+I107</f>
        <v/>
      </c>
      <c r="K107" s="86">
        <f>J107/100</f>
        <v/>
      </c>
    </row>
    <row r="108">
      <c r="A108" s="98" t="inlineStr">
        <is>
          <t>Year 10</t>
        </is>
      </c>
      <c r="B108" s="100">
        <f>J107</f>
        <v/>
      </c>
      <c r="C108" s="100">
        <f>MIN(B108, B$19)</f>
        <v/>
      </c>
      <c r="D108" s="100">
        <f>(C108*B$6)+(MAX(B108-B$19, 0)*B$13)</f>
        <v/>
      </c>
      <c r="E108" s="100" t="n">
        <v>0</v>
      </c>
      <c r="F108" s="100">
        <f>MAX(D108-E108-B$14, 0)</f>
        <v/>
      </c>
      <c r="G108" s="100">
        <f>F108*B$12</f>
        <v/>
      </c>
      <c r="H108" s="104">
        <f>IF(D108&gt;0, G108/D108, 0)</f>
        <v/>
      </c>
      <c r="I108" s="100" t="n">
        <v>0</v>
      </c>
      <c r="J108" s="105">
        <f>B108+D108-E108-B$14-G108+I108</f>
        <v/>
      </c>
      <c r="K108" s="106">
        <f>J108/100</f>
        <v/>
      </c>
    </row>
    <row r="109">
      <c r="A109" s="65" t="inlineStr">
        <is>
          <t>Year 11</t>
        </is>
      </c>
      <c r="B109" s="37">
        <f>J108</f>
        <v/>
      </c>
      <c r="C109" s="37">
        <f>MIN(B109, B$19)</f>
        <v/>
      </c>
      <c r="D109" s="37">
        <f>(C109*B$6)+(MAX(B109-B$19, 0)*B$13)</f>
        <v/>
      </c>
      <c r="E109" s="37" t="n">
        <v>0</v>
      </c>
      <c r="F109" s="37">
        <f>MAX(D109-E109-B$14, 0)</f>
        <v/>
      </c>
      <c r="G109" s="37">
        <f>F109*B$12</f>
        <v/>
      </c>
      <c r="H109" s="38">
        <f>IF(D109&gt;0, G109/D109, 0)</f>
        <v/>
      </c>
      <c r="I109" s="37" t="n">
        <v>0</v>
      </c>
      <c r="J109" s="76">
        <f>B109+D109-E109-B$14-G109+I109</f>
        <v/>
      </c>
      <c r="K109" s="86">
        <f>J109/100</f>
        <v/>
      </c>
    </row>
    <row r="110">
      <c r="A110" s="65" t="inlineStr">
        <is>
          <t>Year 12</t>
        </is>
      </c>
      <c r="B110" s="37">
        <f>J109</f>
        <v/>
      </c>
      <c r="C110" s="37">
        <f>MIN(B110, B$19)</f>
        <v/>
      </c>
      <c r="D110" s="37">
        <f>(C110*B$6)+(MAX(B110-B$19, 0)*B$13)</f>
        <v/>
      </c>
      <c r="E110" s="37" t="n">
        <v>0</v>
      </c>
      <c r="F110" s="37">
        <f>MAX(D110-E110-B$14, 0)</f>
        <v/>
      </c>
      <c r="G110" s="37">
        <f>F110*B$12</f>
        <v/>
      </c>
      <c r="H110" s="38">
        <f>IF(D110&gt;0, G110/D110, 0)</f>
        <v/>
      </c>
      <c r="I110" s="37" t="n">
        <v>0</v>
      </c>
      <c r="J110" s="76">
        <f>B110+D110-E110-B$14-G110+I110</f>
        <v/>
      </c>
      <c r="K110" s="86">
        <f>J110/100</f>
        <v/>
      </c>
    </row>
    <row r="111">
      <c r="A111" s="65" t="inlineStr">
        <is>
          <t>Year 13</t>
        </is>
      </c>
      <c r="B111" s="37">
        <f>J110</f>
        <v/>
      </c>
      <c r="C111" s="37">
        <f>MIN(B111, B$19)</f>
        <v/>
      </c>
      <c r="D111" s="37">
        <f>(C111*B$6)+(MAX(B111-B$19, 0)*B$13)</f>
        <v/>
      </c>
      <c r="E111" s="37" t="n">
        <v>0</v>
      </c>
      <c r="F111" s="37">
        <f>MAX(D111-E111-B$14, 0)</f>
        <v/>
      </c>
      <c r="G111" s="37">
        <f>F111*B$12</f>
        <v/>
      </c>
      <c r="H111" s="38">
        <f>IF(D111&gt;0, G111/D111, 0)</f>
        <v/>
      </c>
      <c r="I111" s="37" t="n">
        <v>0</v>
      </c>
      <c r="J111" s="76">
        <f>B111+D111-E111-B$14-G111+I111</f>
        <v/>
      </c>
      <c r="K111" s="86">
        <f>J111/100</f>
        <v/>
      </c>
    </row>
    <row r="112">
      <c r="A112" s="65" t="inlineStr">
        <is>
          <t>Year 14</t>
        </is>
      </c>
      <c r="B112" s="37">
        <f>J111</f>
        <v/>
      </c>
      <c r="C112" s="37">
        <f>MIN(B112, B$19)</f>
        <v/>
      </c>
      <c r="D112" s="37">
        <f>(C112*B$6)+(MAX(B112-B$19, 0)*B$13)</f>
        <v/>
      </c>
      <c r="E112" s="37" t="n">
        <v>0</v>
      </c>
      <c r="F112" s="37">
        <f>MAX(D112-E112-B$14, 0)</f>
        <v/>
      </c>
      <c r="G112" s="37">
        <f>F112*B$12</f>
        <v/>
      </c>
      <c r="H112" s="38">
        <f>IF(D112&gt;0, G112/D112, 0)</f>
        <v/>
      </c>
      <c r="I112" s="37" t="n">
        <v>0</v>
      </c>
      <c r="J112" s="76">
        <f>B112+D112-E112-B$14-G112+I112</f>
        <v/>
      </c>
      <c r="K112" s="86">
        <f>J112/100</f>
        <v/>
      </c>
    </row>
    <row r="113">
      <c r="A113" s="65" t="inlineStr">
        <is>
          <t>Year 15</t>
        </is>
      </c>
      <c r="B113" s="37">
        <f>J112</f>
        <v/>
      </c>
      <c r="C113" s="37">
        <f>MIN(B113, B$19)</f>
        <v/>
      </c>
      <c r="D113" s="37">
        <f>(C113*B$6)+(MAX(B113-B$19, 0)*B$13)</f>
        <v/>
      </c>
      <c r="E113" s="37" t="n">
        <v>0</v>
      </c>
      <c r="F113" s="37">
        <f>MAX(D113-E113-B$14, 0)</f>
        <v/>
      </c>
      <c r="G113" s="37">
        <f>F113*B$12</f>
        <v/>
      </c>
      <c r="H113" s="38">
        <f>IF(D113&gt;0, G113/D113, 0)</f>
        <v/>
      </c>
      <c r="I113" s="37" t="n">
        <v>0</v>
      </c>
      <c r="J113" s="76">
        <f>B113+D113-E113-B$14-G113+I113</f>
        <v/>
      </c>
      <c r="K113" s="86">
        <f>J113/100</f>
        <v/>
      </c>
    </row>
    <row r="114">
      <c r="A114" s="65" t="inlineStr">
        <is>
          <t>Year 16</t>
        </is>
      </c>
      <c r="B114" s="37">
        <f>J113</f>
        <v/>
      </c>
      <c r="C114" s="37">
        <f>MIN(B114, B$19)</f>
        <v/>
      </c>
      <c r="D114" s="37">
        <f>(C114*B$6)+(MAX(B114-B$19, 0)*B$13)</f>
        <v/>
      </c>
      <c r="E114" s="37" t="n">
        <v>0</v>
      </c>
      <c r="F114" s="37">
        <f>MAX(D114-E114-B$14, 0)</f>
        <v/>
      </c>
      <c r="G114" s="37">
        <f>F114*B$12</f>
        <v/>
      </c>
      <c r="H114" s="38">
        <f>IF(D114&gt;0, G114/D114, 0)</f>
        <v/>
      </c>
      <c r="I114" s="37" t="n">
        <v>0</v>
      </c>
      <c r="J114" s="76">
        <f>B114+D114-E114-B$14-G114+I114</f>
        <v/>
      </c>
      <c r="K114" s="86">
        <f>J114/100</f>
        <v/>
      </c>
    </row>
    <row r="115">
      <c r="A115" s="65" t="inlineStr">
        <is>
          <t>Year 17</t>
        </is>
      </c>
      <c r="B115" s="37">
        <f>J114</f>
        <v/>
      </c>
      <c r="C115" s="37">
        <f>MIN(B115, B$19)</f>
        <v/>
      </c>
      <c r="D115" s="37">
        <f>(C115*B$6)+(MAX(B115-B$19, 0)*B$13)</f>
        <v/>
      </c>
      <c r="E115" s="37" t="n">
        <v>0</v>
      </c>
      <c r="F115" s="37">
        <f>MAX(D115-E115-B$14, 0)</f>
        <v/>
      </c>
      <c r="G115" s="37">
        <f>F115*B$12</f>
        <v/>
      </c>
      <c r="H115" s="38">
        <f>IF(D115&gt;0, G115/D115, 0)</f>
        <v/>
      </c>
      <c r="I115" s="37" t="n">
        <v>0</v>
      </c>
      <c r="J115" s="76">
        <f>B115+D115-E115-B$14-G115+I115</f>
        <v/>
      </c>
      <c r="K115" s="86">
        <f>J115/100</f>
        <v/>
      </c>
    </row>
    <row r="116">
      <c r="A116" s="65" t="inlineStr">
        <is>
          <t>Year 18</t>
        </is>
      </c>
      <c r="B116" s="37">
        <f>J115</f>
        <v/>
      </c>
      <c r="C116" s="37">
        <f>MIN(B116, B$19)</f>
        <v/>
      </c>
      <c r="D116" s="37">
        <f>(C116*B$6)+(MAX(B116-B$19, 0)*B$13)</f>
        <v/>
      </c>
      <c r="E116" s="37" t="n">
        <v>0</v>
      </c>
      <c r="F116" s="37">
        <f>MAX(D116-E116-B$14, 0)</f>
        <v/>
      </c>
      <c r="G116" s="37">
        <f>F116*B$12</f>
        <v/>
      </c>
      <c r="H116" s="38">
        <f>IF(D116&gt;0, G116/D116, 0)</f>
        <v/>
      </c>
      <c r="I116" s="37" t="n">
        <v>0</v>
      </c>
      <c r="J116" s="76">
        <f>B116+D116-E116-B$14-G116+I116</f>
        <v/>
      </c>
      <c r="K116" s="86">
        <f>J116/100</f>
        <v/>
      </c>
    </row>
    <row r="117">
      <c r="A117" s="65" t="inlineStr">
        <is>
          <t>Year 19</t>
        </is>
      </c>
      <c r="B117" s="37">
        <f>J116</f>
        <v/>
      </c>
      <c r="C117" s="37">
        <f>MIN(B117, B$19)</f>
        <v/>
      </c>
      <c r="D117" s="37">
        <f>(C117*B$6)+(MAX(B117-B$19, 0)*B$13)</f>
        <v/>
      </c>
      <c r="E117" s="37" t="n">
        <v>0</v>
      </c>
      <c r="F117" s="37">
        <f>MAX(D117-E117-B$14, 0)</f>
        <v/>
      </c>
      <c r="G117" s="37">
        <f>F117*B$12</f>
        <v/>
      </c>
      <c r="H117" s="38">
        <f>IF(D117&gt;0, G117/D117, 0)</f>
        <v/>
      </c>
      <c r="I117" s="37" t="n">
        <v>0</v>
      </c>
      <c r="J117" s="76">
        <f>B117+D117-E117-B$14-G117+I117</f>
        <v/>
      </c>
      <c r="K117" s="86">
        <f>J117/100</f>
        <v/>
      </c>
    </row>
    <row r="118">
      <c r="A118" s="65" t="inlineStr">
        <is>
          <t>Year 20</t>
        </is>
      </c>
      <c r="B118" s="37">
        <f>J117</f>
        <v/>
      </c>
      <c r="C118" s="37">
        <f>MIN(B118, B$19)</f>
        <v/>
      </c>
      <c r="D118" s="37">
        <f>(C118*B$6)+(MAX(B118-B$19, 0)*B$13)</f>
        <v/>
      </c>
      <c r="E118" s="37" t="n">
        <v>0</v>
      </c>
      <c r="F118" s="37">
        <f>MAX(D118-E118-B$14, 0)</f>
        <v/>
      </c>
      <c r="G118" s="37">
        <f>F118*B$12</f>
        <v/>
      </c>
      <c r="H118" s="38">
        <f>IF(D118&gt;0, G118/D118, 0)</f>
        <v/>
      </c>
      <c r="I118" s="37" t="n">
        <v>0</v>
      </c>
      <c r="J118" s="76">
        <f>B118+D118-E118-B$14-G118+I118</f>
        <v/>
      </c>
      <c r="K118" s="86">
        <f>J118/100</f>
        <v/>
      </c>
    </row>
    <row r="120">
      <c r="A120" s="11" t="inlineStr">
        <is>
          <t>4C. FULL 20-YEAR LEDGER: GEMINI FAMILY PAYROLL SCHEME (Subject to Section 40A(2)/GAAR Disallowance)</t>
        </is>
      </c>
    </row>
    <row r="121" ht="28" customHeight="1">
      <c r="A121" s="103" t="inlineStr">
        <is>
          <t>Year</t>
        </is>
      </c>
      <c r="B121" s="103" t="inlineStr">
        <is>
          <t>Opening Equity (₹ L)</t>
        </is>
      </c>
      <c r="C121" s="103" t="inlineStr">
        <is>
          <t>Traded Capital (₹ L)</t>
        </is>
      </c>
      <c r="D121" s="103" t="inlineStr">
        <is>
          <t>Gross Profit (₹ L)</t>
        </is>
      </c>
      <c r="E121" s="103" t="inlineStr">
        <is>
          <t>Paid Out (₹ L)</t>
        </is>
      </c>
      <c r="F121" s="103" t="inlineStr">
        <is>
          <t>Taxable Profit (₹ L)</t>
        </is>
      </c>
      <c r="G121" s="103" t="inlineStr">
        <is>
          <t>Corporate Tax (₹ L)</t>
        </is>
      </c>
      <c r="H121" s="103" t="inlineStr">
        <is>
          <t>Effective Tax Rate</t>
        </is>
      </c>
      <c r="I121" s="103" t="inlineStr">
        <is>
          <t>Reinvested Back In (₹ L)</t>
        </is>
      </c>
      <c r="J121" s="103" t="inlineStr">
        <is>
          <t>Closing Equity (₹ L)</t>
        </is>
      </c>
      <c r="K121" s="103" t="inlineStr">
        <is>
          <t>Closing Capital (₹ Cr)</t>
        </is>
      </c>
    </row>
    <row r="122">
      <c r="A122" s="65" t="inlineStr">
        <is>
          <t>Year 1</t>
        </is>
      </c>
      <c r="B122" s="37">
        <f>B$7</f>
        <v/>
      </c>
      <c r="C122" s="37">
        <f>MIN(B122, B$19)</f>
        <v/>
      </c>
      <c r="D122" s="37">
        <f>(C122*B$6)+(MAX(B122-B$19, 0)*B$13)</f>
        <v/>
      </c>
      <c r="E122" s="37" t="n">
        <v>23.4</v>
      </c>
      <c r="F122" s="37">
        <f>MAX(D122-E122-B$14, 0)</f>
        <v/>
      </c>
      <c r="G122" s="37">
        <f>F122*B$12</f>
        <v/>
      </c>
      <c r="H122" s="38">
        <f>IF(D122&gt;0, G122/D122, 0)</f>
        <v/>
      </c>
      <c r="I122" s="37" t="n">
        <v>21.06</v>
      </c>
      <c r="J122" s="76">
        <f>B122+D122-E122-B$14-G122+I122</f>
        <v/>
      </c>
      <c r="K122" s="86">
        <f>J122/100</f>
        <v/>
      </c>
    </row>
    <row r="123">
      <c r="A123" s="65" t="inlineStr">
        <is>
          <t>Year 2</t>
        </is>
      </c>
      <c r="B123" s="37">
        <f>J122</f>
        <v/>
      </c>
      <c r="C123" s="37">
        <f>MIN(B123, B$19)</f>
        <v/>
      </c>
      <c r="D123" s="37">
        <f>(C123*B$6)+(MAX(B123-B$19, 0)*B$13)</f>
        <v/>
      </c>
      <c r="E123" s="37" t="n">
        <v>37.44</v>
      </c>
      <c r="F123" s="37">
        <f>MAX(D123-E123-B$14, 0)</f>
        <v/>
      </c>
      <c r="G123" s="37">
        <f>F123*B$12</f>
        <v/>
      </c>
      <c r="H123" s="38">
        <f>IF(D123&gt;0, G123/D123, 0)</f>
        <v/>
      </c>
      <c r="I123" s="37" t="n">
        <v>33.7</v>
      </c>
      <c r="J123" s="76">
        <f>B123+D123-E123-B$14-G123+I123</f>
        <v/>
      </c>
      <c r="K123" s="86">
        <f>J123/100</f>
        <v/>
      </c>
    </row>
    <row r="124">
      <c r="A124" s="65" t="inlineStr">
        <is>
          <t>Year 3</t>
        </is>
      </c>
      <c r="B124" s="37">
        <f>J123</f>
        <v/>
      </c>
      <c r="C124" s="37">
        <f>MIN(B124, B$19)</f>
        <v/>
      </c>
      <c r="D124" s="37">
        <f>(C124*B$6)+(MAX(B124-B$19, 0)*B$13)</f>
        <v/>
      </c>
      <c r="E124" s="37" t="n">
        <v>50.76</v>
      </c>
      <c r="F124" s="37">
        <f>MAX(D124-E124-B$14, 0)</f>
        <v/>
      </c>
      <c r="G124" s="37">
        <f>F124*B$12</f>
        <v/>
      </c>
      <c r="H124" s="38">
        <f>IF(D124&gt;0, G124/D124, 0)</f>
        <v/>
      </c>
      <c r="I124" s="37" t="n">
        <v>45.68</v>
      </c>
      <c r="J124" s="76">
        <f>B124+D124-E124-B$14-G124+I124</f>
        <v/>
      </c>
      <c r="K124" s="86">
        <f>J124/100</f>
        <v/>
      </c>
    </row>
    <row r="125">
      <c r="A125" s="65" t="inlineStr">
        <is>
          <t>Year 4</t>
        </is>
      </c>
      <c r="B125" s="37">
        <f>J124</f>
        <v/>
      </c>
      <c r="C125" s="37">
        <f>MIN(B125, B$19)</f>
        <v/>
      </c>
      <c r="D125" s="37">
        <f>(C125*B$6)+(MAX(B125-B$19, 0)*B$13)</f>
        <v/>
      </c>
      <c r="E125" s="37" t="n">
        <v>50.76</v>
      </c>
      <c r="F125" s="37">
        <f>MAX(D125-E125-B$14, 0)</f>
        <v/>
      </c>
      <c r="G125" s="37">
        <f>F125*B$12</f>
        <v/>
      </c>
      <c r="H125" s="38">
        <f>IF(D125&gt;0, G125/D125, 0)</f>
        <v/>
      </c>
      <c r="I125" s="37" t="n">
        <v>45.68</v>
      </c>
      <c r="J125" s="76">
        <f>B125+D125-E125-B$14-G125+I125</f>
        <v/>
      </c>
      <c r="K125" s="86">
        <f>J125/100</f>
        <v/>
      </c>
    </row>
    <row r="126">
      <c r="A126" s="65" t="inlineStr">
        <is>
          <t>Year 5</t>
        </is>
      </c>
      <c r="B126" s="37">
        <f>J125</f>
        <v/>
      </c>
      <c r="C126" s="37">
        <f>MIN(B126, B$19)</f>
        <v/>
      </c>
      <c r="D126" s="37">
        <f>(C126*B$6)+(MAX(B126-B$19, 0)*B$13)</f>
        <v/>
      </c>
      <c r="E126" s="37" t="n">
        <v>50.76</v>
      </c>
      <c r="F126" s="37">
        <f>MAX(D126-E126-B$14, 0)</f>
        <v/>
      </c>
      <c r="G126" s="37">
        <f>F126*B$12</f>
        <v/>
      </c>
      <c r="H126" s="38">
        <f>IF(D126&gt;0, G126/D126, 0)</f>
        <v/>
      </c>
      <c r="I126" s="37" t="n">
        <v>45.68</v>
      </c>
      <c r="J126" s="76">
        <f>B126+D126-E126-B$14-G126+I126</f>
        <v/>
      </c>
      <c r="K126" s="86">
        <f>J126/100</f>
        <v/>
      </c>
    </row>
    <row r="127">
      <c r="A127" s="65" t="inlineStr">
        <is>
          <t>Year 6</t>
        </is>
      </c>
      <c r="B127" s="37">
        <f>J126</f>
        <v/>
      </c>
      <c r="C127" s="37">
        <f>MIN(B127, B$19)</f>
        <v/>
      </c>
      <c r="D127" s="37">
        <f>(C127*B$6)+(MAX(B127-B$19, 0)*B$13)</f>
        <v/>
      </c>
      <c r="E127" s="37" t="n">
        <v>50.76</v>
      </c>
      <c r="F127" s="37">
        <f>MAX(D127-E127-B$14, 0)</f>
        <v/>
      </c>
      <c r="G127" s="37">
        <f>F127*B$12</f>
        <v/>
      </c>
      <c r="H127" s="38">
        <f>IF(D127&gt;0, G127/D127, 0)</f>
        <v/>
      </c>
      <c r="I127" s="37" t="n">
        <v>45.68</v>
      </c>
      <c r="J127" s="76">
        <f>B127+D127-E127-B$14-G127+I127</f>
        <v/>
      </c>
      <c r="K127" s="86">
        <f>J127/100</f>
        <v/>
      </c>
    </row>
    <row r="128">
      <c r="A128" s="65" t="inlineStr">
        <is>
          <t>Year 7</t>
        </is>
      </c>
      <c r="B128" s="37">
        <f>J127</f>
        <v/>
      </c>
      <c r="C128" s="37">
        <f>MIN(B128, B$19)</f>
        <v/>
      </c>
      <c r="D128" s="37">
        <f>(C128*B$6)+(MAX(B128-B$19, 0)*B$13)</f>
        <v/>
      </c>
      <c r="E128" s="37" t="n">
        <v>50.76</v>
      </c>
      <c r="F128" s="37">
        <f>MAX(D128-E128-B$14, 0)</f>
        <v/>
      </c>
      <c r="G128" s="37">
        <f>F128*B$12</f>
        <v/>
      </c>
      <c r="H128" s="38">
        <f>IF(D128&gt;0, G128/D128, 0)</f>
        <v/>
      </c>
      <c r="I128" s="37" t="n">
        <v>45.68</v>
      </c>
      <c r="J128" s="76">
        <f>B128+D128-E128-B$14-G128+I128</f>
        <v/>
      </c>
      <c r="K128" s="86">
        <f>J128/100</f>
        <v/>
      </c>
    </row>
    <row r="129">
      <c r="A129" s="65" t="inlineStr">
        <is>
          <t>Year 8</t>
        </is>
      </c>
      <c r="B129" s="37">
        <f>J128</f>
        <v/>
      </c>
      <c r="C129" s="37">
        <f>MIN(B129, B$19)</f>
        <v/>
      </c>
      <c r="D129" s="37">
        <f>(C129*B$6)+(MAX(B129-B$19, 0)*B$13)</f>
        <v/>
      </c>
      <c r="E129" s="37" t="n">
        <v>50.76</v>
      </c>
      <c r="F129" s="37">
        <f>MAX(D129-E129-B$14, 0)</f>
        <v/>
      </c>
      <c r="G129" s="37">
        <f>F129*B$12</f>
        <v/>
      </c>
      <c r="H129" s="38">
        <f>IF(D129&gt;0, G129/D129, 0)</f>
        <v/>
      </c>
      <c r="I129" s="37" t="n">
        <v>45.68</v>
      </c>
      <c r="J129" s="76">
        <f>B129+D129-E129-B$14-G129+I129</f>
        <v/>
      </c>
      <c r="K129" s="86">
        <f>J129/100</f>
        <v/>
      </c>
    </row>
    <row r="130">
      <c r="A130" s="65" t="inlineStr">
        <is>
          <t>Year 9</t>
        </is>
      </c>
      <c r="B130" s="37">
        <f>J129</f>
        <v/>
      </c>
      <c r="C130" s="37">
        <f>MIN(B130, B$19)</f>
        <v/>
      </c>
      <c r="D130" s="37">
        <f>(C130*B$6)+(MAX(B130-B$19, 0)*B$13)</f>
        <v/>
      </c>
      <c r="E130" s="37" t="n">
        <v>50.76</v>
      </c>
      <c r="F130" s="37">
        <f>MAX(D130-E130-B$14, 0)</f>
        <v/>
      </c>
      <c r="G130" s="37">
        <f>F130*B$12</f>
        <v/>
      </c>
      <c r="H130" s="38">
        <f>IF(D130&gt;0, G130/D130, 0)</f>
        <v/>
      </c>
      <c r="I130" s="37" t="n">
        <v>45.68</v>
      </c>
      <c r="J130" s="76">
        <f>B130+D130-E130-B$14-G130+I130</f>
        <v/>
      </c>
      <c r="K130" s="86">
        <f>J130/100</f>
        <v/>
      </c>
    </row>
    <row r="131">
      <c r="A131" s="107" t="inlineStr">
        <is>
          <t>Year 10</t>
        </is>
      </c>
      <c r="B131" s="108">
        <f>J130</f>
        <v/>
      </c>
      <c r="C131" s="108">
        <f>MIN(B131, B$19)</f>
        <v/>
      </c>
      <c r="D131" s="108">
        <f>(C131*B$6)+(MAX(B131-B$19, 0)*B$13)</f>
        <v/>
      </c>
      <c r="E131" s="108" t="n">
        <v>50.76</v>
      </c>
      <c r="F131" s="108">
        <f>MAX(D131-E131-B$14, 0)</f>
        <v/>
      </c>
      <c r="G131" s="108">
        <f>F131*B$12</f>
        <v/>
      </c>
      <c r="H131" s="109">
        <f>IF(D131&gt;0, G131/D131, 0)</f>
        <v/>
      </c>
      <c r="I131" s="108" t="n">
        <v>45.68</v>
      </c>
      <c r="J131" s="15">
        <f>B131+D131-E131-B$14-G131+I131</f>
        <v/>
      </c>
      <c r="K131" s="110">
        <f>J131/100</f>
        <v/>
      </c>
    </row>
    <row r="132">
      <c r="A132" s="65" t="inlineStr">
        <is>
          <t>Year 11</t>
        </is>
      </c>
      <c r="B132" s="37">
        <f>J131</f>
        <v/>
      </c>
      <c r="C132" s="37">
        <f>MIN(B132, B$19)</f>
        <v/>
      </c>
      <c r="D132" s="37">
        <f>(C132*B$6)+(MAX(B132-B$19, 0)*B$13)</f>
        <v/>
      </c>
      <c r="E132" s="37" t="n">
        <v>50.76</v>
      </c>
      <c r="F132" s="37">
        <f>MAX(D132-E132-B$14, 0)</f>
        <v/>
      </c>
      <c r="G132" s="37">
        <f>F132*B$12</f>
        <v/>
      </c>
      <c r="H132" s="38">
        <f>IF(D132&gt;0, G132/D132, 0)</f>
        <v/>
      </c>
      <c r="I132" s="37" t="n">
        <v>45.68</v>
      </c>
      <c r="J132" s="76">
        <f>B132+D132-E132-B$14-G132+I132</f>
        <v/>
      </c>
      <c r="K132" s="86">
        <f>J132/100</f>
        <v/>
      </c>
    </row>
    <row r="133">
      <c r="A133" s="65" t="inlineStr">
        <is>
          <t>Year 12</t>
        </is>
      </c>
      <c r="B133" s="37">
        <f>J132</f>
        <v/>
      </c>
      <c r="C133" s="37">
        <f>MIN(B133, B$19)</f>
        <v/>
      </c>
      <c r="D133" s="37">
        <f>(C133*B$6)+(MAX(B133-B$19, 0)*B$13)</f>
        <v/>
      </c>
      <c r="E133" s="37" t="n">
        <v>50.76</v>
      </c>
      <c r="F133" s="37">
        <f>MAX(D133-E133-B$14, 0)</f>
        <v/>
      </c>
      <c r="G133" s="37">
        <f>F133*B$12</f>
        <v/>
      </c>
      <c r="H133" s="38">
        <f>IF(D133&gt;0, G133/D133, 0)</f>
        <v/>
      </c>
      <c r="I133" s="37" t="n">
        <v>45.68</v>
      </c>
      <c r="J133" s="76">
        <f>B133+D133-E133-B$14-G133+I133</f>
        <v/>
      </c>
      <c r="K133" s="86">
        <f>J133/100</f>
        <v/>
      </c>
    </row>
    <row r="134">
      <c r="A134" s="65" t="inlineStr">
        <is>
          <t>Year 13</t>
        </is>
      </c>
      <c r="B134" s="37">
        <f>J133</f>
        <v/>
      </c>
      <c r="C134" s="37">
        <f>MIN(B134, B$19)</f>
        <v/>
      </c>
      <c r="D134" s="37">
        <f>(C134*B$6)+(MAX(B134-B$19, 0)*B$13)</f>
        <v/>
      </c>
      <c r="E134" s="37" t="n">
        <v>50.76</v>
      </c>
      <c r="F134" s="37">
        <f>MAX(D134-E134-B$14, 0)</f>
        <v/>
      </c>
      <c r="G134" s="37">
        <f>F134*B$12</f>
        <v/>
      </c>
      <c r="H134" s="38">
        <f>IF(D134&gt;0, G134/D134, 0)</f>
        <v/>
      </c>
      <c r="I134" s="37" t="n">
        <v>45.68</v>
      </c>
      <c r="J134" s="76">
        <f>B134+D134-E134-B$14-G134+I134</f>
        <v/>
      </c>
      <c r="K134" s="86">
        <f>J134/100</f>
        <v/>
      </c>
    </row>
    <row r="135">
      <c r="A135" s="65" t="inlineStr">
        <is>
          <t>Year 14</t>
        </is>
      </c>
      <c r="B135" s="37">
        <f>J134</f>
        <v/>
      </c>
      <c r="C135" s="37">
        <f>MIN(B135, B$19)</f>
        <v/>
      </c>
      <c r="D135" s="37">
        <f>(C135*B$6)+(MAX(B135-B$19, 0)*B$13)</f>
        <v/>
      </c>
      <c r="E135" s="37" t="n">
        <v>50.76</v>
      </c>
      <c r="F135" s="37">
        <f>MAX(D135-E135-B$14, 0)</f>
        <v/>
      </c>
      <c r="G135" s="37">
        <f>F135*B$12</f>
        <v/>
      </c>
      <c r="H135" s="38">
        <f>IF(D135&gt;0, G135/D135, 0)</f>
        <v/>
      </c>
      <c r="I135" s="37" t="n">
        <v>45.68</v>
      </c>
      <c r="J135" s="76">
        <f>B135+D135-E135-B$14-G135+I135</f>
        <v/>
      </c>
      <c r="K135" s="86">
        <f>J135/100</f>
        <v/>
      </c>
    </row>
    <row r="136">
      <c r="A136" s="65" t="inlineStr">
        <is>
          <t>Year 15</t>
        </is>
      </c>
      <c r="B136" s="37">
        <f>J135</f>
        <v/>
      </c>
      <c r="C136" s="37">
        <f>MIN(B136, B$19)</f>
        <v/>
      </c>
      <c r="D136" s="37">
        <f>(C136*B$6)+(MAX(B136-B$19, 0)*B$13)</f>
        <v/>
      </c>
      <c r="E136" s="37" t="n">
        <v>50.76</v>
      </c>
      <c r="F136" s="37">
        <f>MAX(D136-E136-B$14, 0)</f>
        <v/>
      </c>
      <c r="G136" s="37">
        <f>F136*B$12</f>
        <v/>
      </c>
      <c r="H136" s="38">
        <f>IF(D136&gt;0, G136/D136, 0)</f>
        <v/>
      </c>
      <c r="I136" s="37" t="n">
        <v>45.68</v>
      </c>
      <c r="J136" s="76">
        <f>B136+D136-E136-B$14-G136+I136</f>
        <v/>
      </c>
      <c r="K136" s="86">
        <f>J136/100</f>
        <v/>
      </c>
    </row>
    <row r="137">
      <c r="A137" s="65" t="inlineStr">
        <is>
          <t>Year 16</t>
        </is>
      </c>
      <c r="B137" s="37">
        <f>J136</f>
        <v/>
      </c>
      <c r="C137" s="37">
        <f>MIN(B137, B$19)</f>
        <v/>
      </c>
      <c r="D137" s="37">
        <f>(C137*B$6)+(MAX(B137-B$19, 0)*B$13)</f>
        <v/>
      </c>
      <c r="E137" s="37" t="n">
        <v>50.76</v>
      </c>
      <c r="F137" s="37">
        <f>MAX(D137-E137-B$14, 0)</f>
        <v/>
      </c>
      <c r="G137" s="37">
        <f>F137*B$12</f>
        <v/>
      </c>
      <c r="H137" s="38">
        <f>IF(D137&gt;0, G137/D137, 0)</f>
        <v/>
      </c>
      <c r="I137" s="37" t="n">
        <v>45.68</v>
      </c>
      <c r="J137" s="76">
        <f>B137+D137-E137-B$14-G137+I137</f>
        <v/>
      </c>
      <c r="K137" s="86">
        <f>J137/100</f>
        <v/>
      </c>
    </row>
    <row r="138">
      <c r="A138" s="65" t="inlineStr">
        <is>
          <t>Year 17</t>
        </is>
      </c>
      <c r="B138" s="37">
        <f>J137</f>
        <v/>
      </c>
      <c r="C138" s="37">
        <f>MIN(B138, B$19)</f>
        <v/>
      </c>
      <c r="D138" s="37">
        <f>(C138*B$6)+(MAX(B138-B$19, 0)*B$13)</f>
        <v/>
      </c>
      <c r="E138" s="37" t="n">
        <v>50.76</v>
      </c>
      <c r="F138" s="37">
        <f>MAX(D138-E138-B$14, 0)</f>
        <v/>
      </c>
      <c r="G138" s="37">
        <f>F138*B$12</f>
        <v/>
      </c>
      <c r="H138" s="38">
        <f>IF(D138&gt;0, G138/D138, 0)</f>
        <v/>
      </c>
      <c r="I138" s="37" t="n">
        <v>45.68</v>
      </c>
      <c r="J138" s="76">
        <f>B138+D138-E138-B$14-G138+I138</f>
        <v/>
      </c>
      <c r="K138" s="86">
        <f>J138/100</f>
        <v/>
      </c>
    </row>
    <row r="139">
      <c r="A139" s="65" t="inlineStr">
        <is>
          <t>Year 18</t>
        </is>
      </c>
      <c r="B139" s="37">
        <f>J138</f>
        <v/>
      </c>
      <c r="C139" s="37">
        <f>MIN(B139, B$19)</f>
        <v/>
      </c>
      <c r="D139" s="37">
        <f>(C139*B$6)+(MAX(B139-B$19, 0)*B$13)</f>
        <v/>
      </c>
      <c r="E139" s="37" t="n">
        <v>50.76</v>
      </c>
      <c r="F139" s="37">
        <f>MAX(D139-E139-B$14, 0)</f>
        <v/>
      </c>
      <c r="G139" s="37">
        <f>F139*B$12</f>
        <v/>
      </c>
      <c r="H139" s="38">
        <f>IF(D139&gt;0, G139/D139, 0)</f>
        <v/>
      </c>
      <c r="I139" s="37" t="n">
        <v>45.68</v>
      </c>
      <c r="J139" s="76">
        <f>B139+D139-E139-B$14-G139+I139</f>
        <v/>
      </c>
      <c r="K139" s="86">
        <f>J139/100</f>
        <v/>
      </c>
    </row>
    <row r="140">
      <c r="A140" s="65" t="inlineStr">
        <is>
          <t>Year 19</t>
        </is>
      </c>
      <c r="B140" s="37">
        <f>J139</f>
        <v/>
      </c>
      <c r="C140" s="37">
        <f>MIN(B140, B$19)</f>
        <v/>
      </c>
      <c r="D140" s="37">
        <f>(C140*B$6)+(MAX(B140-B$19, 0)*B$13)</f>
        <v/>
      </c>
      <c r="E140" s="37" t="n">
        <v>50.76</v>
      </c>
      <c r="F140" s="37">
        <f>MAX(D140-E140-B$14, 0)</f>
        <v/>
      </c>
      <c r="G140" s="37">
        <f>F140*B$12</f>
        <v/>
      </c>
      <c r="H140" s="38">
        <f>IF(D140&gt;0, G140/D140, 0)</f>
        <v/>
      </c>
      <c r="I140" s="37" t="n">
        <v>45.68</v>
      </c>
      <c r="J140" s="76">
        <f>B140+D140-E140-B$14-G140+I140</f>
        <v/>
      </c>
      <c r="K140" s="86">
        <f>J140/100</f>
        <v/>
      </c>
    </row>
    <row r="141">
      <c r="A141" s="65" t="inlineStr">
        <is>
          <t>Year 20</t>
        </is>
      </c>
      <c r="B141" s="37">
        <f>J140</f>
        <v/>
      </c>
      <c r="C141" s="37">
        <f>MIN(B141, B$19)</f>
        <v/>
      </c>
      <c r="D141" s="37">
        <f>(C141*B$6)+(MAX(B141-B$19, 0)*B$13)</f>
        <v/>
      </c>
      <c r="E141" s="37" t="n">
        <v>50.76</v>
      </c>
      <c r="F141" s="37">
        <f>MAX(D141-E141-B$14, 0)</f>
        <v/>
      </c>
      <c r="G141" s="37">
        <f>F141*B$12</f>
        <v/>
      </c>
      <c r="H141" s="38">
        <f>IF(D141&gt;0, G141/D141, 0)</f>
        <v/>
      </c>
      <c r="I141" s="37" t="n">
        <v>45.68</v>
      </c>
      <c r="J141" s="76">
        <f>B141+D141-E141-B$14-G141+I141</f>
        <v/>
      </c>
      <c r="K141" s="86">
        <f>J141/100</f>
        <v/>
      </c>
    </row>
  </sheetData>
  <conditionalFormatting sqref="F32:F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32:G51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28" customWidth="1" min="3" max="3"/>
    <col width="26" customWidth="1" min="4" max="4"/>
    <col width="24" customWidth="1" min="5" max="5"/>
    <col width="26" customWidth="1" min="6" max="6"/>
    <col width="24" customWidth="1" min="7" max="7"/>
  </cols>
  <sheetData>
    <row r="1">
      <c r="A1" s="9" t="inlineStr">
        <is>
          <t>MCX NATURAL GAS: TRADE SIZING &amp; ADVERSE RISK STRESS CALCULATOR</t>
        </is>
      </c>
    </row>
    <row r="2">
      <c r="A2" s="10" t="inlineStr">
        <is>
          <t>Interactive Trade &amp; Risk Simulator replicating ChatGPT / Risk Engine | Change any input to instantly recalculate lots, margin, profit and risk</t>
        </is>
      </c>
    </row>
    <row r="4">
      <c r="A4" s="11" t="inlineStr">
        <is>
          <t>1. TRADE INPUT PARAMETERS (Cream cells are live inputs)</t>
        </is>
      </c>
    </row>
    <row r="5">
      <c r="A5" s="12" t="inlineStr">
        <is>
          <t>Parameter Description</t>
        </is>
      </c>
      <c r="B5" s="13" t="inlineStr">
        <is>
          <t>Model Value</t>
        </is>
      </c>
      <c r="C5" s="13" t="inlineStr">
        <is>
          <t>Unit / Metric</t>
        </is>
      </c>
      <c r="D5" s="13" t="inlineStr">
        <is>
          <t>Formula / Source Reference</t>
        </is>
      </c>
    </row>
    <row r="6">
      <c r="A6" s="19" t="inlineStr">
        <is>
          <t>Account Trading Capital</t>
        </is>
      </c>
      <c r="B6" s="111" t="n">
        <v>5000000</v>
      </c>
      <c r="C6" s="16" t="inlineStr">
        <is>
          <t>₹ Rupees</t>
        </is>
      </c>
      <c r="D6" s="14" t="inlineStr">
        <is>
          <t>Input: Liquid equity deployed to desk (e.g. ₹50 Lakhs / ₹1 Crore)</t>
        </is>
      </c>
    </row>
    <row r="7">
      <c r="A7" s="14" t="inlineStr">
        <is>
          <t>Contract Multiplier (MCX Big)</t>
        </is>
      </c>
      <c r="B7" s="17" t="n">
        <v>1250</v>
      </c>
      <c r="C7" s="16" t="inlineStr">
        <is>
          <t>mmBtu / lot</t>
        </is>
      </c>
      <c r="D7" s="14" t="inlineStr">
        <is>
          <t>Fixed: Big contract size (1,250 mmBtu)</t>
        </is>
      </c>
    </row>
    <row r="8">
      <c r="A8" s="19" t="inlineStr">
        <is>
          <t>Trade Position Direction</t>
        </is>
      </c>
      <c r="B8" s="112" t="inlineStr">
        <is>
          <t>SHORT</t>
        </is>
      </c>
      <c r="C8" s="16" t="inlineStr">
        <is>
          <t>SHORT / LONG</t>
        </is>
      </c>
      <c r="D8" s="14" t="inlineStr">
        <is>
          <t>Direction: SHORT (anticipating price fall) or LONG (anticipating rally)</t>
        </is>
      </c>
    </row>
    <row r="9">
      <c r="A9" s="14" t="inlineStr">
        <is>
          <t>Trade Entry Price</t>
        </is>
      </c>
      <c r="B9" s="15" t="n">
        <v>250</v>
      </c>
      <c r="C9" s="16" t="inlineStr">
        <is>
          <t>₹ / mmBtu</t>
        </is>
      </c>
      <c r="D9" s="14" t="inlineStr">
        <is>
          <t>Input: Price at which position is executed</t>
        </is>
      </c>
    </row>
    <row r="10">
      <c r="A10" s="14" t="inlineStr">
        <is>
          <t>Target Exit / Cover Price</t>
        </is>
      </c>
      <c r="B10" s="15" t="n">
        <v>280</v>
      </c>
      <c r="C10" s="16" t="inlineStr">
        <is>
          <t>₹ / mmBtu</t>
        </is>
      </c>
      <c r="D10" s="14" t="inlineStr">
        <is>
          <t>Input: Planned take-profit price target</t>
        </is>
      </c>
    </row>
    <row r="11">
      <c r="A11" s="14" t="inlineStr">
        <is>
          <t>Exchange Margin Requirement Rate</t>
        </is>
      </c>
      <c r="B11" s="18" t="n">
        <v>0.15</v>
      </c>
      <c r="C11" s="16" t="inlineStr">
        <is>
          <t>% of Notional</t>
        </is>
      </c>
      <c r="D11" s="14" t="inlineStr">
        <is>
          <t>MCXCCL baseline initial + ELM margin rate (~15% to 16%)</t>
        </is>
      </c>
    </row>
    <row r="12">
      <c r="A12" s="19" t="inlineStr">
        <is>
          <t>Capital Reserved as Cash Buffer</t>
        </is>
      </c>
      <c r="B12" s="18" t="n">
        <v>0.25</v>
      </c>
      <c r="C12" s="16" t="inlineStr">
        <is>
          <t>% of Capital</t>
        </is>
      </c>
      <c r="D12" s="14" t="inlineStr">
        <is>
          <t>Input: Capital held aside in liquid cash / T-Bills (25% to 50%)</t>
        </is>
      </c>
    </row>
    <row r="13">
      <c r="A13" s="14" t="inlineStr">
        <is>
          <t>Single Contract Notional Value</t>
        </is>
      </c>
      <c r="B13" s="21">
        <f>B9*B7</f>
        <v/>
      </c>
      <c r="C13" s="16" t="inlineStr">
        <is>
          <t>₹ per Contract</t>
        </is>
      </c>
      <c r="D13" s="14" t="inlineStr">
        <is>
          <t>Formula: Entry Price × 1,250 mmBtu</t>
        </is>
      </c>
    </row>
    <row r="14">
      <c r="A14" s="14" t="inlineStr">
        <is>
          <t>Margin Required per Single Lot</t>
        </is>
      </c>
      <c r="B14" s="21">
        <f>B13*B11</f>
        <v/>
      </c>
      <c r="C14" s="16" t="inlineStr">
        <is>
          <t>₹ per Lot</t>
        </is>
      </c>
      <c r="D14" s="14" t="inlineStr">
        <is>
          <t>Formula: Contract Notional × Margin Rate %</t>
        </is>
      </c>
    </row>
    <row r="15">
      <c r="A15" s="19" t="inlineStr">
        <is>
          <t>Capital Allocated for Initial Margin</t>
        </is>
      </c>
      <c r="B15" s="21">
        <f>B6*(1-B12)</f>
        <v/>
      </c>
      <c r="C15" s="16" t="inlineStr">
        <is>
          <t>₹ Rupees</t>
        </is>
      </c>
      <c r="D15" s="14" t="inlineStr">
        <is>
          <t>Formula: Capital × (1 - Buffer %)</t>
        </is>
      </c>
    </row>
    <row r="18">
      <c r="A18" s="11" t="inlineStr">
        <is>
          <t>2. YOUR TRADE EXECUTION RESULTS (LIVE SUMMARY CARDS)</t>
        </is>
      </c>
    </row>
    <row r="19">
      <c r="A19" s="113" t="inlineStr">
        <is>
          <t>LOTS EXECUTED</t>
        </is>
      </c>
      <c r="B19" s="113" t="inlineStr">
        <is>
          <t>MARGIN DEPLOYED</t>
        </is>
      </c>
      <c r="C19" s="113" t="inlineStr">
        <is>
          <t>GROSS PROFIT / LOSS</t>
        </is>
      </c>
      <c r="D19" s="113" t="inlineStr">
        <is>
          <t>RETURN ON CAPITAL</t>
        </is>
      </c>
    </row>
    <row r="20">
      <c r="A20" s="114">
        <f>INT(B15/B14)</f>
        <v/>
      </c>
      <c r="B20" s="115">
        <f>A20*B14</f>
        <v/>
      </c>
      <c r="C20" s="146">
        <f>IF(B8="SHORT", A20*B7*(B9-B10), A20*B7*(B10-B9))</f>
        <v/>
      </c>
      <c r="D20" s="147">
        <f>C20/B6</f>
        <v/>
      </c>
    </row>
    <row r="21">
      <c r="A21" s="92">
        <f>"Notional: ₹" &amp; TEXT((A20*B13)/100000, "0.00") &amp; " L"</f>
        <v/>
      </c>
      <c r="B21" s="92">
        <f>"Utilization: " &amp; TEXT(B20/B6, "0.0%")</f>
        <v/>
      </c>
      <c r="C21" s="92">
        <f>"Points: " &amp; IF(C20&gt;=0, "+", "-") &amp; TEXT(ABS(B9-B10), "0.00") &amp; " pts"</f>
        <v/>
      </c>
      <c r="D21" s="92">
        <f>"On Margin: " &amp; IF(C20&gt;=0, "+", "-") &amp; TEXT(ABS(C20/B20), "0.0%")</f>
        <v/>
      </c>
    </row>
    <row r="22">
      <c r="A22" s="93" t="inlineStr">
        <is>
          <t>Capital Remaining after Initial Margin:</t>
        </is>
      </c>
      <c r="B22" s="118">
        <f>B6-B20</f>
        <v/>
      </c>
      <c r="C22" s="94">
        <f>"Buffer Share: " &amp; TEXT((B6-B20)/B6, "0.0%") &amp; " (Includes buffer + lot-rounding cash)"</f>
        <v/>
      </c>
    </row>
    <row r="25">
      <c r="A25" s="11" t="inlineStr">
        <is>
          <t>3. STRESS-TEST AN ADVERSE MOVE (What if the market moves against your position before moving in your favor?)</t>
        </is>
      </c>
    </row>
    <row r="26">
      <c r="A26" s="14" t="inlineStr">
        <is>
          <t>Adverse Price Move Against Position</t>
        </is>
      </c>
      <c r="B26" s="18" t="n">
        <v>0.02</v>
      </c>
      <c r="C26" s="16" t="inlineStr">
        <is>
          <t>% Adverse Move</t>
        </is>
      </c>
      <c r="D26" s="14" t="inlineStr">
        <is>
          <t>Input: Simulated market spike/drop against trade entry (e.g. 2%, 5%, 10%)</t>
        </is>
      </c>
    </row>
    <row r="27">
      <c r="A27" s="14" t="inlineStr">
        <is>
          <t>Price at Stress Level</t>
        </is>
      </c>
      <c r="B27" s="76">
        <f>IF(B8="SHORT", B9*(1+B26), B9*(1-B26))</f>
        <v/>
      </c>
      <c r="C27" s="16" t="inlineStr">
        <is>
          <t>₹ / mmBtu</t>
        </is>
      </c>
      <c r="D27" s="14" t="inlineStr">
        <is>
          <t>Formula: Underlying price at simulated adverse stress point</t>
        </is>
      </c>
    </row>
    <row r="28">
      <c r="A28" s="19" t="inlineStr">
        <is>
          <t>Unrealised M2M Loss at Stress Price</t>
        </is>
      </c>
      <c r="B28" s="148">
        <f>-A20*B7*ABS(B27-B9)</f>
        <v/>
      </c>
      <c r="C28" s="16" t="inlineStr">
        <is>
          <t>₹ Rupees</t>
        </is>
      </c>
      <c r="D28" s="14" t="inlineStr">
        <is>
          <t>Formula: Mark-to-market loss sustained at stress price</t>
        </is>
      </c>
    </row>
    <row r="29">
      <c r="A29" s="19" t="inlineStr">
        <is>
          <t>Capital Remaining After Loss and Margin</t>
        </is>
      </c>
      <c r="B29" s="149">
        <f>B6-B20+B28</f>
        <v/>
      </c>
      <c r="C29" s="16" t="inlineStr">
        <is>
          <t>₹ Rupees</t>
        </is>
      </c>
      <c r="D29" s="14" t="inlineStr">
        <is>
          <t>Formula: Initial unencumbered buffer minus M2M loss (Instant safety cushion)</t>
        </is>
      </c>
    </row>
    <row r="30">
      <c r="A30" s="19" t="inlineStr">
        <is>
          <t>Buffer Safety &amp; Margin Call Status</t>
        </is>
      </c>
      <c r="B30" s="136">
        <f>IF(B29&gt;0, "SAFE (Buffer Intact - No Margin Call)", "CRITICAL BREACH (Deficit - RMS Margin Call Triggered)")</f>
        <v/>
      </c>
      <c r="C30" s="16" t="inlineStr">
        <is>
          <t>RMS Status</t>
        </is>
      </c>
      <c r="D30" s="14" t="inlineStr">
        <is>
          <t>Exchange risk status</t>
        </is>
      </c>
    </row>
    <row r="31">
      <c r="A31" s="14" t="inlineStr">
        <is>
          <t>Maximum Adverse Move Absorbed to Breakeven</t>
        </is>
      </c>
      <c r="B31" s="122">
        <f>(B6-B20)/(A20*B7*B9)</f>
        <v/>
      </c>
      <c r="C31" s="16" t="inlineStr">
        <is>
          <t>% Crash/Spike</t>
        </is>
      </c>
      <c r="D31" s="14" t="inlineStr">
        <is>
          <t>Formula: Maximum adverse shock account can withstand before liquidating</t>
        </is>
      </c>
    </row>
    <row r="34">
      <c r="A34" s="11" t="inlineStr">
        <is>
          <t>4. ADVERSE SHOCK SENSITIVITY SPECTRUM (Simulating Adverse Moves from 0% to 25%)</t>
        </is>
      </c>
    </row>
    <row r="35">
      <c r="A35" s="13" t="inlineStr">
        <is>
          <t>Adverse Shock (%)</t>
        </is>
      </c>
      <c r="B35" s="13" t="inlineStr">
        <is>
          <t>Gas Stressed Price (₹)</t>
        </is>
      </c>
      <c r="C35" s="13" t="inlineStr">
        <is>
          <t>Unrealised M2M Loss (₹)</t>
        </is>
      </c>
      <c r="D35" s="13" t="inlineStr">
        <is>
          <t>Capital Remaining (₹)</t>
        </is>
      </c>
      <c r="E35" s="13" t="inlineStr">
        <is>
          <t>Total Account Equity (₹)</t>
        </is>
      </c>
      <c r="F35" s="13" t="inlineStr">
        <is>
          <t>RMS Risk Status</t>
        </is>
      </c>
      <c r="G35" s="13" t="inlineStr">
        <is>
          <t>Exchange Margin Call?</t>
        </is>
      </c>
    </row>
    <row r="36">
      <c r="A36" s="123" t="n">
        <v>0</v>
      </c>
      <c r="B36" s="37">
        <f>IF(B$8="SHORT", B$9*(1+A36), B$9*(1-A36))</f>
        <v/>
      </c>
      <c r="C36" s="150">
        <f>-A$20*B$7*ABS(B36-B$9)</f>
        <v/>
      </c>
      <c r="D36" s="151">
        <f>B$6-B$20+C36</f>
        <v/>
      </c>
      <c r="E36" s="150">
        <f>B$6+C36</f>
        <v/>
      </c>
      <c r="F36" s="65">
        <f>IF(D36&gt;B$6*0.10, "SAFE (Strong Buffer)", IF(D36&gt;0, "WARNING (Thin Cushion)", "CRITICAL (Liquidate)"))</f>
        <v/>
      </c>
      <c r="G36" s="43">
        <f>IF(D36&gt;0, "NO MARGIN CALL", "YES - MARGIN CALL")</f>
        <v/>
      </c>
    </row>
    <row r="37">
      <c r="A37" s="123" t="n">
        <v>0.01</v>
      </c>
      <c r="B37" s="37">
        <f>IF(B$8="SHORT", B$9*(1+A37), B$9*(1-A37))</f>
        <v/>
      </c>
      <c r="C37" s="150">
        <f>-A$20*B$7*ABS(B37-B$9)</f>
        <v/>
      </c>
      <c r="D37" s="151">
        <f>B$6-B$20+C37</f>
        <v/>
      </c>
      <c r="E37" s="150">
        <f>B$6+C37</f>
        <v/>
      </c>
      <c r="F37" s="65">
        <f>IF(D37&gt;B$6*0.10, "SAFE (Strong Buffer)", IF(D37&gt;0, "WARNING (Thin Cushion)", "CRITICAL (Liquidate)"))</f>
        <v/>
      </c>
      <c r="G37" s="43">
        <f>IF(D37&gt;0, "NO MARGIN CALL", "YES - MARGIN CALL")</f>
        <v/>
      </c>
    </row>
    <row r="38">
      <c r="A38" s="123" t="n">
        <v>0.02</v>
      </c>
      <c r="B38" s="37">
        <f>IF(B$8="SHORT", B$9*(1+A38), B$9*(1-A38))</f>
        <v/>
      </c>
      <c r="C38" s="150">
        <f>-A$20*B$7*ABS(B38-B$9)</f>
        <v/>
      </c>
      <c r="D38" s="151">
        <f>B$6-B$20+C38</f>
        <v/>
      </c>
      <c r="E38" s="150">
        <f>B$6+C38</f>
        <v/>
      </c>
      <c r="F38" s="65">
        <f>IF(D38&gt;B$6*0.10, "SAFE (Strong Buffer)", IF(D38&gt;0, "WARNING (Thin Cushion)", "CRITICAL (Liquidate)"))</f>
        <v/>
      </c>
      <c r="G38" s="43">
        <f>IF(D38&gt;0, "NO MARGIN CALL", "YES - MARGIN CALL")</f>
        <v/>
      </c>
    </row>
    <row r="39">
      <c r="A39" s="123" t="n">
        <v>0.03</v>
      </c>
      <c r="B39" s="37">
        <f>IF(B$8="SHORT", B$9*(1+A39), B$9*(1-A39))</f>
        <v/>
      </c>
      <c r="C39" s="150">
        <f>-A$20*B$7*ABS(B39-B$9)</f>
        <v/>
      </c>
      <c r="D39" s="151">
        <f>B$6-B$20+C39</f>
        <v/>
      </c>
      <c r="E39" s="150">
        <f>B$6+C39</f>
        <v/>
      </c>
      <c r="F39" s="65">
        <f>IF(D39&gt;B$6*0.10, "SAFE (Strong Buffer)", IF(D39&gt;0, "WARNING (Thin Cushion)", "CRITICAL (Liquidate)"))</f>
        <v/>
      </c>
      <c r="G39" s="43">
        <f>IF(D39&gt;0, "NO MARGIN CALL", "YES - MARGIN CALL")</f>
        <v/>
      </c>
    </row>
    <row r="40">
      <c r="A40" s="123" t="n">
        <v>0.05</v>
      </c>
      <c r="B40" s="37">
        <f>IF(B$8="SHORT", B$9*(1+A40), B$9*(1-A40))</f>
        <v/>
      </c>
      <c r="C40" s="150">
        <f>-A$20*B$7*ABS(B40-B$9)</f>
        <v/>
      </c>
      <c r="D40" s="151">
        <f>B$6-B$20+C40</f>
        <v/>
      </c>
      <c r="E40" s="150">
        <f>B$6+C40</f>
        <v/>
      </c>
      <c r="F40" s="65">
        <f>IF(D40&gt;B$6*0.10, "SAFE (Strong Buffer)", IF(D40&gt;0, "WARNING (Thin Cushion)", "CRITICAL (Liquidate)"))</f>
        <v/>
      </c>
      <c r="G40" s="43">
        <f>IF(D40&gt;0, "NO MARGIN CALL", "YES - MARGIN CALL")</f>
        <v/>
      </c>
    </row>
    <row r="41">
      <c r="A41" s="123" t="n">
        <v>0.07000000000000001</v>
      </c>
      <c r="B41" s="37">
        <f>IF(B$8="SHORT", B$9*(1+A41), B$9*(1-A41))</f>
        <v/>
      </c>
      <c r="C41" s="150">
        <f>-A$20*B$7*ABS(B41-B$9)</f>
        <v/>
      </c>
      <c r="D41" s="151">
        <f>B$6-B$20+C41</f>
        <v/>
      </c>
      <c r="E41" s="150">
        <f>B$6+C41</f>
        <v/>
      </c>
      <c r="F41" s="65">
        <f>IF(D41&gt;B$6*0.10, "SAFE (Strong Buffer)", IF(D41&gt;0, "WARNING (Thin Cushion)", "CRITICAL (Liquidate)"))</f>
        <v/>
      </c>
      <c r="G41" s="43">
        <f>IF(D41&gt;0, "NO MARGIN CALL", "YES - MARGIN CALL")</f>
        <v/>
      </c>
    </row>
    <row r="42">
      <c r="A42" s="123" t="n">
        <v>0.08</v>
      </c>
      <c r="B42" s="37">
        <f>IF(B$8="SHORT", B$9*(1+A42), B$9*(1-A42))</f>
        <v/>
      </c>
      <c r="C42" s="150">
        <f>-A$20*B$7*ABS(B42-B$9)</f>
        <v/>
      </c>
      <c r="D42" s="151">
        <f>B$6-B$20+C42</f>
        <v/>
      </c>
      <c r="E42" s="150">
        <f>B$6+C42</f>
        <v/>
      </c>
      <c r="F42" s="65">
        <f>IF(D42&gt;B$6*0.10, "SAFE (Strong Buffer)", IF(D42&gt;0, "WARNING (Thin Cushion)", "CRITICAL (Liquidate)"))</f>
        <v/>
      </c>
      <c r="G42" s="43">
        <f>IF(D42&gt;0, "NO MARGIN CALL", "YES - MARGIN CALL")</f>
        <v/>
      </c>
    </row>
    <row r="43">
      <c r="A43" s="123" t="n">
        <v>0.1</v>
      </c>
      <c r="B43" s="37">
        <f>IF(B$8="SHORT", B$9*(1+A43), B$9*(1-A43))</f>
        <v/>
      </c>
      <c r="C43" s="150">
        <f>-A$20*B$7*ABS(B43-B$9)</f>
        <v/>
      </c>
      <c r="D43" s="151">
        <f>B$6-B$20+C43</f>
        <v/>
      </c>
      <c r="E43" s="150">
        <f>B$6+C43</f>
        <v/>
      </c>
      <c r="F43" s="65">
        <f>IF(D43&gt;B$6*0.10, "SAFE (Strong Buffer)", IF(D43&gt;0, "WARNING (Thin Cushion)", "CRITICAL (Liquidate)"))</f>
        <v/>
      </c>
      <c r="G43" s="43">
        <f>IF(D43&gt;0, "NO MARGIN CALL", "YES - MARGIN CALL")</f>
        <v/>
      </c>
    </row>
    <row r="44">
      <c r="A44" s="123" t="n">
        <v>0.12</v>
      </c>
      <c r="B44" s="37">
        <f>IF(B$8="SHORT", B$9*(1+A44), B$9*(1-A44))</f>
        <v/>
      </c>
      <c r="C44" s="150">
        <f>-A$20*B$7*ABS(B44-B$9)</f>
        <v/>
      </c>
      <c r="D44" s="151">
        <f>B$6-B$20+C44</f>
        <v/>
      </c>
      <c r="E44" s="150">
        <f>B$6+C44</f>
        <v/>
      </c>
      <c r="F44" s="65">
        <f>IF(D44&gt;B$6*0.10, "SAFE (Strong Buffer)", IF(D44&gt;0, "WARNING (Thin Cushion)", "CRITICAL (Liquidate)"))</f>
        <v/>
      </c>
      <c r="G44" s="43">
        <f>IF(D44&gt;0, "NO MARGIN CALL", "YES - MARGIN CALL")</f>
        <v/>
      </c>
    </row>
    <row r="45">
      <c r="A45" s="123" t="n">
        <v>0.15</v>
      </c>
      <c r="B45" s="37">
        <f>IF(B$8="SHORT", B$9*(1+A45), B$9*(1-A45))</f>
        <v/>
      </c>
      <c r="C45" s="150">
        <f>-A$20*B$7*ABS(B45-B$9)</f>
        <v/>
      </c>
      <c r="D45" s="151">
        <f>B$6-B$20+C45</f>
        <v/>
      </c>
      <c r="E45" s="150">
        <f>B$6+C45</f>
        <v/>
      </c>
      <c r="F45" s="65">
        <f>IF(D45&gt;B$6*0.10, "SAFE (Strong Buffer)", IF(D45&gt;0, "WARNING (Thin Cushion)", "CRITICAL (Liquidate)"))</f>
        <v/>
      </c>
      <c r="G45" s="43">
        <f>IF(D45&gt;0, "NO MARGIN CALL", "YES - MARGIN CALL")</f>
        <v/>
      </c>
    </row>
    <row r="46">
      <c r="A46" s="123" t="n">
        <v>0.2</v>
      </c>
      <c r="B46" s="37">
        <f>IF(B$8="SHORT", B$9*(1+A46), B$9*(1-A46))</f>
        <v/>
      </c>
      <c r="C46" s="150">
        <f>-A$20*B$7*ABS(B46-B$9)</f>
        <v/>
      </c>
      <c r="D46" s="151">
        <f>B$6-B$20+C46</f>
        <v/>
      </c>
      <c r="E46" s="150">
        <f>B$6+C46</f>
        <v/>
      </c>
      <c r="F46" s="65">
        <f>IF(D46&gt;B$6*0.10, "SAFE (Strong Buffer)", IF(D46&gt;0, "WARNING (Thin Cushion)", "CRITICAL (Liquidate)"))</f>
        <v/>
      </c>
      <c r="G46" s="43">
        <f>IF(D46&gt;0, "NO MARGIN CALL", "YES - MARGIN CALL")</f>
        <v/>
      </c>
    </row>
    <row r="47">
      <c r="A47" s="123" t="n">
        <v>0.25</v>
      </c>
      <c r="B47" s="37">
        <f>IF(B$8="SHORT", B$9*(1+A47), B$9*(1-A47))</f>
        <v/>
      </c>
      <c r="C47" s="150">
        <f>-A$20*B$7*ABS(B47-B$9)</f>
        <v/>
      </c>
      <c r="D47" s="151">
        <f>B$6-B$20+C47</f>
        <v/>
      </c>
      <c r="E47" s="150">
        <f>B$6+C47</f>
        <v/>
      </c>
      <c r="F47" s="65">
        <f>IF(D47&gt;B$6*0.10, "SAFE (Strong Buffer)", IF(D47&gt;0, "WARNING (Thin Cushion)", "CRITICAL (Liquidate)"))</f>
        <v/>
      </c>
      <c r="G47" s="43">
        <f>IF(D47&gt;0, "NO MARGIN CALL", "YES - MARGIN CALL")</f>
        <v/>
      </c>
    </row>
  </sheetData>
  <conditionalFormatting sqref="C20">
    <cfRule type="cellIs" priority="16" operator="greaterThan" dxfId="2">
      <formula>0</formula>
    </cfRule>
    <cfRule type="cellIs" priority="17" operator="lessThan" dxfId="3">
      <formula>0</formula>
    </cfRule>
  </conditionalFormatting>
  <conditionalFormatting sqref="D20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29">
    <cfRule type="cellIs" priority="20" operator="greaterThan" dxfId="4">
      <formula>0</formula>
    </cfRule>
    <cfRule type="cellIs" priority="21" operator="lessThanOrEqual" dxfId="5">
      <formula>0</formula>
    </cfRule>
  </conditionalFormatting>
  <conditionalFormatting sqref="B30">
    <cfRule type="expression" priority="22" dxfId="4">
      <formula>ISNUMBER(SEARCH("SAFE", B30))</formula>
    </cfRule>
    <cfRule type="expression" priority="23" dxfId="5">
      <formula>ISNUMBER(SEARCH("CRITICAL", B30))</formula>
    </cfRule>
  </conditionalFormatting>
  <conditionalFormatting sqref="D36:D47">
    <cfRule type="cellIs" priority="24" operator="greaterThan" dxfId="4">
      <formula>0</formula>
    </cfRule>
    <cfRule type="cellIs" priority="25" operator="lessThanOrEqual" dxfId="5">
      <formula>0</formula>
    </cfRule>
  </conditionalFormatting>
  <conditionalFormatting sqref="F36:F47">
    <cfRule type="expression" priority="26" dxfId="4">
      <formula>ISNUMBER(SEARCH("SAFE", F36))</formula>
    </cfRule>
    <cfRule type="expression" priority="27" dxfId="6">
      <formula>ISNUMBER(SEARCH("WARNING", F36))</formula>
    </cfRule>
    <cfRule type="expression" priority="28" dxfId="5">
      <formula>ISNUMBER(SEARCH("CRITICAL", F36))</formula>
    </cfRule>
  </conditionalFormatting>
  <conditionalFormatting sqref="G36:G47">
    <cfRule type="expression" priority="29" dxfId="4">
      <formula>ISNUMBER(SEARCH("NO", G36))</formula>
    </cfRule>
    <cfRule type="expression" priority="30" dxfId="5">
      <formula>ISNUMBER(SEARCH("YES", G36))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6" customWidth="1" min="3" max="3"/>
    <col width="24" customWidth="1" min="4" max="4"/>
    <col width="20" customWidth="1" min="5" max="5"/>
    <col width="24" customWidth="1" min="6" max="6"/>
    <col width="24" customWidth="1" min="7" max="7"/>
    <col width="26" customWidth="1" min="8" max="8"/>
    <col width="30" customWidth="1" min="9" max="9"/>
    <col width="26" customWidth="1" min="10" max="10"/>
    <col width="24" customWidth="1" min="11" max="11"/>
  </cols>
  <sheetData>
    <row r="1">
      <c r="A1" s="9" t="inlineStr">
        <is>
          <t>MCX NATURAL GAS: POSITION SIZING, BUFFER ABSORPTION &amp; SWING DECOMPOSITION</t>
        </is>
      </c>
    </row>
    <row r="2">
      <c r="A2" s="10" t="inlineStr">
        <is>
          <t>Empirical First-Principles Model across 5,066 Trading Days (2007–2026) in data/prices.db | Live Interactive Formulas</t>
        </is>
      </c>
    </row>
    <row r="4">
      <c r="A4" s="11" t="inlineStr">
        <is>
          <t>1. INTERACTIVE DESK INPUT PARAMETERS (Cream cells are live inputs)</t>
        </is>
      </c>
    </row>
    <row r="5">
      <c r="A5" s="12" t="inlineStr">
        <is>
          <t>Parameter Description</t>
        </is>
      </c>
      <c r="B5" s="13" t="inlineStr">
        <is>
          <t>Model Value</t>
        </is>
      </c>
      <c r="C5" s="13" t="inlineStr">
        <is>
          <t>Unit / Metric</t>
        </is>
      </c>
      <c r="D5" s="13" t="inlineStr">
        <is>
          <t>Formula / Source Reference</t>
        </is>
      </c>
    </row>
    <row r="6">
      <c r="A6" s="14" t="inlineStr">
        <is>
          <t>Desk Account Equity (Total Capital)</t>
        </is>
      </c>
      <c r="B6" s="15" t="n">
        <v>1</v>
      </c>
      <c r="C6" s="16" t="inlineStr">
        <is>
          <t>₹ Crores</t>
        </is>
      </c>
      <c r="D6" s="14" t="inlineStr">
        <is>
          <t>Input: Liquid equity deployed to desk</t>
        </is>
      </c>
    </row>
    <row r="7">
      <c r="A7" s="14" t="inlineStr">
        <is>
          <t>MCX Natural Gas Underlying Price</t>
        </is>
      </c>
      <c r="B7" s="15" t="n">
        <v>280</v>
      </c>
      <c r="C7" s="16" t="inlineStr">
        <is>
          <t>₹ / mmBtu</t>
        </is>
      </c>
      <c r="D7" s="14" t="inlineStr">
        <is>
          <t>Input: Current front-month price quote</t>
        </is>
      </c>
    </row>
    <row r="8">
      <c r="A8" s="14" t="inlineStr">
        <is>
          <t>Contract Multiplier</t>
        </is>
      </c>
      <c r="B8" s="17" t="n">
        <v>1250</v>
      </c>
      <c r="C8" s="16" t="inlineStr">
        <is>
          <t>mmBtu / lot</t>
        </is>
      </c>
      <c r="D8" s="14" t="inlineStr">
        <is>
          <t>Fixed: MCX Big Natural Gas contract size</t>
        </is>
      </c>
    </row>
    <row r="9">
      <c r="A9" s="14" t="inlineStr">
        <is>
          <t>Exchange Margin Requirement (Initial + ELM)</t>
        </is>
      </c>
      <c r="B9" s="18" t="n">
        <v>0.16</v>
      </c>
      <c r="C9" s="16" t="inlineStr">
        <is>
          <t>% of Notional</t>
        </is>
      </c>
      <c r="D9" s="14" t="inlineStr">
        <is>
          <t>MCXCCL baseline initial + ELM requirement (~16%)</t>
        </is>
      </c>
    </row>
    <row r="10">
      <c r="A10" s="19" t="inlineStr">
        <is>
          <t>Target Margin Utilization</t>
        </is>
      </c>
      <c r="B10" s="18" t="n">
        <v>0.5</v>
      </c>
      <c r="C10" s="16" t="inlineStr">
        <is>
          <t>% of Equity</t>
        </is>
      </c>
      <c r="D10" s="14" t="inlineStr">
        <is>
          <t>Input: 50% to 60% discipline (holding 40-50% buffer)</t>
        </is>
      </c>
    </row>
    <row r="11">
      <c r="A11" s="14" t="inlineStr">
        <is>
          <t>Resulting Unencumbered Cash Buffer</t>
        </is>
      </c>
      <c r="B11" s="20">
        <f>1-B10</f>
        <v/>
      </c>
      <c r="C11" s="16" t="inlineStr">
        <is>
          <t>% of Equity</t>
        </is>
      </c>
      <c r="D11" s="14" t="inlineStr">
        <is>
          <t>Formula: Capital held in overnight yield / T-Bills</t>
        </is>
      </c>
    </row>
    <row r="12">
      <c r="A12" s="14" t="inlineStr">
        <is>
          <t>Single Contract Notional Value</t>
        </is>
      </c>
      <c r="B12" s="21">
        <f>B7*B8</f>
        <v/>
      </c>
      <c r="C12" s="16" t="inlineStr">
        <is>
          <t>₹ per Contract</t>
        </is>
      </c>
      <c r="D12" s="14" t="inlineStr">
        <is>
          <t>Formula: Price × 1,250 mmBtu</t>
        </is>
      </c>
    </row>
    <row r="13">
      <c r="A13" s="14" t="inlineStr">
        <is>
          <t>Margin Required per Single Contract</t>
        </is>
      </c>
      <c r="B13" s="21">
        <f>B12*B9</f>
        <v/>
      </c>
      <c r="C13" s="16" t="inlineStr">
        <is>
          <t>₹ per Lot</t>
        </is>
      </c>
      <c r="D13" s="14" t="inlineStr">
        <is>
          <t>Formula: Notional Value × Margin %</t>
        </is>
      </c>
    </row>
    <row r="14">
      <c r="A14" s="19" t="inlineStr">
        <is>
          <t>100% Max Capacity (Zero Buffer - Liquidation Hazard)</t>
        </is>
      </c>
      <c r="B14" s="22">
        <f>INT((B6*10000000)/B13)</f>
        <v/>
      </c>
      <c r="C14" s="16" t="inlineStr">
        <is>
          <t>Lots</t>
        </is>
      </c>
      <c r="D14" s="14" t="inlineStr">
        <is>
          <t>Formula: 100% equity / Margin per lot (6.25x leverage)</t>
        </is>
      </c>
    </row>
    <row r="15">
      <c r="A15" s="19" t="inlineStr">
        <is>
          <t>Disciplined Target Lots Deployed</t>
        </is>
      </c>
      <c r="B15" s="23">
        <f>INT((B6*10000000*B10)/B13)</f>
        <v/>
      </c>
      <c r="C15" s="16" t="inlineStr">
        <is>
          <t>Lots</t>
        </is>
      </c>
      <c r="D15" s="14" t="inlineStr">
        <is>
          <t>Formula: Target Margin Equity / Margin per lot</t>
        </is>
      </c>
    </row>
    <row r="16">
      <c r="A16" s="14" t="inlineStr">
        <is>
          <t>Total Active Notional Market Exposure</t>
        </is>
      </c>
      <c r="B16" s="24">
        <f>(B15*B12)/10000000</f>
        <v/>
      </c>
      <c r="C16" s="16" t="inlineStr">
        <is>
          <t>₹ Crores</t>
        </is>
      </c>
      <c r="D16" s="14" t="inlineStr">
        <is>
          <t>Formula: Lots Deployed × Contract Notional Value</t>
        </is>
      </c>
    </row>
    <row r="17">
      <c r="A17" s="14" t="inlineStr">
        <is>
          <t>Effective Portfolio Leverage</t>
        </is>
      </c>
      <c r="B17" s="25">
        <f>B16/B6</f>
        <v/>
      </c>
      <c r="C17" s="16" t="inlineStr">
        <is>
          <t>x Leverage</t>
        </is>
      </c>
      <c r="D17" s="14" t="inlineStr">
        <is>
          <t>Formula: Active Notional Exposure / Account Equity</t>
        </is>
      </c>
    </row>
    <row r="18">
      <c r="A18" s="14" t="inlineStr">
        <is>
          <t>Liquid Cash Buffer Reserve</t>
        </is>
      </c>
      <c r="B18" s="26">
        <f>(B6*10000000*B11)/100000</f>
        <v/>
      </c>
      <c r="C18" s="16" t="inlineStr">
        <is>
          <t>₹ Lakhs</t>
        </is>
      </c>
      <c r="D18" s="14" t="inlineStr">
        <is>
          <t>Formula: Equity × Cash Buffer % (Instant M2M cushion)</t>
        </is>
      </c>
    </row>
    <row r="19">
      <c r="A19" s="19" t="inlineStr">
        <is>
          <t>Adverse Move Absorbed Before Margin Call</t>
        </is>
      </c>
      <c r="B19" s="27">
        <f>-B11/B17</f>
        <v/>
      </c>
      <c r="C19" s="16" t="inlineStr">
        <is>
          <t>% Adverse Move</t>
        </is>
      </c>
      <c r="D19" s="14" t="inlineStr">
        <is>
          <t>Formula: -Cash Buffer % / Effective Leverage</t>
        </is>
      </c>
    </row>
    <row r="22">
      <c r="A22" s="11" t="inlineStr">
        <is>
          <t>2. CAPITAL SIZING &amp; RISK ABSORPTION SPECTRUM (Per ₹1.00 Crore Account Equity)</t>
        </is>
      </c>
    </row>
    <row r="23" ht="28" customHeight="1">
      <c r="A23" s="28" t="inlineStr">
        <is>
          <t>Sizing Discipline Strategy</t>
        </is>
      </c>
      <c r="B23" s="28" t="inlineStr">
        <is>
          <t>Pledged Margin (₹ Lakhs)</t>
        </is>
      </c>
      <c r="C23" s="28" t="inlineStr">
        <is>
          <t>Pledged Margin (%)</t>
        </is>
      </c>
      <c r="D23" s="28" t="inlineStr">
        <is>
          <t>Liquid Cash Buffer (₹ L)</t>
        </is>
      </c>
      <c r="E23" s="28" t="inlineStr">
        <is>
          <t>Buffer Share (%)</t>
        </is>
      </c>
      <c r="F23" s="28" t="inlineStr">
        <is>
          <t>Lots Held</t>
        </is>
      </c>
      <c r="G23" s="28" t="inlineStr">
        <is>
          <t>Notional Exposure (₹ Cr)</t>
        </is>
      </c>
      <c r="H23" s="28" t="inlineStr">
        <is>
          <t>Effective Leverage</t>
        </is>
      </c>
      <c r="I23" s="28" t="inlineStr">
        <is>
          <t>Adverse Crash Absorbed</t>
        </is>
      </c>
      <c r="J23" s="28" t="inlineStr">
        <is>
          <t>Max Overnight Gap Immunity</t>
        </is>
      </c>
      <c r="K23" s="28" t="inlineStr">
        <is>
          <t>Annual Idle Yield (6.5%)</t>
        </is>
      </c>
    </row>
    <row r="24">
      <c r="A24" s="29" t="inlineStr">
        <is>
          <t>100% Max Capacity (Zero Buffer - PROHIBITED)</t>
        </is>
      </c>
      <c r="B24" s="30">
        <f>(F24*B$13)/100000</f>
        <v/>
      </c>
      <c r="C24" s="31">
        <f>B24/(B$6*100)</f>
        <v/>
      </c>
      <c r="D24" s="30">
        <f>(B$6*100)-B24</f>
        <v/>
      </c>
      <c r="E24" s="31">
        <f>D24/(B$6*100)</f>
        <v/>
      </c>
      <c r="F24" s="32">
        <f>B$14</f>
        <v/>
      </c>
      <c r="G24" s="33">
        <f>(F24*B$12)/10000000</f>
        <v/>
      </c>
      <c r="H24" s="34">
        <f>G24/B$6</f>
        <v/>
      </c>
      <c r="I24" s="35" t="inlineStr">
        <is>
          <t>0.0% (Instant Liquidation)</t>
        </is>
      </c>
      <c r="J24" s="36" t="inlineStr">
        <is>
          <t>0.0% (Zero Absorption)</t>
        </is>
      </c>
      <c r="K24" s="30">
        <f>D24*0.065</f>
        <v/>
      </c>
    </row>
    <row r="25">
      <c r="A25" s="19" t="inlineStr">
        <is>
          <t>60% Margin Capacity (40% Cash Buffer)</t>
        </is>
      </c>
      <c r="B25" s="37">
        <f>(F25*B$13)/100000</f>
        <v/>
      </c>
      <c r="C25" s="38">
        <f>B25/(B$6*100)</f>
        <v/>
      </c>
      <c r="D25" s="37">
        <f>(B$6*100)-B25</f>
        <v/>
      </c>
      <c r="E25" s="38">
        <f>D25/(B$6*100)</f>
        <v/>
      </c>
      <c r="F25" s="39">
        <f>INT((B$6*10000000*0.60)/B$13)</f>
        <v/>
      </c>
      <c r="G25" s="40">
        <f>(F25*B$12)/10000000</f>
        <v/>
      </c>
      <c r="H25" s="41">
        <f>G25/B$6</f>
        <v/>
      </c>
      <c r="I25" s="42">
        <f>-E25/H25</f>
        <v/>
      </c>
      <c r="J25" s="43" t="inlineStr">
        <is>
          <t>Can survive -10.0% gap</t>
        </is>
      </c>
      <c r="K25" s="37">
        <f>D25*0.065</f>
        <v/>
      </c>
    </row>
    <row r="26">
      <c r="A26" s="44" t="inlineStr">
        <is>
          <t>50% Margin Capacity (50% Buffer - RECOMMENDED)</t>
        </is>
      </c>
      <c r="B26" s="45">
        <f>(F26*B$13)/100000</f>
        <v/>
      </c>
      <c r="C26" s="46">
        <f>B26/(B$6*100)</f>
        <v/>
      </c>
      <c r="D26" s="45">
        <f>(B$6*100)-B26</f>
        <v/>
      </c>
      <c r="E26" s="46">
        <f>D26/(B$6*100)</f>
        <v/>
      </c>
      <c r="F26" s="47">
        <f>B$15</f>
        <v/>
      </c>
      <c r="G26" s="48">
        <f>(F26*B$12)/10000000</f>
        <v/>
      </c>
      <c r="H26" s="25">
        <f>G26/B$6</f>
        <v/>
      </c>
      <c r="I26" s="49">
        <f>-E26/H26</f>
        <v/>
      </c>
      <c r="J26" s="50" t="inlineStr">
        <is>
          <t>Can survive -15.0% gap</t>
        </is>
      </c>
      <c r="K26" s="45">
        <f>D26*0.065</f>
        <v/>
      </c>
    </row>
    <row r="27">
      <c r="A27" s="51" t="inlineStr">
        <is>
          <t>Fixed 50-Lot Allocation (72% Cash Buffer - ULTRA SAFE)</t>
        </is>
      </c>
      <c r="B27" s="52">
        <f>(F27*B$13)/100000</f>
        <v/>
      </c>
      <c r="C27" s="53">
        <f>B27/(B$6*100)</f>
        <v/>
      </c>
      <c r="D27" s="52">
        <f>(B$6*100)-B27</f>
        <v/>
      </c>
      <c r="E27" s="53">
        <f>D27/(B$6*100)</f>
        <v/>
      </c>
      <c r="F27" s="54" t="n">
        <v>50</v>
      </c>
      <c r="G27" s="55">
        <f>(F27*B$12)/10000000</f>
        <v/>
      </c>
      <c r="H27" s="56">
        <f>G27/B$6</f>
        <v/>
      </c>
      <c r="I27" s="57">
        <f>-E27/H27</f>
        <v/>
      </c>
      <c r="J27" s="58" t="inlineStr">
        <is>
          <t>Can survive -40.0% gap</t>
        </is>
      </c>
      <c r="K27" s="52">
        <f>D27*0.065</f>
        <v/>
      </c>
    </row>
    <row r="29">
      <c r="A29" s="11" t="inlineStr">
        <is>
          <t>3. DECONSTRUCTING ANNUAL TARGETS INTO MODEST SWING TRADES (Under 50% Margin Buffer / ~3.12x Leverage)</t>
        </is>
      </c>
    </row>
    <row r="30" ht="28" customHeight="1">
      <c r="A30" s="28" t="inlineStr">
        <is>
          <t>Annual Target Scenario</t>
        </is>
      </c>
      <c r="B30" s="28" t="inlineStr">
        <is>
          <t>Target Annual Underlying Move</t>
        </is>
      </c>
      <c r="C30" s="28" t="inlineStr">
        <is>
          <t>Trade Breakdown Structure</t>
        </is>
      </c>
      <c r="D30" s="28" t="inlineStr">
        <is>
          <t>Underlying Move / Trade (%)</t>
        </is>
      </c>
      <c r="E30" s="28" t="inlineStr">
        <is>
          <t>Gas Move in Points (₹)</t>
        </is>
      </c>
      <c r="F30" s="28" t="inlineStr">
        <is>
          <t>Portfolio Gain / Trade (%)</t>
        </is>
      </c>
      <c r="G30" s="28" t="inlineStr">
        <is>
          <t>Compounded Annual Return (%)</t>
        </is>
      </c>
      <c r="H30" s="28" t="inlineStr">
        <is>
          <t>Empirical Swings / Year</t>
        </is>
      </c>
      <c r="I30" s="28" t="inlineStr">
        <is>
          <t>Median Swing Duration</t>
        </is>
      </c>
      <c r="J30" s="28" t="inlineStr">
        <is>
          <t>Selectivity Surplus Ratio</t>
        </is>
      </c>
      <c r="K30" s="28" t="inlineStr">
        <is>
          <t>Execution Feasibility Rating</t>
        </is>
      </c>
    </row>
    <row r="31">
      <c r="A31" s="59" t="inlineStr">
        <is>
          <t>Scenario A: Aggressive Target (~100%–125% CAGR)</t>
        </is>
      </c>
      <c r="B31" s="46" t="n">
        <v>0.3</v>
      </c>
      <c r="C31" s="60" t="inlineStr">
        <is>
          <t>2 Swings / Year</t>
        </is>
      </c>
      <c r="D31" s="46">
        <f>B31/2</f>
        <v/>
      </c>
      <c r="E31" s="61">
        <f>D31*B$7</f>
        <v/>
      </c>
      <c r="F31" s="46">
        <f>D31*B$17</f>
        <v/>
      </c>
      <c r="G31" s="20">
        <f>(1+F31)^2 - 1</f>
        <v/>
      </c>
      <c r="H31" s="62" t="n">
        <v>7.8</v>
      </c>
      <c r="I31" s="50" t="inlineStr">
        <is>
          <t>30 days</t>
        </is>
      </c>
      <c r="J31" s="63">
        <f>H31/2</f>
        <v/>
      </c>
      <c r="K31" s="50" t="inlineStr">
        <is>
          <t>3.9x Available Surplus (High)</t>
        </is>
      </c>
    </row>
    <row r="32">
      <c r="A32" s="59" t="inlineStr">
        <is>
          <t>Scenario A: Aggressive Target (~100%–125% CAGR)</t>
        </is>
      </c>
      <c r="B32" s="46" t="n">
        <v>0.3</v>
      </c>
      <c r="C32" s="60" t="inlineStr">
        <is>
          <t>3 Swings / Year (Optimal)</t>
        </is>
      </c>
      <c r="D32" s="46">
        <f>B32/3</f>
        <v/>
      </c>
      <c r="E32" s="61">
        <f>D32*B$7</f>
        <v/>
      </c>
      <c r="F32" s="46">
        <f>D32*B$17</f>
        <v/>
      </c>
      <c r="G32" s="20">
        <f>(1+F32)^3 - 1</f>
        <v/>
      </c>
      <c r="H32" s="62" t="n">
        <v>13.6</v>
      </c>
      <c r="I32" s="50" t="inlineStr">
        <is>
          <t>17 days</t>
        </is>
      </c>
      <c r="J32" s="63">
        <f>H32/3</f>
        <v/>
      </c>
      <c r="K32" s="50" t="inlineStr">
        <is>
          <t>4.5x Available Surplus (Very High)</t>
        </is>
      </c>
    </row>
    <row r="33">
      <c r="A33" s="59" t="inlineStr">
        <is>
          <t>Scenario A: Aggressive Target (~100%–125% CAGR)</t>
        </is>
      </c>
      <c r="B33" s="46" t="n">
        <v>0.3</v>
      </c>
      <c r="C33" s="60" t="inlineStr">
        <is>
          <t>4 Swings / Year</t>
        </is>
      </c>
      <c r="D33" s="46">
        <f>B33/4</f>
        <v/>
      </c>
      <c r="E33" s="61">
        <f>D33*B$7</f>
        <v/>
      </c>
      <c r="F33" s="46">
        <f>D33*B$17</f>
        <v/>
      </c>
      <c r="G33" s="20">
        <f>(1+F33)^4 - 1</f>
        <v/>
      </c>
      <c r="H33" s="62" t="n">
        <v>18.1</v>
      </c>
      <c r="I33" s="50" t="inlineStr">
        <is>
          <t>14 days</t>
        </is>
      </c>
      <c r="J33" s="63">
        <f>H33/4</f>
        <v/>
      </c>
      <c r="K33" s="50" t="inlineStr">
        <is>
          <t>4.5x Available Surplus (Exceptional)</t>
        </is>
      </c>
    </row>
    <row r="34">
      <c r="A34" s="64" t="inlineStr">
        <is>
          <t>Scenario B: Baseline Target (~75%–85% CAGR)</t>
        </is>
      </c>
      <c r="B34" s="38" t="n">
        <v>0.245</v>
      </c>
      <c r="C34" s="65" t="inlineStr">
        <is>
          <t>2 Swings / Year</t>
        </is>
      </c>
      <c r="D34" s="38">
        <f>B34/2</f>
        <v/>
      </c>
      <c r="E34" s="66">
        <f>D34*B$7</f>
        <v/>
      </c>
      <c r="F34" s="38">
        <f>D34*B$17</f>
        <v/>
      </c>
      <c r="G34" s="67">
        <f>(1+F34)^2 - 1</f>
        <v/>
      </c>
      <c r="H34" s="68" t="n">
        <v>11.2</v>
      </c>
      <c r="I34" s="43" t="inlineStr">
        <is>
          <t>19 days</t>
        </is>
      </c>
      <c r="J34" s="69">
        <f>H34/2</f>
        <v/>
      </c>
      <c r="K34" s="43" t="inlineStr">
        <is>
          <t>5.6x Available Surplus (High)</t>
        </is>
      </c>
    </row>
    <row r="35">
      <c r="A35" s="59" t="inlineStr">
        <is>
          <t>Scenario B: Baseline Target (~75%–85% CAGR)</t>
        </is>
      </c>
      <c r="B35" s="46" t="n">
        <v>0.245</v>
      </c>
      <c r="C35" s="60" t="inlineStr">
        <is>
          <t>3 Swings / Year (Optimal)</t>
        </is>
      </c>
      <c r="D35" s="46">
        <f>B35/3</f>
        <v/>
      </c>
      <c r="E35" s="61">
        <f>D35*B$7</f>
        <v/>
      </c>
      <c r="F35" s="46">
        <f>D35*B$17</f>
        <v/>
      </c>
      <c r="G35" s="20">
        <f>(1+F35)^3 - 1</f>
        <v/>
      </c>
      <c r="H35" s="62" t="n">
        <v>18.1</v>
      </c>
      <c r="I35" s="50" t="inlineStr">
        <is>
          <t>14 days</t>
        </is>
      </c>
      <c r="J35" s="63">
        <f>H35/3</f>
        <v/>
      </c>
      <c r="K35" s="50" t="inlineStr">
        <is>
          <t>6.0x Available Surplus (Exceptional)</t>
        </is>
      </c>
    </row>
    <row r="36">
      <c r="A36" s="64" t="inlineStr">
        <is>
          <t>Scenario B: Baseline Target (~75%–85% CAGR)</t>
        </is>
      </c>
      <c r="B36" s="38" t="n">
        <v>0.245</v>
      </c>
      <c r="C36" s="65" t="inlineStr">
        <is>
          <t>4 Swings / Year</t>
        </is>
      </c>
      <c r="D36" s="38">
        <f>B36/4</f>
        <v/>
      </c>
      <c r="E36" s="66">
        <f>D36*B$7</f>
        <v/>
      </c>
      <c r="F36" s="38">
        <f>D36*B$17</f>
        <v/>
      </c>
      <c r="G36" s="67">
        <f>(1+F36)^4 - 1</f>
        <v/>
      </c>
      <c r="H36" s="68" t="n">
        <v>24</v>
      </c>
      <c r="I36" s="43" t="inlineStr">
        <is>
          <t>11 days</t>
        </is>
      </c>
      <c r="J36" s="69">
        <f>H36/4</f>
        <v/>
      </c>
      <c r="K36" s="43" t="inlineStr">
        <is>
          <t>6.0x Available Surplus (Maximum)</t>
        </is>
      </c>
    </row>
    <row r="37">
      <c r="A37" s="64" t="inlineStr">
        <is>
          <t>Scenario C: Conservative Target (~40%–50% CAGR)</t>
        </is>
      </c>
      <c r="B37" s="38" t="n">
        <v>0.125</v>
      </c>
      <c r="C37" s="65" t="inlineStr">
        <is>
          <t>2 Swings / Year</t>
        </is>
      </c>
      <c r="D37" s="38">
        <f>B37/2</f>
        <v/>
      </c>
      <c r="E37" s="66">
        <f>D37*B$7</f>
        <v/>
      </c>
      <c r="F37" s="38">
        <f>D37*B$17</f>
        <v/>
      </c>
      <c r="G37" s="67">
        <f>(1+F37)^2 - 1</f>
        <v/>
      </c>
      <c r="H37" s="68" t="n">
        <v>24</v>
      </c>
      <c r="I37" s="43" t="inlineStr">
        <is>
          <t>11 days</t>
        </is>
      </c>
      <c r="J37" s="69">
        <f>H37/2</f>
        <v/>
      </c>
      <c r="K37" s="43" t="inlineStr">
        <is>
          <t>12.0x Available Surplus (Ultra)</t>
        </is>
      </c>
    </row>
    <row r="38">
      <c r="A38" s="59" t="inlineStr">
        <is>
          <t>Scenario C: Conservative Target (~40%–50% CAGR)</t>
        </is>
      </c>
      <c r="B38" s="46" t="n">
        <v>0.125</v>
      </c>
      <c r="C38" s="60" t="inlineStr">
        <is>
          <t>3 Swings / Year (Optimal)</t>
        </is>
      </c>
      <c r="D38" s="46">
        <f>B38/3</f>
        <v/>
      </c>
      <c r="E38" s="61">
        <f>D38*B$7</f>
        <v/>
      </c>
      <c r="F38" s="46">
        <f>D38*B$17</f>
        <v/>
      </c>
      <c r="G38" s="20">
        <f>(1+F38)^3 - 1</f>
        <v/>
      </c>
      <c r="H38" s="62" t="n">
        <v>30.6</v>
      </c>
      <c r="I38" s="50" t="inlineStr">
        <is>
          <t>8 days</t>
        </is>
      </c>
      <c r="J38" s="63">
        <f>H38/3</f>
        <v/>
      </c>
      <c r="K38" s="50" t="inlineStr">
        <is>
          <t>10.2x Available Surplus (Extreme Ease)</t>
        </is>
      </c>
    </row>
    <row r="39">
      <c r="A39" s="64" t="inlineStr">
        <is>
          <t>Scenario C: Conservative Target (~40%–50% CAGR)</t>
        </is>
      </c>
      <c r="B39" s="38" t="n">
        <v>0.125</v>
      </c>
      <c r="C39" s="65" t="inlineStr">
        <is>
          <t>4 Swings / Year</t>
        </is>
      </c>
      <c r="D39" s="38">
        <f>B39/4</f>
        <v/>
      </c>
      <c r="E39" s="66">
        <f>D39*B$7</f>
        <v/>
      </c>
      <c r="F39" s="38">
        <f>D39*B$17</f>
        <v/>
      </c>
      <c r="G39" s="67">
        <f>(1+F39)^4 - 1</f>
        <v/>
      </c>
      <c r="H39" s="68" t="n">
        <v>30.6</v>
      </c>
      <c r="I39" s="43" t="inlineStr">
        <is>
          <t>8 days</t>
        </is>
      </c>
      <c r="J39" s="69">
        <f>H39/4</f>
        <v/>
      </c>
      <c r="K39" s="43" t="inlineStr">
        <is>
          <t>7.7x Available Surplus (Extreme Ease)</t>
        </is>
      </c>
    </row>
    <row r="42">
      <c r="A42" s="11" t="inlineStr">
        <is>
          <t>4. EMPIRICAL SWING FREQUENCY SPECTRUM (All 5,066 Trading Days 2010–2025 in data/prices.db)</t>
        </is>
      </c>
    </row>
    <row r="43">
      <c r="A43" s="70" t="inlineStr">
        <is>
          <t>Swing Threshold</t>
        </is>
      </c>
      <c r="B43" s="70" t="inlineStr">
        <is>
          <t>Avg Total Swings / Year</t>
        </is>
      </c>
      <c r="C43" s="70" t="inlineStr">
        <is>
          <t>Historical Annual Range (Min – Max)</t>
        </is>
      </c>
      <c r="D43" s="70" t="inlineStr">
        <is>
          <t>Avg Long Swings / Year</t>
        </is>
      </c>
      <c r="E43" s="70" t="inlineStr">
        <is>
          <t>Avg Short Swings / Year</t>
        </is>
      </c>
      <c r="F43" s="70" t="inlineStr">
        <is>
          <t>Median Swing Duration (Days)</t>
        </is>
      </c>
      <c r="G43" s="70" t="inlineStr">
        <is>
          <t>Daily Velocity (% / Day)</t>
        </is>
      </c>
      <c r="H43" s="70" t="inlineStr">
        <is>
          <t>Directional Characteristic</t>
        </is>
      </c>
    </row>
    <row r="44">
      <c r="A44" s="65" t="inlineStr">
        <is>
          <t>≥ 5.0% Swing</t>
        </is>
      </c>
      <c r="B44" s="71" t="n">
        <v>30.6</v>
      </c>
      <c r="C44" s="43" t="inlineStr">
        <is>
          <t>15 – 47 swings / yr</t>
        </is>
      </c>
      <c r="D44" s="72" t="n">
        <v>15.3</v>
      </c>
      <c r="E44" s="72" t="n">
        <v>15.3</v>
      </c>
      <c r="F44" s="73" t="n">
        <v>8</v>
      </c>
      <c r="G44" s="74" t="n">
        <v>0.0075</v>
      </c>
      <c r="H44" s="75" t="inlineStr">
        <is>
          <t>Symmetric noise &amp; micro-trends</t>
        </is>
      </c>
    </row>
    <row r="45">
      <c r="A45" s="65" t="inlineStr">
        <is>
          <t>≥ 8.0% Swing</t>
        </is>
      </c>
      <c r="B45" s="71" t="n">
        <v>18.1</v>
      </c>
      <c r="C45" s="43" t="inlineStr">
        <is>
          <t>11 – 31 swings / yr</t>
        </is>
      </c>
      <c r="D45" s="72" t="n">
        <v>9.1</v>
      </c>
      <c r="E45" s="72" t="n">
        <v>9.1</v>
      </c>
      <c r="F45" s="73" t="n">
        <v>14</v>
      </c>
      <c r="G45" s="74" t="n">
        <v>0.0068</v>
      </c>
      <c r="H45" s="75" t="inlineStr">
        <is>
          <t>Optimal weekly swing target (Highly Reliable)</t>
        </is>
      </c>
    </row>
    <row r="46">
      <c r="A46" s="65" t="inlineStr">
        <is>
          <t>≥ 10.0% Swing</t>
        </is>
      </c>
      <c r="B46" s="71" t="n">
        <v>13.6</v>
      </c>
      <c r="C46" s="43" t="inlineStr">
        <is>
          <t>7 – 25 swings / yr</t>
        </is>
      </c>
      <c r="D46" s="72" t="n">
        <v>6.8</v>
      </c>
      <c r="E46" s="72" t="n">
        <v>6.8</v>
      </c>
      <c r="F46" s="73" t="n">
        <v>17</v>
      </c>
      <c r="G46" s="74" t="n">
        <v>0.0065</v>
      </c>
      <c r="H46" s="75" t="inlineStr">
        <is>
          <t>Core swing building block (Exceeds 1 per month)</t>
        </is>
      </c>
    </row>
    <row r="47">
      <c r="A47" s="65" t="inlineStr">
        <is>
          <t>≥ 12.0% Swing</t>
        </is>
      </c>
      <c r="B47" s="71" t="n">
        <v>11.2</v>
      </c>
      <c r="C47" s="43" t="inlineStr">
        <is>
          <t>3 – 21 swings / yr</t>
        </is>
      </c>
      <c r="D47" s="72" t="n">
        <v>5.6</v>
      </c>
      <c r="E47" s="72" t="n">
        <v>5.6</v>
      </c>
      <c r="F47" s="73" t="n">
        <v>19</v>
      </c>
      <c r="G47" s="74" t="n">
        <v>0.0063</v>
      </c>
      <c r="H47" s="75" t="inlineStr">
        <is>
          <t>Multi-week seasonal expansion swing</t>
        </is>
      </c>
    </row>
    <row r="48">
      <c r="A48" s="65" t="inlineStr">
        <is>
          <t>≥ 15.0% Swing</t>
        </is>
      </c>
      <c r="B48" s="71" t="n">
        <v>7.8</v>
      </c>
      <c r="C48" s="43" t="inlineStr">
        <is>
          <t>3 – 17 swings / yr</t>
        </is>
      </c>
      <c r="D48" s="72" t="n">
        <v>3.9</v>
      </c>
      <c r="E48" s="72" t="n">
        <v>3.9</v>
      </c>
      <c r="F48" s="73" t="n">
        <v>30</v>
      </c>
      <c r="G48" s="74" t="n">
        <v>0.0055</v>
      </c>
      <c r="H48" s="75" t="inlineStr">
        <is>
          <t>Major structural inventory &amp; weather regime</t>
        </is>
      </c>
    </row>
    <row r="49">
      <c r="A49" s="65" t="inlineStr">
        <is>
          <t>≥ 20.0% Swing</t>
        </is>
      </c>
      <c r="B49" s="71" t="n">
        <v>5.2</v>
      </c>
      <c r="C49" s="43" t="inlineStr">
        <is>
          <t>1 – 13 swings / yr</t>
        </is>
      </c>
      <c r="D49" s="72" t="n">
        <v>2.6</v>
      </c>
      <c r="E49" s="72" t="n">
        <v>2.8</v>
      </c>
      <c r="F49" s="73" t="n">
        <v>41</v>
      </c>
      <c r="G49" s="74" t="n">
        <v>0.0051</v>
      </c>
      <c r="H49" s="75" t="inlineStr">
        <is>
          <t>Macro seasonal reversal (Winter / Summer)</t>
        </is>
      </c>
    </row>
    <row r="50">
      <c r="A50" s="65" t="inlineStr">
        <is>
          <t>≥ 25.0% Swing</t>
        </is>
      </c>
      <c r="B50" s="71" t="n">
        <v>4.5</v>
      </c>
      <c r="C50" s="43" t="inlineStr">
        <is>
          <t>1 – 12 swings / yr</t>
        </is>
      </c>
      <c r="D50" s="72" t="n">
        <v>2.4</v>
      </c>
      <c r="E50" s="72" t="n">
        <v>2.8</v>
      </c>
      <c r="F50" s="73" t="n">
        <v>42</v>
      </c>
      <c r="G50" s="74" t="n">
        <v>0.0058</v>
      </c>
      <c r="H50" s="75" t="inlineStr">
        <is>
          <t>Severe supply/demand dislocation shock</t>
        </is>
      </c>
    </row>
    <row r="51">
      <c r="A51" s="65" t="inlineStr">
        <is>
          <t>≥ 30.0% Swing</t>
        </is>
      </c>
      <c r="B51" s="71" t="n">
        <v>3.5</v>
      </c>
      <c r="C51" s="43" t="inlineStr">
        <is>
          <t>1 – 10 swings / yr</t>
        </is>
      </c>
      <c r="D51" s="72" t="n">
        <v>2.2</v>
      </c>
      <c r="E51" s="72" t="n">
        <v>2.2</v>
      </c>
      <c r="F51" s="73" t="n">
        <v>55</v>
      </c>
      <c r="G51" s="74" t="n">
        <v>0.0054</v>
      </c>
      <c r="H51" s="75" t="inlineStr">
        <is>
          <t>Historic multi-month cycle trend</t>
        </is>
      </c>
    </row>
    <row r="53">
      <c r="A53" s="11" t="inlineStr">
        <is>
          <t>5. CONTRACT LIFECYCLE RANGE DISTRIBUTION (Across All 207 Expiries in prices.db)</t>
        </is>
      </c>
    </row>
    <row r="54">
      <c r="A54" s="70" t="inlineStr">
        <is>
          <t>Contract Range Metric (Active Low to High)</t>
        </is>
      </c>
      <c r="B54" s="70" t="inlineStr">
        <is>
          <t>% of Historical Contracts Experiencing Range</t>
        </is>
      </c>
      <c r="C54" s="70" t="inlineStr">
        <is>
          <t>Empirical Probability Assessment</t>
        </is>
      </c>
      <c r="D54" s="70" t="inlineStr">
        <is>
          <t>Actionable Execution Edge</t>
        </is>
      </c>
    </row>
    <row r="55">
      <c r="A55" s="64" t="inlineStr">
        <is>
          <t>Contract Range ≥ 10.0%</t>
        </is>
      </c>
      <c r="B55" s="67" t="n">
        <v>0.99</v>
      </c>
      <c r="C55" s="43" t="inlineStr">
        <is>
          <t>99.0% (Near Mathematical Certainty)</t>
        </is>
      </c>
      <c r="D55" s="75" t="inlineStr">
        <is>
          <t>Virtually every single contract delivers at least a 10% tradable wave</t>
        </is>
      </c>
    </row>
    <row r="56">
      <c r="A56" s="64" t="inlineStr">
        <is>
          <t>Contract Range ≥ 15.0%</t>
        </is>
      </c>
      <c r="B56" s="67" t="n">
        <v>0.923</v>
      </c>
      <c r="C56" s="43" t="inlineStr">
        <is>
          <t>92.3% (9 out of 10 contracts)</t>
        </is>
      </c>
      <c r="D56" s="75" t="inlineStr">
        <is>
          <t>Capturing an 8% to 10% slice of a 15%+ wave is statistically routine</t>
        </is>
      </c>
    </row>
    <row r="57">
      <c r="A57" s="64" t="inlineStr">
        <is>
          <t>Contract Range ≥ 20.0%</t>
        </is>
      </c>
      <c r="B57" s="67" t="n">
        <v>0.797</v>
      </c>
      <c r="C57" s="43" t="inlineStr">
        <is>
          <t>79.7% (8 out of 10 contracts)</t>
        </is>
      </c>
      <c r="D57" s="75" t="inlineStr">
        <is>
          <t>Massive room to capture target gains without top/bottom ticking</t>
        </is>
      </c>
    </row>
    <row r="58">
      <c r="A58" s="64" t="inlineStr">
        <is>
          <t>Contract Range ≥ 25.0%</t>
        </is>
      </c>
      <c r="B58" s="67" t="n">
        <v>0.7</v>
      </c>
      <c r="C58" s="43" t="inlineStr">
        <is>
          <t>70.0% (7 out of 10 contracts)</t>
        </is>
      </c>
      <c r="D58" s="75" t="inlineStr">
        <is>
          <t>High volatility regime provides ample swing headroom</t>
        </is>
      </c>
    </row>
    <row r="59">
      <c r="A59" s="64" t="inlineStr">
        <is>
          <t>Contract Range ≥ 30.0%</t>
        </is>
      </c>
      <c r="B59" s="67" t="n">
        <v>0.556</v>
      </c>
      <c r="C59" s="43" t="inlineStr">
        <is>
          <t>55.6% (Over half of all contracts)</t>
        </is>
      </c>
      <c r="D59" s="75" t="inlineStr">
        <is>
          <t>Major seasonal trending contracts deliver expansive swings</t>
        </is>
      </c>
    </row>
    <row r="60">
      <c r="A60" s="64" t="inlineStr">
        <is>
          <t>Median Active Contract Range</t>
        </is>
      </c>
      <c r="B60" s="67" t="n">
        <v>0.329</v>
      </c>
      <c r="C60" s="43" t="inlineStr">
        <is>
          <t>32.9% Median Trough-to-Peak</t>
        </is>
      </c>
      <c r="D60" s="75" t="inlineStr">
        <is>
          <t>The typical MCX Natural Gas contract swings by 32.9% in its active lifecycle</t>
        </is>
      </c>
    </row>
    <row r="61">
      <c r="A61" s="64" t="inlineStr">
        <is>
          <t>Directional Asymmetry: High First (Short Dominant)</t>
        </is>
      </c>
      <c r="B61" s="67" t="n">
        <v>0.609</v>
      </c>
      <c r="C61" s="43" t="inlineStr">
        <is>
          <t>60.9% of Contracts</t>
        </is>
      </c>
      <c r="D61" s="75" t="inlineStr">
        <is>
          <t>Contracts tumble faster than they rise; short setups offer superior velocity</t>
        </is>
      </c>
    </row>
    <row r="62">
      <c r="A62" s="64" t="inlineStr">
        <is>
          <t>Directional Asymmetry: Low First (Long Dominant)</t>
        </is>
      </c>
      <c r="B62" s="67" t="n">
        <v>0.391</v>
      </c>
      <c r="C62" s="43" t="inlineStr">
        <is>
          <t>39.1% of Contracts</t>
        </is>
      </c>
      <c r="D62" s="75" t="inlineStr">
        <is>
          <t>Bull accumulation takes longer base-building periods (spring/summer)</t>
        </is>
      </c>
    </row>
    <row r="64">
      <c r="A64" s="11" t="inlineStr">
        <is>
          <t>6. CAPITAL MILESTONE DEPLOYMENT SCHEDULE (Maintaining 50% Cash Buffer up to SEBI Limit)</t>
        </is>
      </c>
    </row>
    <row r="65" ht="28" customHeight="1">
      <c r="A65" s="28" t="inlineStr">
        <is>
          <t>Growth Milestone Stage</t>
        </is>
      </c>
      <c r="B65" s="28" t="inlineStr">
        <is>
          <t>Account Equity (₹ Cr)</t>
        </is>
      </c>
      <c r="C65" s="28" t="inlineStr">
        <is>
          <t>Pledged Margin (₹ Cr)</t>
        </is>
      </c>
      <c r="D65" s="28" t="inlineStr">
        <is>
          <t>Liquid Cash Buffer (₹ Cr)</t>
        </is>
      </c>
      <c r="E65" s="28" t="inlineStr">
        <is>
          <t>MCX Lots Deployed</t>
        </is>
      </c>
      <c r="F65" s="28" t="inlineStr">
        <is>
          <t>Total Notional Exposure (₹ Cr)</t>
        </is>
      </c>
      <c r="G65" s="28" t="inlineStr">
        <is>
          <t>Effective Leverage</t>
        </is>
      </c>
      <c r="H65" s="28" t="inlineStr">
        <is>
          <t>Exchange Limit Headroom</t>
        </is>
      </c>
      <c r="I65" s="28" t="inlineStr">
        <is>
          <t>Execution Architecture &amp; Liquidity Reality</t>
        </is>
      </c>
    </row>
    <row r="66">
      <c r="A66" s="64" t="inlineStr">
        <is>
          <t>Genesis Trading Desk</t>
        </is>
      </c>
      <c r="B66" s="76" t="n">
        <v>0.6</v>
      </c>
      <c r="C66" s="37">
        <f>B66*0.50</f>
        <v/>
      </c>
      <c r="D66" s="37">
        <f>B66-C66</f>
        <v/>
      </c>
      <c r="E66" s="39">
        <f>INT((C66*10000000)/B$13)</f>
        <v/>
      </c>
      <c r="F66" s="37">
        <f>(E66*B$12)/10000000</f>
        <v/>
      </c>
      <c r="G66" s="41">
        <f>F66/B66</f>
        <v/>
      </c>
      <c r="H66" s="73">
        <f>4800-E66</f>
        <v/>
      </c>
      <c r="I66" s="75" t="inlineStr">
        <is>
          <t>Zero execution friction; 100% market fill via TWAP</t>
        </is>
      </c>
    </row>
    <row r="67">
      <c r="A67" s="64" t="inlineStr">
        <is>
          <t>Milestone 1: Scale Proof</t>
        </is>
      </c>
      <c r="B67" s="76" t="n">
        <v>1</v>
      </c>
      <c r="C67" s="37">
        <f>B67*0.50</f>
        <v/>
      </c>
      <c r="D67" s="37">
        <f>B67-C67</f>
        <v/>
      </c>
      <c r="E67" s="39">
        <f>INT((C67*10000000)/B$13)</f>
        <v/>
      </c>
      <c r="F67" s="37">
        <f>(E67*B$12)/10000000</f>
        <v/>
      </c>
      <c r="G67" s="41">
        <f>F67/B67</f>
        <v/>
      </c>
      <c r="H67" s="73">
        <f>4800-E67</f>
        <v/>
      </c>
      <c r="I67" s="75" t="inlineStr">
        <is>
          <t>Frictionless execution; absorbs -16.0% flash moves</t>
        </is>
      </c>
    </row>
    <row r="68">
      <c r="A68" s="64" t="inlineStr">
        <is>
          <t>Milestone 2: Multi-Crore Desk</t>
        </is>
      </c>
      <c r="B68" s="76" t="n">
        <v>3</v>
      </c>
      <c r="C68" s="37">
        <f>B68*0.50</f>
        <v/>
      </c>
      <c r="D68" s="37">
        <f>B68-C68</f>
        <v/>
      </c>
      <c r="E68" s="39">
        <f>INT((C68*10000000)/B$13)</f>
        <v/>
      </c>
      <c r="F68" s="37">
        <f>(E68*B$12)/10000000</f>
        <v/>
      </c>
      <c r="G68" s="41">
        <f>F68/B68</f>
        <v/>
      </c>
      <c r="H68" s="73">
        <f>4800-E68</f>
        <v/>
      </c>
      <c r="I68" s="75" t="inlineStr">
        <is>
          <t>Comfortable absorption in daily 25,000+ lot volume</t>
        </is>
      </c>
    </row>
    <row r="69">
      <c r="A69" s="64" t="inlineStr">
        <is>
          <t>Milestone 3: Institutional Tier 1</t>
        </is>
      </c>
      <c r="B69" s="76" t="n">
        <v>5</v>
      </c>
      <c r="C69" s="37">
        <f>B69*0.50</f>
        <v/>
      </c>
      <c r="D69" s="37">
        <f>B69-C69</f>
        <v/>
      </c>
      <c r="E69" s="39">
        <f>INT((C69*10000000)/B$13)</f>
        <v/>
      </c>
      <c r="F69" s="37">
        <f>(E69*B$12)/10000000</f>
        <v/>
      </c>
      <c r="G69" s="41">
        <f>F69/B69</f>
        <v/>
      </c>
      <c r="H69" s="73">
        <f>4800-E69</f>
        <v/>
      </c>
      <c r="I69" s="75" t="inlineStr">
        <is>
          <t>TWAP slices across 30-minute liquid US overlap</t>
        </is>
      </c>
    </row>
    <row r="70">
      <c r="A70" s="64" t="inlineStr">
        <is>
          <t>Milestone 4: Institutional Tier 2</t>
        </is>
      </c>
      <c r="B70" s="76" t="n">
        <v>10</v>
      </c>
      <c r="C70" s="37">
        <f>B70*0.50</f>
        <v/>
      </c>
      <c r="D70" s="37">
        <f>B70-C70</f>
        <v/>
      </c>
      <c r="E70" s="39">
        <f>INT((C70*10000000)/B$13)</f>
        <v/>
      </c>
      <c r="F70" s="37">
        <f>(E70*B$12)/10000000</f>
        <v/>
      </c>
      <c r="G70" s="41">
        <f>F70/B70</f>
        <v/>
      </c>
      <c r="H70" s="73">
        <f>4800-E70</f>
        <v/>
      </c>
      <c r="I70" s="75" t="inlineStr">
        <is>
          <t>Requires disciplined 3-day passive inventory build</t>
        </is>
      </c>
    </row>
    <row r="71">
      <c r="A71" s="64" t="inlineStr">
        <is>
          <t>Milestone 5: Friction Gateway</t>
        </is>
      </c>
      <c r="B71" s="76" t="n">
        <v>20</v>
      </c>
      <c r="C71" s="37">
        <f>B71*0.50</f>
        <v/>
      </c>
      <c r="D71" s="37">
        <f>B71-C71</f>
        <v/>
      </c>
      <c r="E71" s="39">
        <f>INT((C71*10000000)/B$13)</f>
        <v/>
      </c>
      <c r="F71" s="37">
        <f>(E71*B$12)/10000000</f>
        <v/>
      </c>
      <c r="G71" s="41">
        <f>F71/B71</f>
        <v/>
      </c>
      <c r="H71" s="73">
        <f>4800-E71</f>
        <v/>
      </c>
      <c r="I71" s="75" t="inlineStr">
        <is>
          <t>Roll execution over 4-5 days; slippage expands to 0.40 pts</t>
        </is>
      </c>
    </row>
    <row r="72">
      <c r="A72" s="59" t="inlineStr">
        <is>
          <t>Domestic Regulatory Ceiling (SEBI Cap)</t>
        </is>
      </c>
      <c r="B72" s="26" t="n">
        <v>54.051</v>
      </c>
      <c r="C72" s="45">
        <f>(E72*B$13)/10000000</f>
        <v/>
      </c>
      <c r="D72" s="45">
        <f>B72-C72</f>
        <v/>
      </c>
      <c r="E72" s="47" t="n">
        <v>4800</v>
      </c>
      <c r="F72" s="45">
        <f>(E72*B$12)/10000000</f>
        <v/>
      </c>
      <c r="G72" s="25">
        <f>F72/B72</f>
        <v/>
      </c>
      <c r="H72" s="81">
        <f>4800-E72</f>
        <v/>
      </c>
      <c r="I72" s="77" t="inlineStr">
        <is>
          <t>Hard domestic ceiling (4,800-lot SEBI limit reached)</t>
        </is>
      </c>
    </row>
    <row r="73">
      <c r="A73" s="78" t="inlineStr">
        <is>
          <t>Post-Cap Surplus Treasury (Scale Stage)</t>
        </is>
      </c>
      <c r="B73" s="79" t="n">
        <v>100</v>
      </c>
      <c r="C73" s="52">
        <f>(E73*B$13)/10000000</f>
        <v/>
      </c>
      <c r="D73" s="52">
        <f>B73-C73</f>
        <v/>
      </c>
      <c r="E73" s="54" t="n">
        <v>4800</v>
      </c>
      <c r="F73" s="52">
        <f>(E73*B$12)/10000000</f>
        <v/>
      </c>
      <c r="G73" s="56">
        <f>F73/B73</f>
        <v/>
      </c>
      <c r="H73" s="58" t="inlineStr">
        <is>
          <t>Capped; ₹73.12 Cr Yield</t>
        </is>
      </c>
      <c r="I73" s="80" t="inlineStr">
        <is>
          <t>₹26.88 Cr trades MCX (4,800 lots); ₹73.12 Cr earns 6.5% idle yield / GIFT City IFSC</t>
        </is>
      </c>
    </row>
    <row r="76">
      <c r="A76" s="11" t="inlineStr">
        <is>
          <t>7. OPTIMAL 3-TRADE SEASONAL CALENDAR ARCHITECTURE (Only ~50 Days Active Exposure / Year)</t>
        </is>
      </c>
    </row>
    <row r="77">
      <c r="A77" s="13" t="inlineStr">
        <is>
          <t>Annual Trade Window</t>
        </is>
      </c>
      <c r="B77" s="13" t="inlineStr">
        <is>
          <t>Optimal Execution Months</t>
        </is>
      </c>
      <c r="C77" s="13" t="inlineStr">
        <is>
          <t>Directional Bias</t>
        </is>
      </c>
      <c r="D77" s="13" t="inlineStr">
        <is>
          <t>Target Underlying Move</t>
        </is>
      </c>
      <c r="E77" s="13" t="inlineStr">
        <is>
          <t>Active Trade Duration</t>
        </is>
      </c>
      <c r="F77" s="13" t="inlineStr">
        <is>
          <t>Historical Edge &amp; Seasonal Catalyst</t>
        </is>
      </c>
      <c r="G77" s="13" t="inlineStr">
        <is>
          <t>Interim Account State</t>
        </is>
      </c>
    </row>
    <row r="78">
      <c r="A78" s="64" t="inlineStr">
        <is>
          <t>Trade 1: Winter Meltdown Short</t>
        </is>
      </c>
      <c r="B78" s="43" t="inlineStr">
        <is>
          <t>January / February</t>
        </is>
      </c>
      <c r="C78" s="65" t="inlineStr">
        <is>
          <t>SHORT Front Month</t>
        </is>
      </c>
      <c r="D78" s="60" t="inlineStr">
        <is>
          <t>8.0% to 12.0% Drop</t>
        </is>
      </c>
      <c r="E78" s="43" t="inlineStr">
        <is>
          <t>15 – 20 trading days</t>
        </is>
      </c>
      <c r="F78" s="75" t="inlineStr">
        <is>
          <t>Peak winter heating demand subsides; heating degree days drop; inventory rollover</t>
        </is>
      </c>
      <c r="G78" s="43" t="inlineStr">
        <is>
          <t>100% Cash / T-Bills (March)</t>
        </is>
      </c>
    </row>
    <row r="79">
      <c r="A79" s="64" t="inlineStr">
        <is>
          <t>Trade 2: Spring Shoulder Long</t>
        </is>
      </c>
      <c r="B79" s="43" t="inlineStr">
        <is>
          <t>April / May</t>
        </is>
      </c>
      <c r="C79" s="65" t="inlineStr">
        <is>
          <t>LONG Front Month</t>
        </is>
      </c>
      <c r="D79" s="60" t="inlineStr">
        <is>
          <t>8.0% to 10.0% Rally</t>
        </is>
      </c>
      <c r="E79" s="43" t="inlineStr">
        <is>
          <t>14 – 18 trading days</t>
        </is>
      </c>
      <c r="F79" s="75" t="inlineStr">
        <is>
          <t>70% Bull Win Rate in prices.db; spring production shut-ins &amp; summer refill anxiety</t>
        </is>
      </c>
      <c r="G79" s="43" t="inlineStr">
        <is>
          <t>100% Cash / T-Bills (June / July)</t>
        </is>
      </c>
    </row>
    <row r="80">
      <c r="A80" s="64" t="inlineStr">
        <is>
          <t>Trade 3: Late Summer Swing</t>
        </is>
      </c>
      <c r="B80" s="43" t="inlineStr">
        <is>
          <t>August / September</t>
        </is>
      </c>
      <c r="C80" s="65" t="inlineStr">
        <is>
          <t>LONG / SWING Front Month</t>
        </is>
      </c>
      <c r="D80" s="60" t="inlineStr">
        <is>
          <t>8.0% to 10.0% Swing</t>
        </is>
      </c>
      <c r="E80" s="43" t="inlineStr">
        <is>
          <t>14 – 16 trading days</t>
        </is>
      </c>
      <c r="F80" s="75" t="inlineStr">
        <is>
          <t>70% Bull Win Rate in prices.db; peak summer A/C burn + Gulf hurricane premium</t>
        </is>
      </c>
      <c r="G80" s="43" t="inlineStr">
        <is>
          <t>Full Annual Target Achieved!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2026-10-14T21:00:17Z</dcterms:created>
  <dcterms:modified xmlns:dcterms="http://purl.org/dc/terms/" xmlns:xsi="http://www.w3.org/2001/XMLSchema-instance" xsi:type="dcterms:W3CDTF">2026-10-21T10:41:35Z</dcterms:modified>
</cp:coreProperties>
</file>