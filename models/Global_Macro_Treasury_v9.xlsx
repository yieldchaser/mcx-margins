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8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CX Company vs Personal" sheetId="2" state="visible" r:id="rId2"/>
    <sheet xmlns:r="http://schemas.openxmlformats.org/officeDocument/2006/relationships" name="Shipping Engine" sheetId="3" state="visible" r:id="rId3"/>
    <sheet xmlns:r="http://schemas.openxmlformats.org/officeDocument/2006/relationships" name="NG Scenarios" sheetId="4" state="visible" r:id="rId4"/>
    <sheet xmlns:r="http://schemas.openxmlformats.org/officeDocument/2006/relationships" name="NG GIFT Bridge" sheetId="5" state="visible" r:id="rId5"/>
    <sheet xmlns:r="http://schemas.openxmlformats.org/officeDocument/2006/relationships" name="NG Risk and Sizing" sheetId="6" state="visible" r:id="rId6"/>
    <sheet xmlns:r="http://schemas.openxmlformats.org/officeDocument/2006/relationships" name="NG Inputs" sheetId="7" state="visible" r:id="rId7"/>
    <sheet xmlns:r="http://schemas.openxmlformats.org/officeDocument/2006/relationships" name="NG Data" sheetId="8" state="visible" r:id="rId8"/>
    <sheet xmlns:r="http://schemas.openxmlformats.org/officeDocument/2006/relationships" name="US ETF Engine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7">
    <numFmt numFmtId="164" formatCode="0.000%"/>
    <numFmt numFmtId="165" formatCode="\₹#\,##\,##\,##\,##0"/>
    <numFmt numFmtId="166" formatCode="0.0%"/>
    <numFmt numFmtId="167" formatCode="\₹#\,##\,##\,##0"/>
    <numFmt numFmtId="168" formatCode="0.00\x"/>
    <numFmt numFmtId="169" formatCode="0.000"/>
    <numFmt numFmtId="170" formatCode="\₹#\,##\,##0"/>
    <numFmt numFmtId="171" formatCode="\₹#,##0"/>
    <numFmt numFmtId="172" formatCode="\₹#,##0.00&quot; Cr&quot;"/>
    <numFmt numFmtId="173" formatCode="0.0\x"/>
    <numFmt numFmtId="174" formatCode="\$#,##0"/>
    <numFmt numFmtId="175" formatCode="0.0"/>
    <numFmt numFmtId="176" formatCode="0.00&quot;×&quot;"/>
    <numFmt numFmtId="177" formatCode="0.0000"/>
    <numFmt numFmtId="178" formatCode="&quot;₹&quot;#,##0.00&quot; Cr&quot;"/>
    <numFmt numFmtId="179" formatCode="&quot;$&quot;#,##0"/>
    <numFmt numFmtId="180" formatCode="#,##0.00&quot; L&quot;"/>
  </numFmts>
  <fonts count="45"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5"/>
    </font>
    <font>
      <name val="Calibri"/>
      <charset val="1"/>
      <family val="2"/>
      <i val="1"/>
      <color rgb="FFDCE6F2"/>
      <sz val="9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color rgb="FF1A1A2E"/>
      <sz val="10"/>
    </font>
    <font>
      <name val="Calibri"/>
      <charset val="1"/>
      <family val="2"/>
      <b val="1"/>
      <color rgb="FF0000C0"/>
      <sz val="10"/>
    </font>
    <font>
      <name val="Calibri"/>
      <charset val="1"/>
      <family val="2"/>
      <i val="1"/>
      <color rgb="FF595959"/>
      <sz val="8"/>
    </font>
    <font>
      <name val="Calibri"/>
      <charset val="1"/>
      <family val="2"/>
      <color rgb="FF1A1A2E"/>
      <sz val="9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A1A2E"/>
      <sz val="10"/>
    </font>
    <font>
      <name val="Calibri"/>
      <charset val="1"/>
      <family val="2"/>
      <b val="1"/>
      <color rgb="FF1F4E79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C0"/>
      <sz val="10"/>
    </font>
    <font>
      <name val="Calibri"/>
      <family val="2"/>
      <i val="1"/>
      <color rgb="FF595959"/>
      <sz val="8"/>
    </font>
    <font>
      <name val="Calibri"/>
      <charset val="1"/>
      <family val="2"/>
      <b val="1"/>
      <color rgb="FF1F3864"/>
      <sz val="10"/>
    </font>
    <font>
      <name val="Calibri"/>
      <charset val="1"/>
      <family val="2"/>
      <color rgb="FF595959"/>
      <sz val="8"/>
    </font>
    <font>
      <name val="Calibri"/>
      <charset val="1"/>
      <family val="2"/>
      <color rgb="FF33373D"/>
      <sz val="9"/>
    </font>
    <font>
      <name val="Arial"/>
      <charset val="1"/>
      <family val="2"/>
      <b val="1"/>
      <sz val="11"/>
    </font>
    <font>
      <name val="Calibri"/>
      <charset val="1"/>
      <family val="2"/>
      <b val="1"/>
      <color rgb="FF1E6B3A"/>
      <sz val="10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i val="1"/>
      <color rgb="FFDCE6F2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i val="1"/>
      <color rgb="FF595959"/>
      <sz val="9"/>
    </font>
    <font>
      <name val="Calibri"/>
      <charset val="1"/>
      <family val="2"/>
      <b val="1"/>
      <color rgb="FF1A1A2E"/>
      <sz val="9"/>
    </font>
    <font>
      <name val="Calibri"/>
      <charset val="1"/>
      <family val="2"/>
      <color rgb="FF1E6B3A"/>
      <sz val="9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i val="1"/>
      <color rgb="FF2E4D7B"/>
      <sz val="9"/>
    </font>
    <font>
      <name val="Calibri"/>
      <charset val="1"/>
      <family val="2"/>
      <b val="1"/>
      <color rgb="FF0000C0"/>
      <sz val="9"/>
    </font>
    <font>
      <name val="Calibri"/>
      <charset val="1"/>
      <family val="2"/>
      <color rgb="FF1E6B3A"/>
      <sz val="8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color rgb="FF9C6500"/>
      <sz val="9"/>
    </font>
    <font>
      <name val="Calibri"/>
      <b val="1"/>
      <color rgb="001F3864"/>
    </font>
    <font>
      <name val="Calibri"/>
      <b val="1"/>
      <color rgb="001E6B3A"/>
    </font>
    <font>
      <name val="Calibri"/>
      <b val="1"/>
      <color rgb="00006100"/>
    </font>
    <font>
      <name val="Calibri"/>
      <b val="1"/>
      <color rgb="00FFFFFF"/>
    </font>
    <font>
      <name val="Calibri"/>
      <color rgb="001A1A2E"/>
    </font>
    <font>
      <name val="Calibri"/>
      <b val="1"/>
      <color rgb="000000C0"/>
    </font>
    <font>
      <name val="Calibri"/>
      <b val="1"/>
      <color rgb="001F4E79"/>
    </font>
    <font>
      <name val="Calibri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C00000"/>
    </font>
    <font>
      <name val="Calibri"/>
      <color rgb="00C00000"/>
      <sz val="9"/>
    </font>
    <font>
      <name val="Calibri"/>
      <color rgb="001A1A2E"/>
      <sz val="10"/>
    </font>
    <font>
      <color rgb="00999999"/>
      <sz val="8"/>
    </font>
    <font>
      <name val="Calibri"/>
      <b val="1"/>
      <color rgb="000563C1"/>
      <u val="single"/>
    </font>
  </fonts>
  <fills count="22">
    <fill>
      <patternFill/>
    </fill>
    <fill>
      <patternFill patternType="gray125"/>
    </fill>
    <fill>
      <patternFill patternType="solid">
        <fgColor rgb="FF1F3864"/>
        <bgColor rgb="FF33373D"/>
      </patternFill>
    </fill>
    <fill>
      <patternFill patternType="solid">
        <fgColor rgb="FF2E4D7B"/>
        <bgColor rgb="FF1F4E79"/>
      </patternFill>
    </fill>
    <fill>
      <patternFill patternType="solid">
        <fgColor rgb="FFFBF3D5"/>
        <bgColor rgb="FFFFF2CC"/>
      </patternFill>
    </fill>
    <fill>
      <patternFill patternType="solid">
        <fgColor rgb="FFFFFFFF"/>
        <bgColor rgb="FFF4F8E8"/>
      </patternFill>
    </fill>
    <fill>
      <patternFill patternType="solid">
        <fgColor rgb="FFEAEEF4"/>
        <bgColor rgb="FFEDF3FB"/>
      </patternFill>
    </fill>
    <fill>
      <patternFill patternType="solid">
        <fgColor rgb="FFC9A227"/>
        <bgColor rgb="FF99CC00"/>
      </patternFill>
    </fill>
    <fill>
      <patternFill patternType="solid">
        <fgColor rgb="FFEDF3FB"/>
        <bgColor rgb="FFEAEEF4"/>
      </patternFill>
    </fill>
    <fill>
      <patternFill patternType="solid">
        <fgColor rgb="FFF4F8E8"/>
        <bgColor rgb="FFECF2DC"/>
      </patternFill>
    </fill>
    <fill>
      <patternFill patternType="solid">
        <fgColor rgb="FFECF2DC"/>
        <bgColor rgb="FFF4F8E8"/>
      </patternFill>
    </fill>
    <fill>
      <patternFill patternType="solid">
        <fgColor rgb="FF1E6B3A"/>
        <bgColor rgb="FF1F4E79"/>
      </patternFill>
    </fill>
    <fill>
      <patternFill patternType="solid">
        <fgColor rgb="FFFCE4E4"/>
        <bgColor rgb="FFFBF3D5"/>
      </patternFill>
    </fill>
    <fill>
      <patternFill patternType="solid">
        <fgColor rgb="FFFFF2CC"/>
        <bgColor rgb="FFFBF3D5"/>
      </patternFill>
    </fill>
    <fill>
      <patternFill patternType="solid">
        <fgColor rgb="00F4F8E8"/>
      </patternFill>
    </fill>
    <fill>
      <patternFill patternType="solid">
        <fgColor rgb="00E2F0D9"/>
      </patternFill>
    </fill>
    <fill>
      <patternFill patternType="solid">
        <fgColor rgb="00C9A227"/>
      </patternFill>
    </fill>
    <fill>
      <patternFill patternType="solid">
        <fgColor rgb="002F5597"/>
      </patternFill>
    </fill>
    <fill>
      <patternFill patternType="solid">
        <fgColor rgb="00FBF3D5"/>
      </patternFill>
    </fill>
    <fill>
      <patternFill patternType="solid">
        <fgColor rgb="00EDF3FB"/>
      </patternFill>
    </fill>
    <fill>
      <patternFill patternType="solid">
        <fgColor rgb="00F7F7F9"/>
      </patternFill>
    </fill>
    <fill>
      <patternFill patternType="solid">
        <fgColor rgb="001F3864"/>
      </patternFill>
    </fill>
  </fills>
  <borders count="7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  <border>
      <left/>
      <right/>
      <top style="thin">
        <color rgb="FFBFC9D9"/>
      </top>
      <bottom/>
      <diagonal/>
    </border>
    <border>
      <left/>
      <right style="thin">
        <color rgb="FFBFC9D9"/>
      </right>
      <top style="thin">
        <color rgb="FFBFC9D9"/>
      </top>
      <bottom/>
      <diagonal/>
    </border>
    <border>
      <left/>
      <right/>
      <top style="thin">
        <color rgb="FFBFC9D9"/>
      </top>
      <bottom style="thin">
        <color rgb="FFBFC9D9"/>
      </bottom>
      <diagonal/>
    </border>
    <border>
      <left/>
      <right style="thin">
        <color rgb="FFBFC9D9"/>
      </right>
      <top style="thin">
        <color rgb="FFBFC9D9"/>
      </top>
      <bottom style="thin">
        <color rgb="FFBFC9D9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8" fillId="7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4" borderId="1" applyAlignment="1" pivotButton="0" quotePrefix="0" xfId="0">
      <alignment horizontal="right" indent="1"/>
    </xf>
    <xf numFmtId="0" fontId="6" fillId="0" borderId="0" pivotButton="0" quotePrefix="0" xfId="0"/>
    <xf numFmtId="10" fontId="5" fillId="4" borderId="1" applyAlignment="1" pivotButton="0" quotePrefix="0" xfId="0">
      <alignment horizontal="right" indent="1"/>
    </xf>
    <xf numFmtId="165" fontId="5" fillId="4" borderId="1" applyAlignment="1" pivotButton="0" quotePrefix="0" xfId="0">
      <alignment horizontal="right" indent="1"/>
    </xf>
    <xf numFmtId="166" fontId="5" fillId="4" borderId="1" applyAlignment="1" pivotButton="0" quotePrefix="0" xfId="0">
      <alignment horizontal="right" indent="1"/>
    </xf>
    <xf numFmtId="167" fontId="5" fillId="4" borderId="1" applyAlignment="1" pivotButton="0" quotePrefix="0" xfId="0">
      <alignment horizontal="right" indent="1"/>
    </xf>
    <xf numFmtId="0" fontId="7" fillId="5" borderId="1" applyAlignment="1" pivotButton="0" quotePrefix="0" xfId="0">
      <alignment vertical="center" indent="1"/>
    </xf>
    <xf numFmtId="10" fontId="7" fillId="5" borderId="1" applyAlignment="1" pivotButton="0" quotePrefix="0" xfId="0">
      <alignment horizontal="right" vertical="center" indent="1"/>
    </xf>
    <xf numFmtId="168" fontId="7" fillId="5" borderId="1" applyAlignment="1" pivotButton="0" quotePrefix="0" xfId="0">
      <alignment horizontal="right" vertical="center" indent="1"/>
    </xf>
    <xf numFmtId="0" fontId="7" fillId="6" borderId="1" applyAlignment="1" pivotButton="0" quotePrefix="0" xfId="0">
      <alignment vertical="center" indent="1"/>
    </xf>
    <xf numFmtId="10" fontId="7" fillId="6" borderId="1" applyAlignment="1" pivotButton="0" quotePrefix="0" xfId="0">
      <alignment horizontal="right" vertical="center" indent="1"/>
    </xf>
    <xf numFmtId="168" fontId="7" fillId="6" borderId="1" applyAlignment="1" pivotButton="0" quotePrefix="0" xfId="0">
      <alignment horizontal="right" vertical="center" indent="1"/>
    </xf>
    <xf numFmtId="0" fontId="7" fillId="5" borderId="1" applyAlignment="1" pivotButton="0" quotePrefix="0" xfId="0">
      <alignment horizontal="center" indent="1"/>
    </xf>
    <xf numFmtId="0" fontId="7" fillId="5" borderId="1" applyAlignment="1" pivotButton="0" quotePrefix="0" xfId="0">
      <alignment horizontal="right" indent="1"/>
    </xf>
    <xf numFmtId="10" fontId="7" fillId="5" borderId="1" applyAlignment="1" pivotButton="0" quotePrefix="0" xfId="0">
      <alignment horizontal="right" indent="1"/>
    </xf>
    <xf numFmtId="168" fontId="7" fillId="5" borderId="1" applyAlignment="1" pivotButton="0" quotePrefix="0" xfId="0">
      <alignment horizontal="right" indent="1"/>
    </xf>
    <xf numFmtId="166" fontId="7" fillId="5" borderId="1" applyAlignment="1" pivotButton="0" quotePrefix="0" xfId="0">
      <alignment horizontal="right" indent="1"/>
    </xf>
    <xf numFmtId="0" fontId="7" fillId="6" borderId="1" applyAlignment="1" pivotButton="0" quotePrefix="0" xfId="0">
      <alignment horizontal="center" indent="1"/>
    </xf>
    <xf numFmtId="0" fontId="7" fillId="6" borderId="1" applyAlignment="1" pivotButton="0" quotePrefix="0" xfId="0">
      <alignment horizontal="right" indent="1"/>
    </xf>
    <xf numFmtId="10" fontId="7" fillId="6" borderId="1" applyAlignment="1" pivotButton="0" quotePrefix="0" xfId="0">
      <alignment horizontal="right" indent="1"/>
    </xf>
    <xf numFmtId="168" fontId="7" fillId="6" borderId="1" applyAlignment="1" pivotButton="0" quotePrefix="0" xfId="0">
      <alignment horizontal="right" indent="1"/>
    </xf>
    <xf numFmtId="166" fontId="7" fillId="6" borderId="1" applyAlignment="1" pivotButton="0" quotePrefix="0" xfId="0">
      <alignment horizontal="right" indent="1"/>
    </xf>
    <xf numFmtId="0" fontId="9" fillId="7" borderId="0" applyAlignment="1" pivotButton="0" quotePrefix="0" xfId="0">
      <alignment vertical="center" indent="1"/>
    </xf>
    <xf numFmtId="2" fontId="10" fillId="8" borderId="1" applyAlignment="1" pivotButton="0" quotePrefix="0" xfId="0">
      <alignment horizontal="right" indent="1"/>
    </xf>
    <xf numFmtId="10" fontId="10" fillId="8" borderId="1" applyAlignment="1" pivotButton="0" quotePrefix="0" xfId="0">
      <alignment horizontal="right" indent="1"/>
    </xf>
    <xf numFmtId="169" fontId="10" fillId="8" borderId="1" applyAlignment="1" pivotButton="0" quotePrefix="0" xfId="0">
      <alignment horizontal="right" indent="1"/>
    </xf>
    <xf numFmtId="0" fontId="11" fillId="0" borderId="0" pivotButton="0" quotePrefix="0" xfId="0"/>
    <xf numFmtId="170" fontId="12" fillId="4" borderId="1" applyAlignment="1" pivotButton="0" quotePrefix="0" xfId="0">
      <alignment horizontal="right" indent="1"/>
    </xf>
    <xf numFmtId="167" fontId="12" fillId="4" borderId="1" applyAlignment="1" pivotButton="0" quotePrefix="0" xfId="0">
      <alignment horizontal="right" indent="1"/>
    </xf>
    <xf numFmtId="0" fontId="13" fillId="0" borderId="0" pivotButton="0" quotePrefix="0" xfId="0"/>
    <xf numFmtId="0" fontId="14" fillId="6" borderId="1" pivotButton="0" quotePrefix="0" xfId="0"/>
    <xf numFmtId="166" fontId="7" fillId="6" borderId="1" applyAlignment="1" pivotButton="0" quotePrefix="0" xfId="0">
      <alignment horizontal="center"/>
    </xf>
    <xf numFmtId="1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5" fillId="6" borderId="1" applyAlignment="1" pivotButton="0" quotePrefix="0" xfId="0">
      <alignment vertical="top" wrapText="1"/>
    </xf>
    <xf numFmtId="0" fontId="14" fillId="5" borderId="1" pivotButton="0" quotePrefix="0" xfId="0"/>
    <xf numFmtId="166" fontId="7" fillId="5" borderId="1" applyAlignment="1" pivotButton="0" quotePrefix="0" xfId="0">
      <alignment horizontal="center"/>
    </xf>
    <xf numFmtId="10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5" fillId="5" borderId="1" applyAlignment="1" pivotButton="0" quotePrefix="0" xfId="0">
      <alignment vertical="top" wrapText="1"/>
    </xf>
    <xf numFmtId="171" fontId="7" fillId="5" borderId="1" applyAlignment="1" pivotButton="0" quotePrefix="0" xfId="0">
      <alignment horizontal="right" vertical="center" indent="1"/>
    </xf>
    <xf numFmtId="170" fontId="7" fillId="5" borderId="1" applyAlignment="1" pivotButton="0" quotePrefix="0" xfId="0">
      <alignment horizontal="right" vertical="center" indent="1"/>
    </xf>
    <xf numFmtId="171" fontId="7" fillId="6" borderId="1" applyAlignment="1" pivotButton="0" quotePrefix="0" xfId="0">
      <alignment horizontal="right" vertical="center" indent="1"/>
    </xf>
    <xf numFmtId="170" fontId="7" fillId="6" borderId="1" applyAlignment="1" pivotButton="0" quotePrefix="0" xfId="0">
      <alignment horizontal="right" vertical="center" indent="1"/>
    </xf>
    <xf numFmtId="0" fontId="7" fillId="5" borderId="1" applyAlignment="1" pivotButton="0" quotePrefix="0" xfId="0">
      <alignment horizontal="center" vertical="center" indent="1"/>
    </xf>
    <xf numFmtId="167" fontId="7" fillId="5" borderId="1" applyAlignment="1" pivotButton="0" quotePrefix="0" xfId="0">
      <alignment horizontal="right" vertical="center" indent="1"/>
    </xf>
    <xf numFmtId="0" fontId="7" fillId="6" borderId="1" applyAlignment="1" pivotButton="0" quotePrefix="0" xfId="0">
      <alignment horizontal="center" vertical="center" indent="1"/>
    </xf>
    <xf numFmtId="167" fontId="7" fillId="6" borderId="1" applyAlignment="1" pivotButton="0" quotePrefix="0" xfId="0">
      <alignment horizontal="right" vertical="center" indent="1"/>
    </xf>
    <xf numFmtId="165" fontId="7" fillId="5" borderId="1" applyAlignment="1" pivotButton="0" quotePrefix="0" xfId="0">
      <alignment horizontal="right" vertical="center" indent="1"/>
    </xf>
    <xf numFmtId="165" fontId="7" fillId="6" borderId="1" applyAlignment="1" pivotButton="0" quotePrefix="0" xfId="0">
      <alignment horizontal="right" vertical="center" indent="1"/>
    </xf>
    <xf numFmtId="172" fontId="7" fillId="5" borderId="1" applyAlignment="1" pivotButton="0" quotePrefix="0" xfId="0">
      <alignment horizontal="right" vertical="center" indent="1"/>
    </xf>
    <xf numFmtId="0" fontId="0" fillId="5" borderId="0" pivotButton="0" quotePrefix="0" xfId="0"/>
    <xf numFmtId="172" fontId="7" fillId="6" borderId="1" applyAlignment="1" pivotButton="0" quotePrefix="0" xfId="0">
      <alignment horizontal="right" vertical="center" indent="1"/>
    </xf>
    <xf numFmtId="0" fontId="0" fillId="6" borderId="0" pivotButton="0" quotePrefix="0" xfId="0"/>
    <xf numFmtId="0" fontId="5" fillId="4" borderId="1" applyAlignment="1" pivotButton="0" quotePrefix="0" xfId="0">
      <alignment horizontal="right" indent="1"/>
    </xf>
    <xf numFmtId="0" fontId="17" fillId="0" borderId="0" pivotButton="0" quotePrefix="0" xfId="0"/>
    <xf numFmtId="0" fontId="9" fillId="0" borderId="0" pivotButton="0" quotePrefix="0" xfId="0"/>
    <xf numFmtId="9" fontId="5" fillId="4" borderId="1" applyAlignment="1" pivotButton="0" quotePrefix="0" xfId="0">
      <alignment horizontal="right" indent="1"/>
    </xf>
    <xf numFmtId="164" fontId="10" fillId="8" borderId="1" applyAlignment="1" pivotButton="0" quotePrefix="0" xfId="0">
      <alignment horizontal="right" indent="1"/>
    </xf>
    <xf numFmtId="166" fontId="10" fillId="8" borderId="1" applyAlignment="1" pivotButton="0" quotePrefix="0" xfId="0">
      <alignment horizontal="right" indent="1"/>
    </xf>
    <xf numFmtId="9" fontId="3" fillId="2" borderId="1" applyAlignment="1" pivotButton="0" quotePrefix="0" xfId="0">
      <alignment horizontal="center" vertical="center" wrapText="1"/>
    </xf>
    <xf numFmtId="9" fontId="7" fillId="5" borderId="1" applyAlignment="1" pivotButton="0" quotePrefix="0" xfId="0">
      <alignment vertical="center" indent="1"/>
    </xf>
    <xf numFmtId="2" fontId="7" fillId="5" borderId="1" applyAlignment="1" pivotButton="0" quotePrefix="0" xfId="0">
      <alignment horizontal="center" vertical="center" indent="1"/>
    </xf>
    <xf numFmtId="170" fontId="5" fillId="4" borderId="1" applyAlignment="1" pivotButton="0" quotePrefix="0" xfId="0">
      <alignment horizontal="right" indent="1"/>
    </xf>
    <xf numFmtId="0" fontId="14" fillId="0" borderId="0" pivotButton="0" quotePrefix="0" xfId="0"/>
    <xf numFmtId="172" fontId="18" fillId="0" borderId="0" applyAlignment="1" pivotButton="0" quotePrefix="0" xfId="0">
      <alignment horizontal="right" indent="1"/>
    </xf>
    <xf numFmtId="173" fontId="18" fillId="0" borderId="0" applyAlignment="1" pivotButton="0" quotePrefix="0" xfId="0">
      <alignment horizontal="right" indent="1"/>
    </xf>
    <xf numFmtId="172" fontId="5" fillId="4" borderId="1" applyAlignment="1" pivotButton="0" quotePrefix="0" xfId="0">
      <alignment horizontal="right" indent="1"/>
    </xf>
    <xf numFmtId="0" fontId="22" fillId="0" borderId="0" pivotButton="0" quotePrefix="0" xfId="0"/>
    <xf numFmtId="1" fontId="5" fillId="4" borderId="1" applyAlignment="1" pivotButton="0" quotePrefix="0" xfId="0">
      <alignment horizontal="right" indent="1"/>
    </xf>
    <xf numFmtId="2" fontId="5" fillId="4" borderId="1" applyAlignment="1" pivotButton="0" quotePrefix="0" xfId="0">
      <alignment horizontal="right" indent="1"/>
    </xf>
    <xf numFmtId="174" fontId="5" fillId="4" borderId="1" applyAlignment="1" pivotButton="0" quotePrefix="0" xfId="0">
      <alignment horizontal="right" indent="1"/>
    </xf>
    <xf numFmtId="0" fontId="10" fillId="0" borderId="0" pivotButton="0" quotePrefix="0" xfId="0"/>
    <xf numFmtId="174" fontId="10" fillId="8" borderId="1" applyAlignment="1" pivotButton="0" quotePrefix="0" xfId="0">
      <alignment horizontal="right" indent="1"/>
    </xf>
    <xf numFmtId="172" fontId="10" fillId="8" borderId="1" applyAlignment="1" pivotButton="0" quotePrefix="0" xfId="0">
      <alignment horizontal="right" indent="1"/>
    </xf>
    <xf numFmtId="172" fontId="8" fillId="3" borderId="1" applyAlignment="1" pivotButton="0" quotePrefix="0" xfId="0">
      <alignment horizontal="center"/>
    </xf>
    <xf numFmtId="9" fontId="8" fillId="3" borderId="1" applyAlignment="1" pivotButton="0" quotePrefix="0" xfId="0">
      <alignment horizontal="center"/>
    </xf>
    <xf numFmtId="10" fontId="8" fillId="3" borderId="1" applyAlignment="1" pivotButton="0" quotePrefix="0" xfId="0">
      <alignment horizontal="center"/>
    </xf>
    <xf numFmtId="172" fontId="5" fillId="6" borderId="1" applyAlignment="1" pivotButton="0" quotePrefix="0" xfId="0">
      <alignment horizontal="right" indent="1"/>
    </xf>
    <xf numFmtId="9" fontId="4" fillId="6" borderId="1" applyAlignment="1" pivotButton="0" quotePrefix="0" xfId="0">
      <alignment horizontal="right" indent="1"/>
    </xf>
    <xf numFmtId="10" fontId="4" fillId="6" borderId="1" applyAlignment="1" pivotButton="0" quotePrefix="0" xfId="0">
      <alignment horizontal="right" indent="1"/>
    </xf>
    <xf numFmtId="172" fontId="5" fillId="5" borderId="1" applyAlignment="1" pivotButton="0" quotePrefix="0" xfId="0">
      <alignment horizontal="right" indent="1"/>
    </xf>
    <xf numFmtId="9" fontId="4" fillId="5" borderId="1" applyAlignment="1" pivotButton="0" quotePrefix="0" xfId="0">
      <alignment horizontal="right" indent="1"/>
    </xf>
    <xf numFmtId="10" fontId="4" fillId="5" borderId="1" applyAlignment="1" pivotButton="0" quotePrefix="0" xfId="0">
      <alignment horizontal="right" indent="1"/>
    </xf>
    <xf numFmtId="0" fontId="9" fillId="5" borderId="1" applyAlignment="1" pivotButton="0" quotePrefix="0" xfId="0">
      <alignment horizontal="right" indent="1"/>
    </xf>
    <xf numFmtId="9" fontId="5" fillId="5" borderId="1" applyAlignment="1" pivotButton="0" quotePrefix="0" xfId="0">
      <alignment horizontal="right" indent="1"/>
    </xf>
    <xf numFmtId="0" fontId="23" fillId="9" borderId="1" applyAlignment="1" pivotButton="0" quotePrefix="0" xfId="0">
      <alignment horizontal="center"/>
    </xf>
    <xf numFmtId="172" fontId="23" fillId="9" borderId="1" applyAlignment="1" pivotButton="0" quotePrefix="0" xfId="0">
      <alignment horizontal="right" indent="1"/>
    </xf>
    <xf numFmtId="0" fontId="24" fillId="9" borderId="1" applyAlignment="1" pivotButton="0" quotePrefix="0" xfId="0">
      <alignment horizontal="center"/>
    </xf>
    <xf numFmtId="172" fontId="7" fillId="9" borderId="1" applyAlignment="1" pivotButton="0" quotePrefix="0" xfId="0">
      <alignment horizontal="right" indent="1"/>
    </xf>
    <xf numFmtId="10" fontId="7" fillId="9" borderId="1" applyAlignment="1" pivotButton="0" quotePrefix="0" xfId="0">
      <alignment horizontal="center"/>
    </xf>
    <xf numFmtId="174" fontId="7" fillId="9" borderId="1" applyAlignment="1" pivotButton="0" quotePrefix="0" xfId="0">
      <alignment horizontal="right" indent="1"/>
    </xf>
    <xf numFmtId="0" fontId="23" fillId="10" borderId="1" applyAlignment="1" pivotButton="0" quotePrefix="0" xfId="0">
      <alignment horizontal="center"/>
    </xf>
    <xf numFmtId="172" fontId="23" fillId="10" borderId="1" applyAlignment="1" pivotButton="0" quotePrefix="0" xfId="0">
      <alignment horizontal="right" indent="1"/>
    </xf>
    <xf numFmtId="0" fontId="24" fillId="10" borderId="1" applyAlignment="1" pivotButton="0" quotePrefix="0" xfId="0">
      <alignment horizontal="center"/>
    </xf>
    <xf numFmtId="172" fontId="7" fillId="10" borderId="1" applyAlignment="1" pivotButton="0" quotePrefix="0" xfId="0">
      <alignment horizontal="right" indent="1"/>
    </xf>
    <xf numFmtId="10" fontId="7" fillId="10" borderId="1" applyAlignment="1" pivotButton="0" quotePrefix="0" xfId="0">
      <alignment horizontal="center"/>
    </xf>
    <xf numFmtId="174" fontId="7" fillId="10" borderId="1" applyAlignment="1" pivotButton="0" quotePrefix="0" xfId="0">
      <alignment horizontal="right" indent="1"/>
    </xf>
    <xf numFmtId="0" fontId="21" fillId="11" borderId="1" applyAlignment="1" pivotButton="0" quotePrefix="0" xfId="0">
      <alignment vertical="center" indent="1"/>
    </xf>
    <xf numFmtId="172" fontId="25" fillId="11" borderId="1" applyAlignment="1" pivotButton="0" quotePrefix="0" xfId="0">
      <alignment horizontal="right" vertical="center" indent="1"/>
    </xf>
    <xf numFmtId="174" fontId="25" fillId="11" borderId="1" applyAlignment="1" pivotButton="0" quotePrefix="0" xfId="0">
      <alignment horizontal="right" vertical="center" indent="1"/>
    </xf>
    <xf numFmtId="0" fontId="9" fillId="4" borderId="1" applyAlignment="1" pivotButton="0" quotePrefix="0" xfId="0">
      <alignment vertical="center" indent="1"/>
    </xf>
    <xf numFmtId="172" fontId="18" fillId="4" borderId="1" applyAlignment="1" pivotButton="0" quotePrefix="0" xfId="0">
      <alignment horizontal="right" vertical="center" indent="1"/>
    </xf>
    <xf numFmtId="175" fontId="18" fillId="4" borderId="1" applyAlignment="1" pivotButton="0" quotePrefix="0" xfId="0">
      <alignment horizontal="right" vertical="center" indent="1"/>
    </xf>
    <xf numFmtId="10" fontId="25" fillId="11" borderId="1" applyAlignment="1" pivotButton="0" quotePrefix="0" xfId="0">
      <alignment horizontal="right" vertical="center" indent="1"/>
    </xf>
    <xf numFmtId="1" fontId="18" fillId="4" borderId="1" applyAlignment="1" pivotButton="0" quotePrefix="0" xfId="0">
      <alignment horizontal="right" vertical="center" indent="1"/>
    </xf>
    <xf numFmtId="0" fontId="4" fillId="0" borderId="0" applyAlignment="1" pivotButton="0" quotePrefix="0" xfId="0">
      <alignment indent="1"/>
    </xf>
    <xf numFmtId="171" fontId="5" fillId="4" borderId="1" applyAlignment="1" pivotButton="0" quotePrefix="0" xfId="0">
      <alignment horizontal="right" indent="1"/>
    </xf>
    <xf numFmtId="0" fontId="3" fillId="3" borderId="1" applyAlignment="1" pivotButton="0" quotePrefix="0" xfId="0">
      <alignment horizontal="center"/>
    </xf>
    <xf numFmtId="167" fontId="27" fillId="5" borderId="1" pivotButton="0" quotePrefix="0" xfId="0"/>
    <xf numFmtId="9" fontId="7" fillId="5" borderId="1" applyAlignment="1" pivotButton="0" quotePrefix="0" xfId="0">
      <alignment horizontal="right" indent="1"/>
    </xf>
    <xf numFmtId="0" fontId="15" fillId="5" borderId="1" applyAlignment="1" pivotButton="0" quotePrefix="0" xfId="0">
      <alignment horizontal="center" indent="1"/>
    </xf>
    <xf numFmtId="170" fontId="27" fillId="6" borderId="1" pivotButton="0" quotePrefix="0" xfId="0"/>
    <xf numFmtId="9" fontId="7" fillId="6" borderId="1" applyAlignment="1" pivotButton="0" quotePrefix="0" xfId="0">
      <alignment horizontal="right" indent="1"/>
    </xf>
    <xf numFmtId="0" fontId="15" fillId="6" borderId="1" applyAlignment="1" pivotButton="0" quotePrefix="0" xfId="0">
      <alignment horizontal="center" indent="1"/>
    </xf>
    <xf numFmtId="167" fontId="27" fillId="6" borderId="1" pivotButton="0" quotePrefix="0" xfId="0"/>
    <xf numFmtId="170" fontId="7" fillId="5" borderId="1" applyAlignment="1" pivotButton="0" quotePrefix="0" xfId="0">
      <alignment horizontal="right" indent="1"/>
    </xf>
    <xf numFmtId="167" fontId="7" fillId="5" borderId="1" applyAlignment="1" pivotButton="0" quotePrefix="0" xfId="0">
      <alignment horizontal="right" indent="1"/>
    </xf>
    <xf numFmtId="164" fontId="7" fillId="5" borderId="1" applyAlignment="1" pivotButton="0" quotePrefix="0" xfId="0">
      <alignment horizontal="right" indent="1"/>
    </xf>
    <xf numFmtId="171" fontId="7" fillId="5" borderId="1" applyAlignment="1" pivotButton="0" quotePrefix="0" xfId="0">
      <alignment horizontal="right" indent="1"/>
    </xf>
    <xf numFmtId="170" fontId="7" fillId="6" borderId="1" applyAlignment="1" pivotButton="0" quotePrefix="0" xfId="0">
      <alignment horizontal="right" indent="1"/>
    </xf>
    <xf numFmtId="167" fontId="7" fillId="6" borderId="1" applyAlignment="1" pivotButton="0" quotePrefix="0" xfId="0">
      <alignment horizontal="right" indent="1"/>
    </xf>
    <xf numFmtId="164" fontId="7" fillId="6" borderId="1" applyAlignment="1" pivotButton="0" quotePrefix="0" xfId="0">
      <alignment horizontal="right" indent="1"/>
    </xf>
    <xf numFmtId="171" fontId="7" fillId="6" borderId="1" applyAlignment="1" pivotButton="0" quotePrefix="0" xfId="0">
      <alignment horizontal="right" indent="1"/>
    </xf>
    <xf numFmtId="0" fontId="23" fillId="6" borderId="1" applyAlignment="1" pivotButton="0" quotePrefix="0" xfId="0">
      <alignment horizontal="center"/>
    </xf>
    <xf numFmtId="0" fontId="28" fillId="6" borderId="1" applyAlignment="1" pivotButton="0" quotePrefix="0" xfId="0">
      <alignment horizontal="center"/>
    </xf>
    <xf numFmtId="174" fontId="7" fillId="6" borderId="1" applyAlignment="1" pivotButton="0" quotePrefix="0" xfId="0">
      <alignment horizontal="right" indent="1"/>
    </xf>
    <xf numFmtId="0" fontId="23" fillId="5" borderId="1" applyAlignment="1" pivotButton="0" quotePrefix="0" xfId="0">
      <alignment horizontal="center"/>
    </xf>
    <xf numFmtId="0" fontId="28" fillId="5" borderId="1" applyAlignment="1" pivotButton="0" quotePrefix="0" xfId="0">
      <alignment horizontal="center"/>
    </xf>
    <xf numFmtId="174" fontId="7" fillId="5" borderId="1" applyAlignment="1" pivotButton="0" quotePrefix="0" xfId="0">
      <alignment horizontal="right" indent="1"/>
    </xf>
    <xf numFmtId="165" fontId="7" fillId="5" borderId="1" applyAlignment="1" pivotButton="0" quotePrefix="0" xfId="0">
      <alignment horizontal="right" indent="1"/>
    </xf>
    <xf numFmtId="170" fontId="18" fillId="4" borderId="1" applyAlignment="1" pivotButton="0" quotePrefix="0" xfId="0">
      <alignment horizontal="right" vertical="center" indent="1"/>
    </xf>
    <xf numFmtId="174" fontId="18" fillId="4" borderId="1" applyAlignment="1" pivotButton="0" quotePrefix="0" xfId="0">
      <alignment horizontal="right" vertical="center" indent="1"/>
    </xf>
    <xf numFmtId="10" fontId="18" fillId="4" borderId="1" applyAlignment="1" pivotButton="0" quotePrefix="0" xfId="0">
      <alignment horizontal="right" vertical="center" indent="1"/>
    </xf>
    <xf numFmtId="0" fontId="19" fillId="2" borderId="0" applyAlignment="1" pivotButton="0" quotePrefix="0" xfId="0">
      <alignment horizontal="left" vertical="center" indent="1"/>
    </xf>
    <xf numFmtId="0" fontId="20" fillId="3" borderId="0" applyAlignment="1" pivotButton="0" quotePrefix="0" xfId="0">
      <alignment horizontal="left" vertical="center" indent="1"/>
    </xf>
    <xf numFmtId="0" fontId="21" fillId="7" borderId="0" applyAlignment="1" pivotButton="0" quotePrefix="0" xfId="0">
      <alignment vertical="center" indent="1"/>
    </xf>
    <xf numFmtId="0" fontId="16" fillId="0" borderId="0" applyAlignment="1" pivotButton="0" quotePrefix="0" xfId="0">
      <alignment vertical="top" wrapText="1" indent="1"/>
    </xf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8" fillId="7" borderId="0" applyAlignment="1" pivotButton="0" quotePrefix="0" xfId="0">
      <alignment vertical="center" indent="1"/>
    </xf>
    <xf numFmtId="0" fontId="16" fillId="3" borderId="0" applyAlignment="1" pivotButton="0" quotePrefix="0" xfId="0">
      <alignment vertical="top" wrapText="1" indent="1"/>
    </xf>
    <xf numFmtId="0" fontId="26" fillId="6" borderId="0" applyAlignment="1" pivotButton="0" quotePrefix="0" xfId="0">
      <alignment indent="1"/>
    </xf>
    <xf numFmtId="0" fontId="16" fillId="5" borderId="1" applyAlignment="1" pivotButton="0" quotePrefix="0" xfId="0">
      <alignment vertical="top" wrapText="1" indent="1"/>
    </xf>
    <xf numFmtId="0" fontId="30" fillId="13" borderId="1" applyAlignment="1" pivotButton="0" quotePrefix="0" xfId="0">
      <alignment vertical="top" wrapText="1" indent="1"/>
    </xf>
    <xf numFmtId="0" fontId="8" fillId="3" borderId="0" applyAlignment="1" pivotButton="0" quotePrefix="0" xfId="0">
      <alignment vertical="center" indent="1"/>
    </xf>
    <xf numFmtId="0" fontId="29" fillId="12" borderId="1" applyAlignment="1" pivotButton="0" quotePrefix="0" xfId="0">
      <alignment vertical="top" wrapText="1" indent="1"/>
    </xf>
    <xf numFmtId="0" fontId="39" fillId="21" borderId="0" applyAlignment="1" pivotButton="0" quotePrefix="0" xfId="0">
      <alignment vertical="center"/>
    </xf>
    <xf numFmtId="0" fontId="0" fillId="21" borderId="0" pivotButton="0" quotePrefix="0" xfId="0"/>
    <xf numFmtId="0" fontId="38" fillId="0" borderId="0" applyAlignment="1" pivotButton="0" quotePrefix="0" xfId="0">
      <alignment vertical="top" wrapText="1"/>
    </xf>
    <xf numFmtId="0" fontId="34" fillId="16" borderId="0" applyAlignment="1" pivotButton="0" quotePrefix="0" xfId="0">
      <alignment vertical="center"/>
    </xf>
    <xf numFmtId="0" fontId="0" fillId="16" borderId="0" pivotButton="0" quotePrefix="0" xfId="0"/>
    <xf numFmtId="0" fontId="34" fillId="17" borderId="6" applyAlignment="1" pivotButton="0" quotePrefix="0" xfId="0">
      <alignment horizontal="center" vertical="center" wrapText="1"/>
    </xf>
    <xf numFmtId="0" fontId="44" fillId="0" borderId="6" applyAlignment="1" pivotButton="0" quotePrefix="0" xfId="0">
      <alignment vertical="top" wrapText="1"/>
    </xf>
    <xf numFmtId="0" fontId="35" fillId="0" borderId="6" applyAlignment="1" pivotButton="0" quotePrefix="0" xfId="0">
      <alignment vertical="top" wrapText="1"/>
    </xf>
    <xf numFmtId="0" fontId="36" fillId="18" borderId="6" pivotButton="0" quotePrefix="0" xfId="0"/>
    <xf numFmtId="0" fontId="33" fillId="15" borderId="6" pivotButton="0" quotePrefix="0" xfId="0"/>
    <xf numFmtId="0" fontId="37" fillId="19" borderId="6" pivotButton="0" quotePrefix="0" xfId="0"/>
    <xf numFmtId="0" fontId="32" fillId="14" borderId="6" pivotButton="0" quotePrefix="0" xfId="0"/>
    <xf numFmtId="0" fontId="42" fillId="0" borderId="0" applyAlignment="1" pivotButton="0" quotePrefix="0" xfId="0">
      <alignment vertical="top" wrapText="1"/>
    </xf>
    <xf numFmtId="0" fontId="35" fillId="20" borderId="6" pivotButton="0" quotePrefix="0" xfId="0"/>
    <xf numFmtId="178" fontId="36" fillId="18" borderId="6" applyAlignment="1" pivotButton="0" quotePrefix="0" xfId="0">
      <alignment horizontal="right"/>
    </xf>
    <xf numFmtId="0" fontId="38" fillId="0" borderId="0" pivotButton="0" quotePrefix="0" xfId="0"/>
    <xf numFmtId="10" fontId="36" fillId="18" borderId="6" applyAlignment="1" pivotButton="0" quotePrefix="0" xfId="0">
      <alignment horizontal="right"/>
    </xf>
    <xf numFmtId="1" fontId="36" fillId="18" borderId="6" applyAlignment="1" pivotButton="0" quotePrefix="0" xfId="0">
      <alignment horizontal="right"/>
    </xf>
    <xf numFmtId="49" fontId="36" fillId="18" borderId="6" applyAlignment="1" pivotButton="0" quotePrefix="0" xfId="0">
      <alignment horizontal="right"/>
    </xf>
    <xf numFmtId="1" fontId="37" fillId="19" borderId="6" pivotButton="0" quotePrefix="0" xfId="0"/>
    <xf numFmtId="178" fontId="33" fillId="15" borderId="6" applyAlignment="1" pivotButton="0" quotePrefix="0" xfId="0">
      <alignment horizontal="right"/>
    </xf>
    <xf numFmtId="10" fontId="33" fillId="15" borderId="6" applyAlignment="1" pivotButton="0" quotePrefix="0" xfId="0">
      <alignment horizontal="right"/>
    </xf>
    <xf numFmtId="178" fontId="37" fillId="19" borderId="6" pivotButton="0" quotePrefix="0" xfId="0"/>
    <xf numFmtId="178" fontId="32" fillId="14" borderId="6" pivotButton="0" quotePrefix="0" xfId="0"/>
    <xf numFmtId="49" fontId="35" fillId="0" borderId="6" applyAlignment="1" pivotButton="0" quotePrefix="0" xfId="0">
      <alignment horizontal="center"/>
    </xf>
    <xf numFmtId="49" fontId="35" fillId="0" borderId="6" pivotButton="0" quotePrefix="0" xfId="0"/>
    <xf numFmtId="1" fontId="32" fillId="14" borderId="6" applyAlignment="1" pivotButton="0" quotePrefix="0" xfId="0">
      <alignment horizontal="center"/>
    </xf>
    <xf numFmtId="1" fontId="35" fillId="20" borderId="6" pivotButton="0" quotePrefix="0" xfId="0"/>
    <xf numFmtId="178" fontId="35" fillId="0" borderId="6" pivotButton="0" quotePrefix="0" xfId="0"/>
    <xf numFmtId="1" fontId="43" fillId="0" borderId="6" pivotButton="0" quotePrefix="0" xfId="0"/>
    <xf numFmtId="0" fontId="35" fillId="0" borderId="6" pivotButton="0" quotePrefix="0" xfId="0"/>
    <xf numFmtId="10" fontId="35" fillId="0" borderId="6" pivotButton="0" quotePrefix="0" xfId="0"/>
    <xf numFmtId="180" fontId="35" fillId="0" borderId="6" pivotButton="0" quotePrefix="0" xfId="0"/>
    <xf numFmtId="180" fontId="32" fillId="14" borderId="6" pivotButton="0" quotePrefix="0" xfId="0"/>
    <xf numFmtId="1" fontId="36" fillId="18" borderId="6" pivotButton="0" quotePrefix="0" xfId="0"/>
    <xf numFmtId="10" fontId="37" fillId="19" borderId="6" pivotButton="0" quotePrefix="0" xfId="0"/>
    <xf numFmtId="9" fontId="36" fillId="18" borderId="6" pivotButton="0" quotePrefix="0" xfId="0"/>
    <xf numFmtId="0" fontId="34" fillId="21" borderId="0" applyAlignment="1" pivotButton="0" quotePrefix="0" xfId="0">
      <alignment vertical="center"/>
    </xf>
    <xf numFmtId="9" fontId="37" fillId="19" borderId="6" pivotButton="0" quotePrefix="0" xfId="0"/>
    <xf numFmtId="178" fontId="36" fillId="18" borderId="6" pivotButton="0" quotePrefix="0" xfId="0"/>
    <xf numFmtId="10" fontId="36" fillId="18" borderId="6" pivotButton="0" quotePrefix="0" xfId="0"/>
    <xf numFmtId="2" fontId="36" fillId="18" borderId="6" pivotButton="0" quotePrefix="0" xfId="0"/>
    <xf numFmtId="10" fontId="33" fillId="15" borderId="6" pivotButton="0" quotePrefix="0" xfId="0"/>
    <xf numFmtId="179" fontId="36" fillId="18" borderId="6" pivotButton="0" quotePrefix="0" xfId="0"/>
    <xf numFmtId="49" fontId="36" fillId="18" borderId="6" applyAlignment="1" pivotButton="0" quotePrefix="0" xfId="0">
      <alignment horizontal="left"/>
    </xf>
    <xf numFmtId="179" fontId="37" fillId="19" borderId="6" pivotButton="0" quotePrefix="0" xfId="0"/>
    <xf numFmtId="175" fontId="36" fillId="18" borderId="6" pivotButton="0" quotePrefix="0" xfId="0"/>
    <xf numFmtId="179" fontId="32" fillId="14" borderId="6" pivotButton="0" quotePrefix="0" xfId="0"/>
    <xf numFmtId="10" fontId="32" fillId="14" borderId="6" pivotButton="0" quotePrefix="0" xfId="0"/>
    <xf numFmtId="1" fontId="32" fillId="14" borderId="6" pivotButton="0" quotePrefix="0" xfId="0"/>
    <xf numFmtId="176" fontId="32" fillId="14" borderId="6" pivotButton="0" quotePrefix="0" xfId="0"/>
    <xf numFmtId="179" fontId="35" fillId="0" borderId="6" pivotButton="0" quotePrefix="0" xfId="0"/>
    <xf numFmtId="0" fontId="41" fillId="0" borderId="6" pivotButton="0" quotePrefix="0" xfId="0"/>
    <xf numFmtId="1" fontId="35" fillId="0" borderId="6" pivotButton="0" quotePrefix="0" xfId="0"/>
    <xf numFmtId="0" fontId="31" fillId="7" borderId="0" applyAlignment="1" pivotButton="0" quotePrefix="0" xfId="0">
      <alignment vertical="center" indent="1"/>
    </xf>
    <xf numFmtId="0" fontId="32" fillId="14" borderId="0" applyAlignment="1" pivotButton="0" quotePrefix="0" xfId="0">
      <alignment horizontal="center"/>
    </xf>
    <xf numFmtId="164" fontId="33" fillId="15" borderId="1" applyAlignment="1" pivotButton="0" quotePrefix="0" xfId="0">
      <alignment horizontal="right" indent="1"/>
    </xf>
    <xf numFmtId="9" fontId="33" fillId="15" borderId="1" applyAlignment="1" pivotButton="0" quotePrefix="0" xfId="0">
      <alignment horizontal="right" indent="1"/>
    </xf>
    <xf numFmtId="10" fontId="33" fillId="15" borderId="1" applyAlignment="1" pivotButton="0" quotePrefix="0" xfId="0">
      <alignment horizontal="right" indent="1"/>
    </xf>
    <xf numFmtId="164" fontId="33" fillId="15" borderId="6" pivotButton="0" quotePrefix="0" xfId="0"/>
    <xf numFmtId="164" fontId="32" fillId="14" borderId="6" pivotButton="0" quotePrefix="0" xfId="0"/>
    <xf numFmtId="169" fontId="32" fillId="14" borderId="6" pivotButton="0" quotePrefix="0" xfId="0"/>
    <xf numFmtId="166" fontId="32" fillId="14" borderId="6" pivotButton="0" quotePrefix="0" xfId="0"/>
    <xf numFmtId="177" fontId="32" fillId="14" borderId="6" pivotButton="0" quotePrefix="0" xfId="0"/>
    <xf numFmtId="0" fontId="40" fillId="0" borderId="6" pivotButton="0" quotePrefix="0" xfId="0"/>
    <xf numFmtId="9" fontId="34" fillId="17" borderId="6" applyAlignment="1" pivotButton="0" quotePrefix="0" xfId="0">
      <alignment horizontal="center" vertical="center" wrapText="1"/>
    </xf>
    <xf numFmtId="2" fontId="35" fillId="0" borderId="6" pivotButton="0" quotePrefix="0" xfId="0"/>
    <xf numFmtId="0" fontId="34" fillId="16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">
    <dxf>
      <font>
        <b val="1"/>
        <color rgb="001E6B3A"/>
      </font>
      <fill>
        <patternFill patternType="solid">
          <fgColor rgb="00D9EAD3"/>
          <bgColor rgb="00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0"/>
      <rgbColor rgb="FFFFFF00"/>
      <rgbColor rgb="FFFF00FF"/>
      <rgbColor rgb="FF00FFFF"/>
      <rgbColor rgb="FF800000"/>
      <rgbColor rgb="FF1E6B3A"/>
      <rgbColor rgb="FF000080"/>
      <rgbColor rgb="FF9C6500"/>
      <rgbColor rgb="FF800080"/>
      <rgbColor rgb="FF008080"/>
      <rgbColor rgb="FFBFC9D9"/>
      <rgbColor rgb="FF808080"/>
      <rgbColor rgb="FF9999FF"/>
      <rgbColor rgb="FF993366"/>
      <rgbColor rgb="FFFBF3D5"/>
      <rgbColor rgb="FFEDF3FB"/>
      <rgbColor rgb="FF660066"/>
      <rgbColor rgb="FFFF8080"/>
      <rgbColor rgb="FF1F4E79"/>
      <rgbColor rgb="FFDCE6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EF4"/>
      <rgbColor rgb="FFECF2DC"/>
      <rgbColor rgb="FFFFF2CC"/>
      <rgbColor rgb="FFF4F8E8"/>
      <rgbColor rgb="FFFF99CC"/>
      <rgbColor rgb="FFCC99FF"/>
      <rgbColor rgb="FFFCE4E4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1A1A2E"/>
      <rgbColor rgb="FF993300"/>
      <rgbColor rgb="FF993366"/>
      <rgbColor rgb="FF2E4D7B"/>
      <rgbColor rgb="FF3337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'Margin-Move Link'!$D$4</f>
              <strCache>
                <ptCount val="1"/>
                <pt idx="0">
                  <v>|Move| %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diamond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1"/>
                </a:solidFill>
                <a:prstDash val="solid"/>
                <a:round/>
              </a:ln>
            </spPr>
          </marker>
          <xVal>
            <numRef>
              <f>'Margin-Move Link'!$A$5:$A$127</f>
              <numCache>
                <formatCode>General</formatCode>
                <ptCount val="123"/>
                <pt idx="0">
                  <v>2020</v>
                </pt>
                <pt idx="1">
                  <v>2020</v>
                </pt>
                <pt idx="2">
                  <v>2020</v>
                </pt>
                <pt idx="3">
                  <v>2020</v>
                </pt>
                <pt idx="4">
                  <v>2020</v>
                </pt>
                <pt idx="5">
                  <v>2020</v>
                </pt>
                <pt idx="6">
                  <v>2020</v>
                </pt>
                <pt idx="7">
                  <v>2020</v>
                </pt>
                <pt idx="8">
                  <v>2020</v>
                </pt>
                <pt idx="9">
                  <v>2020</v>
                </pt>
                <pt idx="10">
                  <v>2020</v>
                </pt>
                <pt idx="11">
                  <v>2020</v>
                </pt>
                <pt idx="12">
                  <v>2020</v>
                </pt>
                <pt idx="13">
                  <v>2020</v>
                </pt>
                <pt idx="14">
                  <v>2020</v>
                </pt>
                <pt idx="15">
                  <v>2020</v>
                </pt>
                <pt idx="16">
                  <v>2020</v>
                </pt>
                <pt idx="17">
                  <v>2020</v>
                </pt>
                <pt idx="18">
                  <v>2020</v>
                </pt>
                <pt idx="19">
                  <v>2020</v>
                </pt>
                <pt idx="20">
                  <v>2021</v>
                </pt>
                <pt idx="21">
                  <v>2021</v>
                </pt>
                <pt idx="22">
                  <v>2021</v>
                </pt>
                <pt idx="23">
                  <v>2021</v>
                </pt>
                <pt idx="24">
                  <v>2021</v>
                </pt>
                <pt idx="25">
                  <v>2021</v>
                </pt>
                <pt idx="26">
                  <v>2021</v>
                </pt>
                <pt idx="27">
                  <v>2021</v>
                </pt>
                <pt idx="28">
                  <v>2021</v>
                </pt>
                <pt idx="29">
                  <v>2021</v>
                </pt>
                <pt idx="30">
                  <v>2021</v>
                </pt>
                <pt idx="31">
                  <v>2021</v>
                </pt>
                <pt idx="32">
                  <v>2021</v>
                </pt>
                <pt idx="33">
                  <v>2021</v>
                </pt>
                <pt idx="34">
                  <v>2022</v>
                </pt>
                <pt idx="35">
                  <v>2022</v>
                </pt>
                <pt idx="36">
                  <v>2022</v>
                </pt>
                <pt idx="37">
                  <v>2022</v>
                </pt>
                <pt idx="38">
                  <v>2022</v>
                </pt>
                <pt idx="39">
                  <v>2022</v>
                </pt>
                <pt idx="40">
                  <v>2022</v>
                </pt>
                <pt idx="41">
                  <v>2022</v>
                </pt>
                <pt idx="42">
                  <v>2022</v>
                </pt>
                <pt idx="43">
                  <v>2022</v>
                </pt>
                <pt idx="44">
                  <v>2022</v>
                </pt>
                <pt idx="45">
                  <v>2022</v>
                </pt>
                <pt idx="46">
                  <v>2022</v>
                </pt>
                <pt idx="47">
                  <v>2022</v>
                </pt>
                <pt idx="48">
                  <v>2022</v>
                </pt>
                <pt idx="49">
                  <v>2022</v>
                </pt>
                <pt idx="50">
                  <v>2022</v>
                </pt>
                <pt idx="51">
                  <v>2022</v>
                </pt>
                <pt idx="52">
                  <v>2022</v>
                </pt>
                <pt idx="53">
                  <v>2022</v>
                </pt>
                <pt idx="54">
                  <v>2022</v>
                </pt>
                <pt idx="55">
                  <v>2022</v>
                </pt>
                <pt idx="56">
                  <v>2022</v>
                </pt>
                <pt idx="57">
                  <v>2022</v>
                </pt>
                <pt idx="58">
                  <v>2022</v>
                </pt>
                <pt idx="59">
                  <v>2023</v>
                </pt>
                <pt idx="60">
                  <v>2023</v>
                </pt>
                <pt idx="61">
                  <v>2023</v>
                </pt>
                <pt idx="62">
                  <v>2023</v>
                </pt>
                <pt idx="63">
                  <v>2023</v>
                </pt>
                <pt idx="64">
                  <v>2023</v>
                </pt>
                <pt idx="65">
                  <v>2023</v>
                </pt>
                <pt idx="66">
                  <v>2023</v>
                </pt>
                <pt idx="67">
                  <v>2023</v>
                </pt>
                <pt idx="68">
                  <v>2023</v>
                </pt>
                <pt idx="69">
                  <v>2023</v>
                </pt>
                <pt idx="70">
                  <v>2023</v>
                </pt>
                <pt idx="71">
                  <v>2023</v>
                </pt>
                <pt idx="72">
                  <v>2023</v>
                </pt>
                <pt idx="73">
                  <v>2023</v>
                </pt>
                <pt idx="74">
                  <v>2023</v>
                </pt>
                <pt idx="75">
                  <v>2023</v>
                </pt>
                <pt idx="76">
                  <v>2023</v>
                </pt>
                <pt idx="77">
                  <v>2023</v>
                </pt>
                <pt idx="78">
                  <v>2024</v>
                </pt>
                <pt idx="79">
                  <v>2024</v>
                </pt>
                <pt idx="80">
                  <v>2024</v>
                </pt>
                <pt idx="81">
                  <v>2024</v>
                </pt>
                <pt idx="82">
                  <v>2024</v>
                </pt>
                <pt idx="83">
                  <v>2024</v>
                </pt>
                <pt idx="84">
                  <v>2024</v>
                </pt>
                <pt idx="85">
                  <v>2024</v>
                </pt>
                <pt idx="86">
                  <v>2024</v>
                </pt>
                <pt idx="87">
                  <v>2024</v>
                </pt>
                <pt idx="88">
                  <v>2024</v>
                </pt>
                <pt idx="89">
                  <v>2024</v>
                </pt>
                <pt idx="90">
                  <v>2024</v>
                </pt>
                <pt idx="91">
                  <v>2024</v>
                </pt>
                <pt idx="92">
                  <v>2024</v>
                </pt>
                <pt idx="93">
                  <v>2024</v>
                </pt>
                <pt idx="94">
                  <v>2024</v>
                </pt>
                <pt idx="95">
                  <v>2024</v>
                </pt>
                <pt idx="96">
                  <v>2025</v>
                </pt>
                <pt idx="97">
                  <v>2025</v>
                </pt>
                <pt idx="98">
                  <v>2025</v>
                </pt>
                <pt idx="99">
                  <v>2025</v>
                </pt>
                <pt idx="100">
                  <v>2025</v>
                </pt>
                <pt idx="101">
                  <v>2025</v>
                </pt>
                <pt idx="102">
                  <v>2025</v>
                </pt>
                <pt idx="103">
                  <v>2025</v>
                </pt>
                <pt idx="104">
                  <v>2025</v>
                </pt>
                <pt idx="105">
                  <v>2025</v>
                </pt>
                <pt idx="106">
                  <v>2025</v>
                </pt>
                <pt idx="107">
                  <v>2025</v>
                </pt>
                <pt idx="108">
                  <v>2025</v>
                </pt>
                <pt idx="109">
                  <v>2025</v>
                </pt>
                <pt idx="110">
                  <v>2025</v>
                </pt>
                <pt idx="111">
                  <v>2025</v>
                </pt>
                <pt idx="112">
                  <v>2025</v>
                </pt>
                <pt idx="113">
                  <v>2026</v>
                </pt>
                <pt idx="114">
                  <v>2026</v>
                </pt>
                <pt idx="115">
                  <v>2026</v>
                </pt>
                <pt idx="116">
                  <v>2026</v>
                </pt>
                <pt idx="117">
                  <v>2026</v>
                </pt>
                <pt idx="118">
                  <v>2026</v>
                </pt>
                <pt idx="119">
                  <v>2026</v>
                </pt>
                <pt idx="120">
                  <v>2026</v>
                </pt>
                <pt idx="121">
                  <v>2026</v>
                </pt>
                <pt idx="122">
                  <v>2026</v>
                </pt>
              </numCache>
            </numRef>
          </xVal>
          <yVal>
            <numRef>
              <f>'Margin-Move Link'!$D$5:$D$127</f>
              <numCache>
                <formatCode>0.00%</formatCode>
                <ptCount val="123"/>
                <pt idx="0">
                  <v>0.2431</v>
                </pt>
                <pt idx="1">
                  <v>0.1927</v>
                </pt>
                <pt idx="2">
                  <v>0.1746</v>
                </pt>
                <pt idx="3">
                  <v>0.1665</v>
                </pt>
                <pt idx="4">
                  <v>0.1842</v>
                </pt>
                <pt idx="5">
                  <v>0.1901</v>
                </pt>
                <pt idx="6">
                  <v>0.2155</v>
                </pt>
                <pt idx="7">
                  <v>0.2158</v>
                </pt>
                <pt idx="8">
                  <v>0.2978</v>
                </pt>
                <pt idx="9">
                  <v>0.2316</v>
                </pt>
                <pt idx="10">
                  <v>0.1927</v>
                </pt>
                <pt idx="11">
                  <v>0.209</v>
                </pt>
                <pt idx="12">
                  <v>0.433</v>
                </pt>
                <pt idx="13">
                  <v>0.3609</v>
                </pt>
                <pt idx="14">
                  <v>0.2441</v>
                </pt>
                <pt idx="15">
                  <v>0.1704</v>
                </pt>
                <pt idx="16">
                  <v>0.2207</v>
                </pt>
                <pt idx="17">
                  <v>0.2124</v>
                </pt>
                <pt idx="18">
                  <v>0.3027</v>
                </pt>
                <pt idx="19">
                  <v>0.154</v>
                </pt>
                <pt idx="20">
                  <v>0.2063</v>
                </pt>
                <pt idx="21">
                  <v>0.3672</v>
                </pt>
                <pt idx="22">
                  <v>0.2075</v>
                </pt>
                <pt idx="23">
                  <v>0.1582</v>
                </pt>
                <pt idx="24">
                  <v>0.174</v>
                </pt>
                <pt idx="25">
                  <v>0.2223</v>
                </pt>
                <pt idx="26">
                  <v>0.3473</v>
                </pt>
                <pt idx="27">
                  <v>0.1633</v>
                </pt>
                <pt idx="28">
                  <v>0.4003</v>
                </pt>
                <pt idx="29">
                  <v>0.4764</v>
                </pt>
                <pt idx="30">
                  <v>0.1582</v>
                </pt>
                <pt idx="31">
                  <v>0.2537</v>
                </pt>
                <pt idx="32">
                  <v>0.1969</v>
                </pt>
                <pt idx="33">
                  <v>0.366</v>
                </pt>
                <pt idx="34">
                  <v>0.3089</v>
                </pt>
                <pt idx="35">
                  <v>0.5343</v>
                </pt>
                <pt idx="36">
                  <v>0.2662</v>
                </pt>
                <pt idx="37">
                  <v>0.176</v>
                </pt>
                <pt idx="38">
                  <v>0.1798</v>
                </pt>
                <pt idx="39">
                  <v>0.2778</v>
                </pt>
                <pt idx="40">
                  <v>0.2081</v>
                </pt>
                <pt idx="41">
                  <v>0.3437</v>
                </pt>
                <pt idx="42">
                  <v>0.7635</v>
                </pt>
                <pt idx="43">
                  <v>0.6106</v>
                </pt>
                <pt idx="44">
                  <v>0.3325</v>
                </pt>
                <pt idx="45">
                  <v>0.1584</v>
                </pt>
                <pt idx="46">
                  <v>0.4029</v>
                </pt>
                <pt idx="47">
                  <v>0.2807</v>
                </pt>
                <pt idx="48">
                  <v>0.1838</v>
                </pt>
                <pt idx="49">
                  <v>0.7156</v>
                </pt>
                <pt idx="50">
                  <v>0.4761</v>
                </pt>
                <pt idx="51">
                  <v>0.2693</v>
                </pt>
                <pt idx="52">
                  <v>0.2303</v>
                </pt>
                <pt idx="53">
                  <v>0.4567</v>
                </pt>
                <pt idx="54">
                  <v>0.2441</v>
                </pt>
                <pt idx="55">
                  <v>0.2785</v>
                </pt>
                <pt idx="56">
                  <v>0.2692</v>
                </pt>
                <pt idx="57">
                  <v>0.1809</v>
                </pt>
                <pt idx="58">
                  <v>0.3157</v>
                </pt>
                <pt idx="59">
                  <v>0.5482</v>
                </pt>
                <pt idx="60">
                  <v>0.5364</v>
                </pt>
                <pt idx="61">
                  <v>0.2433</v>
                </pt>
                <pt idx="62">
                  <v>0.3183</v>
                </pt>
                <pt idx="63">
                  <v>0.3534</v>
                </pt>
                <pt idx="64">
                  <v>0.2704</v>
                </pt>
                <pt idx="65">
                  <v>0.1641</v>
                </pt>
                <pt idx="66">
                  <v>0.2302</v>
                </pt>
                <pt idx="67">
                  <v>0.1775</v>
                </pt>
                <pt idx="68">
                  <v>0.1996</v>
                </pt>
                <pt idx="69">
                  <v>0.2383</v>
                </pt>
                <pt idx="70">
                  <v>0.2139</v>
                </pt>
                <pt idx="71">
                  <v>0.1671</v>
                </pt>
                <pt idx="72">
                  <v>0.1859</v>
                </pt>
                <pt idx="73">
                  <v>0.1594</v>
                </pt>
                <pt idx="74">
                  <v>0.1506</v>
                </pt>
                <pt idx="75">
                  <v>0.1864</v>
                </pt>
                <pt idx="76">
                  <v>0.2143</v>
                </pt>
                <pt idx="77">
                  <v>0.389</v>
                </pt>
                <pt idx="78">
                  <v>0.2158</v>
                </pt>
                <pt idx="79">
                  <v>0.4391</v>
                </pt>
                <pt idx="80">
                  <v>0.4291</v>
                </pt>
                <pt idx="81">
                  <v>0.2303</v>
                </pt>
                <pt idx="82">
                  <v>0.255</v>
                </pt>
                <pt idx="83">
                  <v>0.1766</v>
                </pt>
                <pt idx="84">
                  <v>0.1945</v>
                </pt>
                <pt idx="85">
                  <v>0.3429</v>
                </pt>
                <pt idx="86">
                  <v>0.4592</v>
                </pt>
                <pt idx="87">
                  <v>0.1768</v>
                </pt>
                <pt idx="88">
                  <v>0.35</v>
                </pt>
                <pt idx="89">
                  <v>0.2462</v>
                </pt>
                <pt idx="90">
                  <v>0.1649</v>
                </pt>
                <pt idx="91">
                  <v>0.1827</v>
                </pt>
                <pt idx="92">
                  <v>0.204</v>
                </pt>
                <pt idx="93">
                  <v>0.2339</v>
                </pt>
                <pt idx="94">
                  <v>0.1922</v>
                </pt>
                <pt idx="95">
                  <v>0.2964</v>
                </pt>
                <pt idx="96">
                  <v>0.4303</v>
                </pt>
                <pt idx="97">
                  <v>0.4693</v>
                </pt>
                <pt idx="98">
                  <v>0.4703</v>
                </pt>
                <pt idx="99">
                  <v>0.1612</v>
                </pt>
                <pt idx="100">
                  <v>0.3054</v>
                </pt>
                <pt idx="101">
                  <v>0.2769</v>
                </pt>
                <pt idx="102">
                  <v>0.2235</v>
                </pt>
                <pt idx="103">
                  <v>0.169</v>
                </pt>
                <pt idx="104">
                  <v>0.1899</v>
                </pt>
                <pt idx="105">
                  <v>0.1877</v>
                </pt>
                <pt idx="106">
                  <v>0.2601</v>
                </pt>
                <pt idx="107">
                  <v>0.2548</v>
                </pt>
                <pt idx="108">
                  <v>0.157</v>
                </pt>
                <pt idx="109">
                  <v>0.2851</v>
                </pt>
                <pt idx="110">
                  <v>0.1755</v>
                </pt>
                <pt idx="111">
                  <v>0.3385</v>
                </pt>
                <pt idx="112">
                  <v>0.2705</v>
                </pt>
                <pt idx="113">
                  <v>0.3744</v>
                </pt>
                <pt idx="114">
                  <v>0.2048</v>
                </pt>
                <pt idx="115">
                  <v>0.609</v>
                </pt>
                <pt idx="116">
                  <v>0.6523</v>
                </pt>
                <pt idx="117">
                  <v>0.3114</v>
                </pt>
                <pt idx="118">
                  <v>0.2866</v>
                </pt>
                <pt idx="119">
                  <v>0.1575</v>
                </pt>
                <pt idx="120">
                  <v>0.1874</v>
                </pt>
                <pt idx="121">
                  <v>0.1705</v>
                </pt>
                <pt idx="122">
                  <v>0.1876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712450208"/>
        <axId val="1712447328"/>
      </scatterChart>
      <valAx>
        <axId val="1712450208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alpha val="54000"/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12447328"/>
        <crossesAt val="0"/>
        <crossBetween val="midCat"/>
      </valAx>
      <valAx>
        <axId val="1712447328"/>
        <scaling>
          <orientation val="minMax"/>
          <max val="0.5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alpha val="54000"/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12450208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502920</colOff>
      <row>4</row>
      <rowOff>0</rowOff>
    </from>
    <to>
      <col>16</col>
      <colOff>266700</colOff>
      <row>31</row>
      <rowOff>91440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CX Company vs Personal'!A1" TargetMode="External" Id="rId1"/><Relationship Type="http://schemas.openxmlformats.org/officeDocument/2006/relationships/hyperlink" Target="#'Shipping Engine'!A1" TargetMode="External" Id="rId2"/><Relationship Type="http://schemas.openxmlformats.org/officeDocument/2006/relationships/hyperlink" Target="#'NG Scenarios'!A1" TargetMode="External" Id="rId3"/><Relationship Type="http://schemas.openxmlformats.org/officeDocument/2006/relationships/hyperlink" Target="#'NG GIFT Bridge'!A1" TargetMode="External" Id="rId4"/><Relationship Type="http://schemas.openxmlformats.org/officeDocument/2006/relationships/hyperlink" Target="#'NG Risk and Sizing'!A1" TargetMode="External" Id="rId5"/><Relationship Type="http://schemas.openxmlformats.org/officeDocument/2006/relationships/hyperlink" Target="#'NG Inputs'!A1" TargetMode="External" Id="rId6"/><Relationship Type="http://schemas.openxmlformats.org/officeDocument/2006/relationships/hyperlink" Target="#'NG Data'!A1" TargetMode="External" Id="rId7"/><Relationship Type="http://schemas.openxmlformats.org/officeDocument/2006/relationships/hyperlink" Target="#'US ETF Engine'!A1" TargetMode="External" Id="rId8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C24"/>
  <sheetViews>
    <sheetView showGridLines="0" tabSelected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  <col width="34" customWidth="1" min="3" max="3"/>
  </cols>
  <sheetData>
    <row r="1" ht="26" customHeight="1">
      <c r="A1" s="151" t="inlineStr">
        <is>
          <t>START HERE  ·  WHICH TAB DO I NEED?</t>
        </is>
      </c>
      <c r="B1" s="152" t="n"/>
      <c r="C1" s="152" t="n"/>
    </row>
    <row r="2" ht="30" customHeight="1">
      <c r="A2" s="153" t="inlineStr">
        <is>
          <t>Every tab has its own blue input cells at the top. Cycle 0 = opening corpus. Calculation rows are tucked away at the bottom of the two main tabs ([+] in the left margin). Click a tab name to jump.</t>
        </is>
      </c>
    </row>
    <row r="4" ht="20" customHeight="1">
      <c r="A4" s="154" t="inlineStr">
        <is>
          <t>I WANT TO…</t>
        </is>
      </c>
      <c r="B4" s="155" t="n"/>
      <c r="C4" s="155" t="n"/>
    </row>
    <row r="5" ht="22" customHeight="1">
      <c r="A5" s="156" t="inlineStr">
        <is>
          <t>Go to</t>
        </is>
      </c>
      <c r="B5" s="156" t="inlineStr">
        <is>
          <t>Question it answers</t>
        </is>
      </c>
      <c r="C5" s="156" t="inlineStr">
        <is>
          <t>Tax basis</t>
        </is>
      </c>
    </row>
    <row r="6" ht="32" customHeight="1">
      <c r="A6" s="157" t="inlineStr">
        <is>
          <t>MCX Company vs Personal</t>
        </is>
      </c>
      <c r="B6" s="158" t="inlineStr">
        <is>
          <t>Trading MCX gas futures: personally vs a 25.168% company vs company with 1, 2, 3, 4, 5 or 6 family members on payroll — every cycle, in one table</t>
        </is>
      </c>
      <c r="C6" s="158" t="inlineStr">
        <is>
          <t>Company 25.168% vs personal slabs</t>
        </is>
      </c>
    </row>
    <row r="7" ht="32" customHeight="1">
      <c r="A7" s="157" t="inlineStr">
        <is>
          <t>Shipping Engine</t>
        </is>
      </c>
      <c r="B7" s="158" t="inlineStr">
        <is>
          <t>(Separate business) BDRY ETF → freight futures under four tax setups, with a ledger of the case you pick</t>
        </is>
      </c>
      <c r="C7" s="158" t="inlineStr">
        <is>
          <t>0% · 25.168% · 31–39%</t>
        </is>
      </c>
    </row>
    <row r="8" ht="32" customHeight="1">
      <c r="A8" s="157" t="inlineStr">
        <is>
          <t>NG Scenarios</t>
        </is>
      </c>
      <c r="B8" s="158" t="inlineStr">
        <is>
          <t>Bull / base / bear paths for MCX natural gas at three starting sizes</t>
        </is>
      </c>
      <c r="C8" s="158" t="inlineStr">
        <is>
          <t>Company 25.168%</t>
        </is>
      </c>
    </row>
    <row r="9" ht="32" customHeight="1">
      <c r="A9" s="157" t="inlineStr">
        <is>
          <t>NG GIFT Bridge</t>
        </is>
      </c>
      <c r="B9" s="158" t="inlineStr">
        <is>
          <t>Stay on MCX, switch to GIFT, or run both?</t>
        </is>
      </c>
      <c r="C9" s="158" t="inlineStr">
        <is>
          <t>Company 25.168%</t>
        </is>
      </c>
    </row>
    <row r="10" ht="32" customHeight="1">
      <c r="A10" s="157" t="inlineStr">
        <is>
          <t>NG Risk and Sizing</t>
        </is>
      </c>
      <c r="B10" s="158" t="inlineStr">
        <is>
          <t>What do rolls, margin hikes and Kelly sizing do to natural-gas returns?</t>
        </is>
      </c>
      <c r="C10" s="158" t="inlineStr">
        <is>
          <t>Company 25.168%</t>
        </is>
      </c>
    </row>
    <row r="11" ht="32" customHeight="1">
      <c r="A11" s="157" t="inlineStr">
        <is>
          <t>NG Inputs</t>
        </is>
      </c>
      <c r="B11" s="158" t="inlineStr">
        <is>
          <t>Shared natural-gas assumptions plus the personal slab tables</t>
        </is>
      </c>
      <c r="C11" s="158" t="inlineStr">
        <is>
          <t>—</t>
        </is>
      </c>
    </row>
    <row r="12" ht="32" customHeight="1">
      <c r="A12" s="157" t="inlineStr">
        <is>
          <t>NG Data</t>
        </is>
      </c>
      <c r="B12" s="158" t="inlineStr">
        <is>
          <t>The 123 price legs behind the margin assumptions</t>
        </is>
      </c>
      <c r="C12" s="158" t="inlineStr">
        <is>
          <t>—</t>
        </is>
      </c>
    </row>
    <row r="13" ht="32" customHeight="1">
      <c r="A13" s="157" t="inlineStr">
        <is>
          <t>US ETF Engine</t>
        </is>
      </c>
      <c r="B13" s="158" t="inlineStr">
        <is>
          <t>(Separate business) leveraged US ETFs through INDmoney → IBKR</t>
        </is>
      </c>
      <c r="C13" s="158" t="inlineStr">
        <is>
          <t>Personal 31–39%</t>
        </is>
      </c>
    </row>
    <row r="15" ht="20" customHeight="1">
      <c r="A15" s="154" t="inlineStr">
        <is>
          <t>COLOUR CODE</t>
        </is>
      </c>
      <c r="B15" s="155" t="n"/>
      <c r="C15" s="155" t="n"/>
    </row>
    <row r="16">
      <c r="A16" s="159" t="inlineStr">
        <is>
          <t>Blue on cream = edit me</t>
        </is>
      </c>
    </row>
    <row r="17">
      <c r="A17" s="160" t="inlineStr">
        <is>
          <t>Green on mint = linked from another tab — change it at the source</t>
        </is>
      </c>
    </row>
    <row r="18">
      <c r="A18" s="161" t="inlineStr">
        <is>
          <t>Blue on light-blue = derived</t>
        </is>
      </c>
    </row>
    <row r="19">
      <c r="A19" s="162" t="inlineStr">
        <is>
          <t>Green bold = result</t>
        </is>
      </c>
    </row>
    <row r="21" ht="20" customHeight="1">
      <c r="A21" s="154" t="inlineStr">
        <is>
          <t>WHAT CHANGED IN THIS VERSION</t>
        </is>
      </c>
      <c r="B21" s="155" t="n"/>
      <c r="C21" s="155" t="n"/>
    </row>
    <row r="22" ht="32" customHeight="1">
      <c r="A22" s="163" t="inlineStr">
        <is>
          <t>1.  MCX tab: one column (and one engine ledger) for every payroll size — Personal, Company, Company + 1 member … + 6 members — so you no longer have to guess how many people are on payroll. The members control is gone.</t>
        </is>
      </c>
    </row>
    <row r="23" ht="32" customHeight="1">
      <c r="A23" s="163" t="inlineStr">
        <is>
          <t>2.  The ledger dropdown now picks any of those 8 routes; key results list all 8 with the cycle where each overtakes personal.</t>
        </is>
      </c>
    </row>
    <row r="24" ht="32" customHeight="1">
      <c r="A24" s="163" t="inlineStr">
        <is>
          <t>3.  The members × recycle-ratio grid is kept for the ratio question.</t>
        </is>
      </c>
    </row>
  </sheetData>
  <mergeCells count="8">
    <mergeCell ref="A1:C1"/>
    <mergeCell ref="A23:C23"/>
    <mergeCell ref="A22:C22"/>
    <mergeCell ref="A21:C21"/>
    <mergeCell ref="A15:C15"/>
    <mergeCell ref="A4:C4"/>
    <mergeCell ref="A24:C24"/>
    <mergeCell ref="A2:C2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0"/>
    <pageSetUpPr fitToPage="1"/>
  </sheetPr>
  <dimension ref="A1:AQ330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</cols>
  <sheetData>
    <row r="1" ht="26" customHeight="1">
      <c r="A1" s="151" t="inlineStr">
        <is>
          <t>MCX NATURAL-GAS FUTURES  ·  YOU PERSONALLY vs YOUR COMPANY (25.168%) vs COMPANY + 1 … 6 FAMILY MEMBERS ON PAYROLL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</row>
    <row r="2" ht="30" customHeight="1">
      <c r="A2" s="153" t="inlineStr">
        <is>
          <t>Business income from MCX futures (CTT charged ⇒ non-speculative). Change the blue cells; every table reprices. Cycle 0 = opening. The calculation engine is tucked away at the bottom ([+] in the left margin). Money stays in the company.</t>
        </is>
      </c>
    </row>
    <row r="4" ht="20" customHeight="1">
      <c r="A4" s="154" t="inlineStr">
        <is>
          <t>CONTROLS  —  this sheet only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5" t="n"/>
      <c r="M4" s="155" t="n"/>
      <c r="N4" s="155" t="n"/>
      <c r="O4" s="155" t="n"/>
      <c r="P4" s="155" t="n"/>
      <c r="Q4" s="155" t="n"/>
      <c r="R4" s="155" t="n"/>
      <c r="S4" s="155" t="n"/>
      <c r="U4" s="164" t="inlineStr">
        <is>
          <t>Route list</t>
        </is>
      </c>
    </row>
    <row r="5">
      <c r="A5" s="164" t="inlineStr">
        <is>
          <t>Starting capital (₹ Cr)</t>
        </is>
      </c>
      <c r="B5" s="165" t="n">
        <v>0.6</v>
      </c>
      <c r="C5" s="166" t="inlineStr">
        <is>
          <t>Opening trading capital</t>
        </is>
      </c>
      <c r="U5" s="164" t="inlineStr">
        <is>
          <t>Personal</t>
        </is>
      </c>
    </row>
    <row r="6">
      <c r="A6" s="164" t="inlineStr">
        <is>
          <t>Gross return per cycle (on deployed capital)</t>
        </is>
      </c>
      <c r="B6" s="167" t="n">
        <v>1</v>
      </c>
      <c r="C6" s="166" t="inlineStr">
        <is>
          <t>Change 100% → 75% and everything reprices</t>
        </is>
      </c>
      <c r="U6" s="164" t="inlineStr">
        <is>
          <t>Company</t>
        </is>
      </c>
    </row>
    <row r="7">
      <c r="A7" s="164" t="inlineStr">
        <is>
          <t>Cycle length (months)</t>
        </is>
      </c>
      <c r="B7" s="168" t="n">
        <v>18</v>
      </c>
      <c r="C7" s="166" t="inlineStr">
        <is>
          <t>Spreads each cycle's profit over financial years for personal slab tax</t>
        </is>
      </c>
      <c r="U7" s="164" t="inlineStr">
        <is>
          <t>Company + 1 member</t>
        </is>
      </c>
    </row>
    <row r="8">
      <c r="A8" s="164" t="inlineStr">
        <is>
          <t>Company tax rate (22% + 10% surcharge + 4% cess)</t>
        </is>
      </c>
      <c r="B8" s="167" t="n">
        <v>0.25168</v>
      </c>
      <c r="C8" s="166" t="inlineStr">
        <is>
          <t>0% shows a tax-holiday case</t>
        </is>
      </c>
      <c r="U8" s="164" t="inlineStr">
        <is>
          <t>Company + 2 members</t>
        </is>
      </c>
    </row>
    <row r="9">
      <c r="A9" s="164" t="inlineStr">
        <is>
          <t>Company running cost per cycle (₹ Cr)</t>
        </is>
      </c>
      <c r="B9" s="165" t="n">
        <v>0.05</v>
      </c>
      <c r="C9" s="166" t="inlineStr">
        <is>
          <t>Your estimate ≈ ₹5L (statutory audit by a CA is part of it)</t>
        </is>
      </c>
      <c r="U9" s="164" t="inlineStr">
        <is>
          <t>Company + 3 members</t>
        </is>
      </c>
    </row>
    <row r="10">
      <c r="A10" s="164" t="inlineStr">
        <is>
          <t>Personal route running cost per cycle (₹ Cr)</t>
        </is>
      </c>
      <c r="B10" s="165" t="n">
        <v>0</v>
      </c>
      <c r="C10" s="166" t="inlineStr">
        <is>
          <t>Laptop + internet ≈ 0</t>
        </is>
      </c>
      <c r="U10" s="164" t="inlineStr">
        <is>
          <t>Company + 4 members</t>
        </is>
      </c>
    </row>
    <row r="11">
      <c r="A11" s="164" t="inlineStr">
        <is>
          <t>Recycle ratio r (share of salary lent back)</t>
        </is>
      </c>
      <c r="B11" s="167" t="n">
        <v>1</v>
      </c>
      <c r="C11" s="166" t="inlineStr">
        <is>
          <t>Rest is spent by the family; the grid below shows the effect</t>
        </is>
      </c>
      <c r="U11" s="164" t="inlineStr">
        <is>
          <t>Company + 5 members</t>
        </is>
      </c>
    </row>
    <row r="12">
      <c r="A12" s="164" t="inlineStr">
        <is>
          <t>Per-person salary cap per YEAR (₹ Cr)</t>
        </is>
      </c>
      <c r="B12" s="165" t="n">
        <v>0.12</v>
      </c>
      <c r="C12" s="166" t="inlineStr">
        <is>
          <t>₹12L/yr — inside the s.87A rebate (assumes no other income)</t>
        </is>
      </c>
      <c r="U12" s="164" t="inlineStr">
        <is>
          <t>Company + 6 members</t>
        </is>
      </c>
    </row>
    <row r="13">
      <c r="A13" s="164" t="inlineStr">
        <is>
          <t>Total salary cap (% of cycle profit)</t>
        </is>
      </c>
      <c r="B13" s="167" t="n">
        <v>0.4</v>
      </c>
      <c r="C13" s="166" t="inlineStr">
        <is>
          <t>s.40A(2) prudence limit, not a statutory number</t>
        </is>
      </c>
    </row>
    <row r="14">
      <c r="A14" s="164" t="inlineStr">
        <is>
          <t>Route shown in the cycle ledger</t>
        </is>
      </c>
      <c r="B14" s="169" t="inlineStr">
        <is>
          <t>Company + 3 members</t>
        </is>
      </c>
      <c r="C14" s="170">
        <f>MATCH(B14,$U$5:$U$12,0)</f>
        <v/>
      </c>
      <c r="D14" s="166" t="inlineStr">
        <is>
          <t>◄ route number (1–8)</t>
        </is>
      </c>
    </row>
    <row r="15">
      <c r="A15" s="164" t="inlineStr">
        <is>
          <t>Deployable-capital ceiling (₹ Cr)</t>
        </is>
      </c>
      <c r="B15" s="171">
        <f>'NG Inputs'!B9/10000000*'NG Data'!D134</f>
        <v/>
      </c>
      <c r="C15" s="166" t="inlineStr">
        <is>
          <t>MCX liquidity ceiling × margin; excess earns the idle yield</t>
        </is>
      </c>
    </row>
    <row r="16">
      <c r="A16" s="164" t="inlineStr">
        <is>
          <t>Idle-capital yield (liquid fund)</t>
        </is>
      </c>
      <c r="B16" s="172">
        <f>'NG Inputs'!B10</f>
        <v/>
      </c>
      <c r="C16" s="166" t="inlineStr">
        <is>
          <t>From NG Inputs</t>
        </is>
      </c>
    </row>
    <row r="17">
      <c r="A17" s="164" t="inlineStr">
        <is>
          <t>Salary cap per person per cycle (₹ Cr)</t>
        </is>
      </c>
      <c r="B17" s="173">
        <f>B12*B7/12</f>
        <v/>
      </c>
      <c r="C17" s="166" t="inlineStr">
        <is>
          <t>annual cap × cycle months ÷ 12</t>
        </is>
      </c>
    </row>
    <row r="19" ht="20" customHeight="1">
      <c r="A19" s="154" t="inlineStr">
        <is>
          <t>KEY RESULTS  —  corpus at the end of cycle 5, 10 and 20 (₹ Cr), one row per payroll size</t>
        </is>
      </c>
      <c r="B19" s="155" t="n"/>
      <c r="C19" s="155" t="n"/>
      <c r="D19" s="155" t="n"/>
      <c r="E19" s="155" t="n"/>
      <c r="F19" s="155" t="n"/>
      <c r="G19" s="155" t="n"/>
      <c r="H19" s="155" t="n"/>
      <c r="I19" s="155" t="n"/>
      <c r="J19" s="155" t="n"/>
      <c r="K19" s="155" t="n"/>
      <c r="L19" s="155" t="n"/>
      <c r="M19" s="155" t="n"/>
      <c r="N19" s="155" t="n"/>
      <c r="O19" s="155" t="n"/>
      <c r="P19" s="155" t="n"/>
      <c r="Q19" s="155" t="n"/>
      <c r="R19" s="155" t="n"/>
      <c r="S19" s="155" t="n"/>
    </row>
    <row r="20" ht="34" customHeight="1">
      <c r="A20" s="156" t="inlineStr">
        <is>
          <t>Route</t>
        </is>
      </c>
      <c r="B20" s="156" t="inlineStr">
        <is>
          <t>After cycle 5</t>
        </is>
      </c>
      <c r="C20" s="156" t="inlineStr">
        <is>
          <t>After cycle 10</t>
        </is>
      </c>
      <c r="D20" s="156" t="inlineStr">
        <is>
          <t>After cycle 20</t>
        </is>
      </c>
      <c r="E20" s="156" t="inlineStr">
        <is>
          <t>Overtakes personal from cycle</t>
        </is>
      </c>
      <c r="F20" s="156" t="inlineStr">
        <is>
          <t>Extra vs plain company (cycle 20)</t>
        </is>
      </c>
    </row>
    <row r="21">
      <c r="A21" s="164" t="inlineStr">
        <is>
          <t>Personal</t>
        </is>
      </c>
      <c r="B21" s="174">
        <f>INDEX(B33:B53,6)</f>
        <v/>
      </c>
      <c r="C21" s="174">
        <f>INDEX(B33:B53,11)</f>
        <v/>
      </c>
      <c r="D21" s="174">
        <f>INDEX(B33:B53,21)</f>
        <v/>
      </c>
      <c r="E21" s="175" t="inlineStr">
        <is>
          <t>—</t>
        </is>
      </c>
      <c r="F21" s="176" t="inlineStr">
        <is>
          <t>—</t>
        </is>
      </c>
    </row>
    <row r="22">
      <c r="A22" s="164" t="inlineStr">
        <is>
          <t>Company</t>
        </is>
      </c>
      <c r="B22" s="174">
        <f>INDEX(C33:C53,6)</f>
        <v/>
      </c>
      <c r="C22" s="174">
        <f>INDEX(C33:C53,11)</f>
        <v/>
      </c>
      <c r="D22" s="174">
        <f>INDEX(C33:C53,21)</f>
        <v/>
      </c>
      <c r="E22" s="177">
        <f>IFERROR(MATCH(1,M33:M53,0)-1,"not within 20")</f>
        <v/>
      </c>
      <c r="F22" s="174">
        <f>D22-$D$22</f>
        <v/>
      </c>
    </row>
    <row r="23">
      <c r="A23" s="164" t="inlineStr">
        <is>
          <t>Company + 1 member</t>
        </is>
      </c>
      <c r="B23" s="174">
        <f>INDEX(D33:D53,6)</f>
        <v/>
      </c>
      <c r="C23" s="174">
        <f>INDEX(D33:D53,11)</f>
        <v/>
      </c>
      <c r="D23" s="174">
        <f>INDEX(D33:D53,21)</f>
        <v/>
      </c>
      <c r="E23" s="177">
        <f>IFERROR(MATCH(1,N33:N53,0)-1,"not within 20")</f>
        <v/>
      </c>
      <c r="F23" s="174">
        <f>D23-$D$22</f>
        <v/>
      </c>
    </row>
    <row r="24">
      <c r="A24" s="164" t="inlineStr">
        <is>
          <t>Company + 2 members</t>
        </is>
      </c>
      <c r="B24" s="174">
        <f>INDEX(E33:E53,6)</f>
        <v/>
      </c>
      <c r="C24" s="174">
        <f>INDEX(E33:E53,11)</f>
        <v/>
      </c>
      <c r="D24" s="174">
        <f>INDEX(E33:E53,21)</f>
        <v/>
      </c>
      <c r="E24" s="177">
        <f>IFERROR(MATCH(1,O33:O53,0)-1,"not within 20")</f>
        <v/>
      </c>
      <c r="F24" s="174">
        <f>D24-$D$22</f>
        <v/>
      </c>
    </row>
    <row r="25">
      <c r="A25" s="164" t="inlineStr">
        <is>
          <t>Company + 3 members</t>
        </is>
      </c>
      <c r="B25" s="174">
        <f>INDEX(F33:F53,6)</f>
        <v/>
      </c>
      <c r="C25" s="174">
        <f>INDEX(F33:F53,11)</f>
        <v/>
      </c>
      <c r="D25" s="174">
        <f>INDEX(F33:F53,21)</f>
        <v/>
      </c>
      <c r="E25" s="177">
        <f>IFERROR(MATCH(1,P33:P53,0)-1,"not within 20")</f>
        <v/>
      </c>
      <c r="F25" s="174">
        <f>D25-$D$22</f>
        <v/>
      </c>
    </row>
    <row r="26">
      <c r="A26" s="164" t="inlineStr">
        <is>
          <t>Company + 4 members</t>
        </is>
      </c>
      <c r="B26" s="174">
        <f>INDEX(G33:G53,6)</f>
        <v/>
      </c>
      <c r="C26" s="174">
        <f>INDEX(G33:G53,11)</f>
        <v/>
      </c>
      <c r="D26" s="174">
        <f>INDEX(G33:G53,21)</f>
        <v/>
      </c>
      <c r="E26" s="177">
        <f>IFERROR(MATCH(1,Q33:Q53,0)-1,"not within 20")</f>
        <v/>
      </c>
      <c r="F26" s="174">
        <f>D26-$D$22</f>
        <v/>
      </c>
    </row>
    <row r="27">
      <c r="A27" s="164" t="inlineStr">
        <is>
          <t>Company + 5 members</t>
        </is>
      </c>
      <c r="B27" s="174">
        <f>INDEX(H33:H53,6)</f>
        <v/>
      </c>
      <c r="C27" s="174">
        <f>INDEX(H33:H53,11)</f>
        <v/>
      </c>
      <c r="D27" s="174">
        <f>INDEX(H33:H53,21)</f>
        <v/>
      </c>
      <c r="E27" s="177">
        <f>IFERROR(MATCH(1,R33:R53,0)-1,"not within 20")</f>
        <v/>
      </c>
      <c r="F27" s="174">
        <f>D27-$D$22</f>
        <v/>
      </c>
    </row>
    <row r="28">
      <c r="A28" s="164" t="inlineStr">
        <is>
          <t>Company + 6 members</t>
        </is>
      </c>
      <c r="B28" s="174">
        <f>INDEX(I33:I53,6)</f>
        <v/>
      </c>
      <c r="C28" s="174">
        <f>INDEX(I33:I53,11)</f>
        <v/>
      </c>
      <c r="D28" s="174">
        <f>INDEX(I33:I53,21)</f>
        <v/>
      </c>
      <c r="E28" s="177">
        <f>IFERROR(MATCH(1,S33:S53,0)-1,"not within 20")</f>
        <v/>
      </c>
      <c r="F28" s="174">
        <f>D28-$D$22</f>
        <v/>
      </c>
    </row>
    <row r="31" ht="20" customHeight="1">
      <c r="A31" s="154" t="inlineStr">
        <is>
          <t>EVERY CYCLE  —  corpus at the end of each cycle (₹ Cr), one column per payroll size; cycle 0 = opening; best route highlighted</t>
        </is>
      </c>
      <c r="B31" s="155" t="n"/>
      <c r="C31" s="155" t="n"/>
      <c r="D31" s="155" t="n"/>
      <c r="E31" s="155" t="n"/>
      <c r="F31" s="155" t="n"/>
      <c r="G31" s="155" t="n"/>
      <c r="H31" s="155" t="n"/>
      <c r="I31" s="155" t="n"/>
      <c r="J31" s="155" t="n"/>
      <c r="K31" s="155" t="n"/>
      <c r="L31" s="155" t="n"/>
      <c r="M31" s="155" t="n"/>
      <c r="N31" s="155" t="n"/>
      <c r="O31" s="155" t="n"/>
      <c r="P31" s="155" t="n"/>
      <c r="Q31" s="155" t="n"/>
      <c r="R31" s="155" t="n"/>
      <c r="S31" s="155" t="n"/>
    </row>
    <row r="32" ht="48" customHeight="1">
      <c r="A32" s="156" t="inlineStr">
        <is>
          <t>Cycle</t>
        </is>
      </c>
      <c r="B32" s="156" t="inlineStr">
        <is>
          <t>Personal</t>
        </is>
      </c>
      <c r="C32" s="156" t="inlineStr">
        <is>
          <t>Company</t>
        </is>
      </c>
      <c r="D32" s="156" t="inlineStr">
        <is>
          <t>Company + 1 member</t>
        </is>
      </c>
      <c r="E32" s="156" t="inlineStr">
        <is>
          <t>Company + 2 members</t>
        </is>
      </c>
      <c r="F32" s="156" t="inlineStr">
        <is>
          <t>Company + 3 members</t>
        </is>
      </c>
      <c r="G32" s="156" t="inlineStr">
        <is>
          <t>Company + 4 members</t>
        </is>
      </c>
      <c r="H32" s="156" t="inlineStr">
        <is>
          <t>Company + 5 members</t>
        </is>
      </c>
      <c r="I32" s="156" t="inlineStr">
        <is>
          <t>Company + 6 members</t>
        </is>
      </c>
      <c r="J32" s="156" t="inlineStr">
        <is>
          <t>Best route</t>
        </is>
      </c>
      <c r="K32" s="156" t="inlineStr">
        <is>
          <t>Company vs personal</t>
        </is>
      </c>
      <c r="L32" s="156" t="inlineStr">
        <is>
          <t>Best payroll adds vs company</t>
        </is>
      </c>
      <c r="M32" s="156" t="inlineStr">
        <is>
          <t>Co&gt;P?</t>
        </is>
      </c>
      <c r="N32" s="156" t="inlineStr">
        <is>
          <t>+1&gt;P?</t>
        </is>
      </c>
      <c r="O32" s="156" t="inlineStr">
        <is>
          <t>+2&gt;P?</t>
        </is>
      </c>
      <c r="P32" s="156" t="inlineStr">
        <is>
          <t>+3&gt;P?</t>
        </is>
      </c>
      <c r="Q32" s="156" t="inlineStr">
        <is>
          <t>+4&gt;P?</t>
        </is>
      </c>
      <c r="R32" s="156" t="inlineStr">
        <is>
          <t>+5&gt;P?</t>
        </is>
      </c>
      <c r="S32" s="156" t="inlineStr">
        <is>
          <t>+6&gt;P?</t>
        </is>
      </c>
    </row>
    <row r="33">
      <c r="A33" s="178" t="n">
        <v>0</v>
      </c>
      <c r="B33" s="179">
        <f>$B$5</f>
        <v/>
      </c>
      <c r="C33" s="179">
        <f>$B$5</f>
        <v/>
      </c>
      <c r="D33" s="179">
        <f>$B$5</f>
        <v/>
      </c>
      <c r="E33" s="179">
        <f>$B$5</f>
        <v/>
      </c>
      <c r="F33" s="179">
        <f>$B$5</f>
        <v/>
      </c>
      <c r="G33" s="179">
        <f>$B$5</f>
        <v/>
      </c>
      <c r="H33" s="179">
        <f>$B$5</f>
        <v/>
      </c>
      <c r="I33" s="179">
        <f>$B$5</f>
        <v/>
      </c>
      <c r="J33" s="175">
        <f>IF(A33=0,"—",INDEX($B$32:$I$32,MATCH(MAX(B33:I33),B33:I33,0)))</f>
        <v/>
      </c>
      <c r="K33" s="174">
        <f>C33-B33</f>
        <v/>
      </c>
      <c r="L33" s="174">
        <f>MAX(D33:I33)-C33</f>
        <v/>
      </c>
      <c r="M33" s="180">
        <f>IF(AND($A33&gt;0,C33&gt;$B33),1,0)</f>
        <v/>
      </c>
      <c r="N33" s="180">
        <f>IF(AND($A33&gt;0,D33&gt;$B33),1,0)</f>
        <v/>
      </c>
      <c r="O33" s="180">
        <f>IF(AND($A33&gt;0,E33&gt;$B33),1,0)</f>
        <v/>
      </c>
      <c r="P33" s="180">
        <f>IF(AND($A33&gt;0,F33&gt;$B33),1,0)</f>
        <v/>
      </c>
      <c r="Q33" s="180">
        <f>IF(AND($A33&gt;0,G33&gt;$B33),1,0)</f>
        <v/>
      </c>
      <c r="R33" s="180">
        <f>IF(AND($A33&gt;0,H33&gt;$B33),1,0)</f>
        <v/>
      </c>
      <c r="S33" s="180">
        <f>IF(AND($A33&gt;0,I33&gt;$B33),1,0)</f>
        <v/>
      </c>
    </row>
    <row r="34">
      <c r="A34" s="178" t="n">
        <v>1</v>
      </c>
      <c r="B34" s="179">
        <f>K111</f>
        <v/>
      </c>
      <c r="C34" s="179">
        <f>K136</f>
        <v/>
      </c>
      <c r="D34" s="179">
        <f>K161</f>
        <v/>
      </c>
      <c r="E34" s="179">
        <f>K186</f>
        <v/>
      </c>
      <c r="F34" s="179">
        <f>K211</f>
        <v/>
      </c>
      <c r="G34" s="179">
        <f>K236</f>
        <v/>
      </c>
      <c r="H34" s="179">
        <f>K261</f>
        <v/>
      </c>
      <c r="I34" s="179">
        <f>K286</f>
        <v/>
      </c>
      <c r="J34" s="175">
        <f>IF(A34=0,"—",INDEX($B$32:$I$32,MATCH(MAX(B34:I34),B34:I34,0)))</f>
        <v/>
      </c>
      <c r="K34" s="174">
        <f>C34-B34</f>
        <v/>
      </c>
      <c r="L34" s="174">
        <f>MAX(D34:I34)-C34</f>
        <v/>
      </c>
      <c r="M34" s="180">
        <f>IF(AND($A34&gt;0,C34&gt;$B34),1,0)</f>
        <v/>
      </c>
      <c r="N34" s="180">
        <f>IF(AND($A34&gt;0,D34&gt;$B34),1,0)</f>
        <v/>
      </c>
      <c r="O34" s="180">
        <f>IF(AND($A34&gt;0,E34&gt;$B34),1,0)</f>
        <v/>
      </c>
      <c r="P34" s="180">
        <f>IF(AND($A34&gt;0,F34&gt;$B34),1,0)</f>
        <v/>
      </c>
      <c r="Q34" s="180">
        <f>IF(AND($A34&gt;0,G34&gt;$B34),1,0)</f>
        <v/>
      </c>
      <c r="R34" s="180">
        <f>IF(AND($A34&gt;0,H34&gt;$B34),1,0)</f>
        <v/>
      </c>
      <c r="S34" s="180">
        <f>IF(AND($A34&gt;0,I34&gt;$B34),1,0)</f>
        <v/>
      </c>
    </row>
    <row r="35">
      <c r="A35" s="178" t="n">
        <v>2</v>
      </c>
      <c r="B35" s="179">
        <f>K112</f>
        <v/>
      </c>
      <c r="C35" s="179">
        <f>K137</f>
        <v/>
      </c>
      <c r="D35" s="179">
        <f>K162</f>
        <v/>
      </c>
      <c r="E35" s="179">
        <f>K187</f>
        <v/>
      </c>
      <c r="F35" s="179">
        <f>K212</f>
        <v/>
      </c>
      <c r="G35" s="179">
        <f>K237</f>
        <v/>
      </c>
      <c r="H35" s="179">
        <f>K262</f>
        <v/>
      </c>
      <c r="I35" s="179">
        <f>K287</f>
        <v/>
      </c>
      <c r="J35" s="175">
        <f>IF(A35=0,"—",INDEX($B$32:$I$32,MATCH(MAX(B35:I35),B35:I35,0)))</f>
        <v/>
      </c>
      <c r="K35" s="174">
        <f>C35-B35</f>
        <v/>
      </c>
      <c r="L35" s="174">
        <f>MAX(D35:I35)-C35</f>
        <v/>
      </c>
      <c r="M35" s="180">
        <f>IF(AND($A35&gt;0,C35&gt;$B35),1,0)</f>
        <v/>
      </c>
      <c r="N35" s="180">
        <f>IF(AND($A35&gt;0,D35&gt;$B35),1,0)</f>
        <v/>
      </c>
      <c r="O35" s="180">
        <f>IF(AND($A35&gt;0,E35&gt;$B35),1,0)</f>
        <v/>
      </c>
      <c r="P35" s="180">
        <f>IF(AND($A35&gt;0,F35&gt;$B35),1,0)</f>
        <v/>
      </c>
      <c r="Q35" s="180">
        <f>IF(AND($A35&gt;0,G35&gt;$B35),1,0)</f>
        <v/>
      </c>
      <c r="R35" s="180">
        <f>IF(AND($A35&gt;0,H35&gt;$B35),1,0)</f>
        <v/>
      </c>
      <c r="S35" s="180">
        <f>IF(AND($A35&gt;0,I35&gt;$B35),1,0)</f>
        <v/>
      </c>
    </row>
    <row r="36">
      <c r="A36" s="178" t="n">
        <v>3</v>
      </c>
      <c r="B36" s="179">
        <f>K113</f>
        <v/>
      </c>
      <c r="C36" s="179">
        <f>K138</f>
        <v/>
      </c>
      <c r="D36" s="179">
        <f>K163</f>
        <v/>
      </c>
      <c r="E36" s="179">
        <f>K188</f>
        <v/>
      </c>
      <c r="F36" s="179">
        <f>K213</f>
        <v/>
      </c>
      <c r="G36" s="179">
        <f>K238</f>
        <v/>
      </c>
      <c r="H36" s="179">
        <f>K263</f>
        <v/>
      </c>
      <c r="I36" s="179">
        <f>K288</f>
        <v/>
      </c>
      <c r="J36" s="175">
        <f>IF(A36=0,"—",INDEX($B$32:$I$32,MATCH(MAX(B36:I36),B36:I36,0)))</f>
        <v/>
      </c>
      <c r="K36" s="174">
        <f>C36-B36</f>
        <v/>
      </c>
      <c r="L36" s="174">
        <f>MAX(D36:I36)-C36</f>
        <v/>
      </c>
      <c r="M36" s="180">
        <f>IF(AND($A36&gt;0,C36&gt;$B36),1,0)</f>
        <v/>
      </c>
      <c r="N36" s="180">
        <f>IF(AND($A36&gt;0,D36&gt;$B36),1,0)</f>
        <v/>
      </c>
      <c r="O36" s="180">
        <f>IF(AND($A36&gt;0,E36&gt;$B36),1,0)</f>
        <v/>
      </c>
      <c r="P36" s="180">
        <f>IF(AND($A36&gt;0,F36&gt;$B36),1,0)</f>
        <v/>
      </c>
      <c r="Q36" s="180">
        <f>IF(AND($A36&gt;0,G36&gt;$B36),1,0)</f>
        <v/>
      </c>
      <c r="R36" s="180">
        <f>IF(AND($A36&gt;0,H36&gt;$B36),1,0)</f>
        <v/>
      </c>
      <c r="S36" s="180">
        <f>IF(AND($A36&gt;0,I36&gt;$B36),1,0)</f>
        <v/>
      </c>
    </row>
    <row r="37">
      <c r="A37" s="178" t="n">
        <v>4</v>
      </c>
      <c r="B37" s="179">
        <f>K114</f>
        <v/>
      </c>
      <c r="C37" s="179">
        <f>K139</f>
        <v/>
      </c>
      <c r="D37" s="179">
        <f>K164</f>
        <v/>
      </c>
      <c r="E37" s="179">
        <f>K189</f>
        <v/>
      </c>
      <c r="F37" s="179">
        <f>K214</f>
        <v/>
      </c>
      <c r="G37" s="179">
        <f>K239</f>
        <v/>
      </c>
      <c r="H37" s="179">
        <f>K264</f>
        <v/>
      </c>
      <c r="I37" s="179">
        <f>K289</f>
        <v/>
      </c>
      <c r="J37" s="175">
        <f>IF(A37=0,"—",INDEX($B$32:$I$32,MATCH(MAX(B37:I37),B37:I37,0)))</f>
        <v/>
      </c>
      <c r="K37" s="174">
        <f>C37-B37</f>
        <v/>
      </c>
      <c r="L37" s="174">
        <f>MAX(D37:I37)-C37</f>
        <v/>
      </c>
      <c r="M37" s="180">
        <f>IF(AND($A37&gt;0,C37&gt;$B37),1,0)</f>
        <v/>
      </c>
      <c r="N37" s="180">
        <f>IF(AND($A37&gt;0,D37&gt;$B37),1,0)</f>
        <v/>
      </c>
      <c r="O37" s="180">
        <f>IF(AND($A37&gt;0,E37&gt;$B37),1,0)</f>
        <v/>
      </c>
      <c r="P37" s="180">
        <f>IF(AND($A37&gt;0,F37&gt;$B37),1,0)</f>
        <v/>
      </c>
      <c r="Q37" s="180">
        <f>IF(AND($A37&gt;0,G37&gt;$B37),1,0)</f>
        <v/>
      </c>
      <c r="R37" s="180">
        <f>IF(AND($A37&gt;0,H37&gt;$B37),1,0)</f>
        <v/>
      </c>
      <c r="S37" s="180">
        <f>IF(AND($A37&gt;0,I37&gt;$B37),1,0)</f>
        <v/>
      </c>
    </row>
    <row r="38">
      <c r="A38" s="178" t="n">
        <v>5</v>
      </c>
      <c r="B38" s="179">
        <f>K115</f>
        <v/>
      </c>
      <c r="C38" s="179">
        <f>K140</f>
        <v/>
      </c>
      <c r="D38" s="179">
        <f>K165</f>
        <v/>
      </c>
      <c r="E38" s="179">
        <f>K190</f>
        <v/>
      </c>
      <c r="F38" s="179">
        <f>K215</f>
        <v/>
      </c>
      <c r="G38" s="179">
        <f>K240</f>
        <v/>
      </c>
      <c r="H38" s="179">
        <f>K265</f>
        <v/>
      </c>
      <c r="I38" s="179">
        <f>K290</f>
        <v/>
      </c>
      <c r="J38" s="175">
        <f>IF(A38=0,"—",INDEX($B$32:$I$32,MATCH(MAX(B38:I38),B38:I38,0)))</f>
        <v/>
      </c>
      <c r="K38" s="174">
        <f>C38-B38</f>
        <v/>
      </c>
      <c r="L38" s="174">
        <f>MAX(D38:I38)-C38</f>
        <v/>
      </c>
      <c r="M38" s="180">
        <f>IF(AND($A38&gt;0,C38&gt;$B38),1,0)</f>
        <v/>
      </c>
      <c r="N38" s="180">
        <f>IF(AND($A38&gt;0,D38&gt;$B38),1,0)</f>
        <v/>
      </c>
      <c r="O38" s="180">
        <f>IF(AND($A38&gt;0,E38&gt;$B38),1,0)</f>
        <v/>
      </c>
      <c r="P38" s="180">
        <f>IF(AND($A38&gt;0,F38&gt;$B38),1,0)</f>
        <v/>
      </c>
      <c r="Q38" s="180">
        <f>IF(AND($A38&gt;0,G38&gt;$B38),1,0)</f>
        <v/>
      </c>
      <c r="R38" s="180">
        <f>IF(AND($A38&gt;0,H38&gt;$B38),1,0)</f>
        <v/>
      </c>
      <c r="S38" s="180">
        <f>IF(AND($A38&gt;0,I38&gt;$B38),1,0)</f>
        <v/>
      </c>
    </row>
    <row r="39">
      <c r="A39" s="178" t="n">
        <v>6</v>
      </c>
      <c r="B39" s="179">
        <f>K116</f>
        <v/>
      </c>
      <c r="C39" s="179">
        <f>K141</f>
        <v/>
      </c>
      <c r="D39" s="179">
        <f>K166</f>
        <v/>
      </c>
      <c r="E39" s="179">
        <f>K191</f>
        <v/>
      </c>
      <c r="F39" s="179">
        <f>K216</f>
        <v/>
      </c>
      <c r="G39" s="179">
        <f>K241</f>
        <v/>
      </c>
      <c r="H39" s="179">
        <f>K266</f>
        <v/>
      </c>
      <c r="I39" s="179">
        <f>K291</f>
        <v/>
      </c>
      <c r="J39" s="175">
        <f>IF(A39=0,"—",INDEX($B$32:$I$32,MATCH(MAX(B39:I39),B39:I39,0)))</f>
        <v/>
      </c>
      <c r="K39" s="174">
        <f>C39-B39</f>
        <v/>
      </c>
      <c r="L39" s="174">
        <f>MAX(D39:I39)-C39</f>
        <v/>
      </c>
      <c r="M39" s="180">
        <f>IF(AND($A39&gt;0,C39&gt;$B39),1,0)</f>
        <v/>
      </c>
      <c r="N39" s="180">
        <f>IF(AND($A39&gt;0,D39&gt;$B39),1,0)</f>
        <v/>
      </c>
      <c r="O39" s="180">
        <f>IF(AND($A39&gt;0,E39&gt;$B39),1,0)</f>
        <v/>
      </c>
      <c r="P39" s="180">
        <f>IF(AND($A39&gt;0,F39&gt;$B39),1,0)</f>
        <v/>
      </c>
      <c r="Q39" s="180">
        <f>IF(AND($A39&gt;0,G39&gt;$B39),1,0)</f>
        <v/>
      </c>
      <c r="R39" s="180">
        <f>IF(AND($A39&gt;0,H39&gt;$B39),1,0)</f>
        <v/>
      </c>
      <c r="S39" s="180">
        <f>IF(AND($A39&gt;0,I39&gt;$B39),1,0)</f>
        <v/>
      </c>
    </row>
    <row r="40">
      <c r="A40" s="178" t="n">
        <v>7</v>
      </c>
      <c r="B40" s="179">
        <f>K117</f>
        <v/>
      </c>
      <c r="C40" s="179">
        <f>K142</f>
        <v/>
      </c>
      <c r="D40" s="179">
        <f>K167</f>
        <v/>
      </c>
      <c r="E40" s="179">
        <f>K192</f>
        <v/>
      </c>
      <c r="F40" s="179">
        <f>K217</f>
        <v/>
      </c>
      <c r="G40" s="179">
        <f>K242</f>
        <v/>
      </c>
      <c r="H40" s="179">
        <f>K267</f>
        <v/>
      </c>
      <c r="I40" s="179">
        <f>K292</f>
        <v/>
      </c>
      <c r="J40" s="175">
        <f>IF(A40=0,"—",INDEX($B$32:$I$32,MATCH(MAX(B40:I40),B40:I40,0)))</f>
        <v/>
      </c>
      <c r="K40" s="174">
        <f>C40-B40</f>
        <v/>
      </c>
      <c r="L40" s="174">
        <f>MAX(D40:I40)-C40</f>
        <v/>
      </c>
      <c r="M40" s="180">
        <f>IF(AND($A40&gt;0,C40&gt;$B40),1,0)</f>
        <v/>
      </c>
      <c r="N40" s="180">
        <f>IF(AND($A40&gt;0,D40&gt;$B40),1,0)</f>
        <v/>
      </c>
      <c r="O40" s="180">
        <f>IF(AND($A40&gt;0,E40&gt;$B40),1,0)</f>
        <v/>
      </c>
      <c r="P40" s="180">
        <f>IF(AND($A40&gt;0,F40&gt;$B40),1,0)</f>
        <v/>
      </c>
      <c r="Q40" s="180">
        <f>IF(AND($A40&gt;0,G40&gt;$B40),1,0)</f>
        <v/>
      </c>
      <c r="R40" s="180">
        <f>IF(AND($A40&gt;0,H40&gt;$B40),1,0)</f>
        <v/>
      </c>
      <c r="S40" s="180">
        <f>IF(AND($A40&gt;0,I40&gt;$B40),1,0)</f>
        <v/>
      </c>
    </row>
    <row r="41">
      <c r="A41" s="178" t="n">
        <v>8</v>
      </c>
      <c r="B41" s="179">
        <f>K118</f>
        <v/>
      </c>
      <c r="C41" s="179">
        <f>K143</f>
        <v/>
      </c>
      <c r="D41" s="179">
        <f>K168</f>
        <v/>
      </c>
      <c r="E41" s="179">
        <f>K193</f>
        <v/>
      </c>
      <c r="F41" s="179">
        <f>K218</f>
        <v/>
      </c>
      <c r="G41" s="179">
        <f>K243</f>
        <v/>
      </c>
      <c r="H41" s="179">
        <f>K268</f>
        <v/>
      </c>
      <c r="I41" s="179">
        <f>K293</f>
        <v/>
      </c>
      <c r="J41" s="175">
        <f>IF(A41=0,"—",INDEX($B$32:$I$32,MATCH(MAX(B41:I41),B41:I41,0)))</f>
        <v/>
      </c>
      <c r="K41" s="174">
        <f>C41-B41</f>
        <v/>
      </c>
      <c r="L41" s="174">
        <f>MAX(D41:I41)-C41</f>
        <v/>
      </c>
      <c r="M41" s="180">
        <f>IF(AND($A41&gt;0,C41&gt;$B41),1,0)</f>
        <v/>
      </c>
      <c r="N41" s="180">
        <f>IF(AND($A41&gt;0,D41&gt;$B41),1,0)</f>
        <v/>
      </c>
      <c r="O41" s="180">
        <f>IF(AND($A41&gt;0,E41&gt;$B41),1,0)</f>
        <v/>
      </c>
      <c r="P41" s="180">
        <f>IF(AND($A41&gt;0,F41&gt;$B41),1,0)</f>
        <v/>
      </c>
      <c r="Q41" s="180">
        <f>IF(AND($A41&gt;0,G41&gt;$B41),1,0)</f>
        <v/>
      </c>
      <c r="R41" s="180">
        <f>IF(AND($A41&gt;0,H41&gt;$B41),1,0)</f>
        <v/>
      </c>
      <c r="S41" s="180">
        <f>IF(AND($A41&gt;0,I41&gt;$B41),1,0)</f>
        <v/>
      </c>
    </row>
    <row r="42">
      <c r="A42" s="178" t="n">
        <v>9</v>
      </c>
      <c r="B42" s="179">
        <f>K119</f>
        <v/>
      </c>
      <c r="C42" s="179">
        <f>K144</f>
        <v/>
      </c>
      <c r="D42" s="179">
        <f>K169</f>
        <v/>
      </c>
      <c r="E42" s="179">
        <f>K194</f>
        <v/>
      </c>
      <c r="F42" s="179">
        <f>K219</f>
        <v/>
      </c>
      <c r="G42" s="179">
        <f>K244</f>
        <v/>
      </c>
      <c r="H42" s="179">
        <f>K269</f>
        <v/>
      </c>
      <c r="I42" s="179">
        <f>K294</f>
        <v/>
      </c>
      <c r="J42" s="175">
        <f>IF(A42=0,"—",INDEX($B$32:$I$32,MATCH(MAX(B42:I42),B42:I42,0)))</f>
        <v/>
      </c>
      <c r="K42" s="174">
        <f>C42-B42</f>
        <v/>
      </c>
      <c r="L42" s="174">
        <f>MAX(D42:I42)-C42</f>
        <v/>
      </c>
      <c r="M42" s="180">
        <f>IF(AND($A42&gt;0,C42&gt;$B42),1,0)</f>
        <v/>
      </c>
      <c r="N42" s="180">
        <f>IF(AND($A42&gt;0,D42&gt;$B42),1,0)</f>
        <v/>
      </c>
      <c r="O42" s="180">
        <f>IF(AND($A42&gt;0,E42&gt;$B42),1,0)</f>
        <v/>
      </c>
      <c r="P42" s="180">
        <f>IF(AND($A42&gt;0,F42&gt;$B42),1,0)</f>
        <v/>
      </c>
      <c r="Q42" s="180">
        <f>IF(AND($A42&gt;0,G42&gt;$B42),1,0)</f>
        <v/>
      </c>
      <c r="R42" s="180">
        <f>IF(AND($A42&gt;0,H42&gt;$B42),1,0)</f>
        <v/>
      </c>
      <c r="S42" s="180">
        <f>IF(AND($A42&gt;0,I42&gt;$B42),1,0)</f>
        <v/>
      </c>
    </row>
    <row r="43">
      <c r="A43" s="178" t="n">
        <v>10</v>
      </c>
      <c r="B43" s="179">
        <f>K120</f>
        <v/>
      </c>
      <c r="C43" s="179">
        <f>K145</f>
        <v/>
      </c>
      <c r="D43" s="179">
        <f>K170</f>
        <v/>
      </c>
      <c r="E43" s="179">
        <f>K195</f>
        <v/>
      </c>
      <c r="F43" s="179">
        <f>K220</f>
        <v/>
      </c>
      <c r="G43" s="179">
        <f>K245</f>
        <v/>
      </c>
      <c r="H43" s="179">
        <f>K270</f>
        <v/>
      </c>
      <c r="I43" s="179">
        <f>K295</f>
        <v/>
      </c>
      <c r="J43" s="175">
        <f>IF(A43=0,"—",INDEX($B$32:$I$32,MATCH(MAX(B43:I43),B43:I43,0)))</f>
        <v/>
      </c>
      <c r="K43" s="174">
        <f>C43-B43</f>
        <v/>
      </c>
      <c r="L43" s="174">
        <f>MAX(D43:I43)-C43</f>
        <v/>
      </c>
      <c r="M43" s="180">
        <f>IF(AND($A43&gt;0,C43&gt;$B43),1,0)</f>
        <v/>
      </c>
      <c r="N43" s="180">
        <f>IF(AND($A43&gt;0,D43&gt;$B43),1,0)</f>
        <v/>
      </c>
      <c r="O43" s="180">
        <f>IF(AND($A43&gt;0,E43&gt;$B43),1,0)</f>
        <v/>
      </c>
      <c r="P43" s="180">
        <f>IF(AND($A43&gt;0,F43&gt;$B43),1,0)</f>
        <v/>
      </c>
      <c r="Q43" s="180">
        <f>IF(AND($A43&gt;0,G43&gt;$B43),1,0)</f>
        <v/>
      </c>
      <c r="R43" s="180">
        <f>IF(AND($A43&gt;0,H43&gt;$B43),1,0)</f>
        <v/>
      </c>
      <c r="S43" s="180">
        <f>IF(AND($A43&gt;0,I43&gt;$B43),1,0)</f>
        <v/>
      </c>
    </row>
    <row r="44">
      <c r="A44" s="178" t="n">
        <v>11</v>
      </c>
      <c r="B44" s="179">
        <f>K121</f>
        <v/>
      </c>
      <c r="C44" s="179">
        <f>K146</f>
        <v/>
      </c>
      <c r="D44" s="179">
        <f>K171</f>
        <v/>
      </c>
      <c r="E44" s="179">
        <f>K196</f>
        <v/>
      </c>
      <c r="F44" s="179">
        <f>K221</f>
        <v/>
      </c>
      <c r="G44" s="179">
        <f>K246</f>
        <v/>
      </c>
      <c r="H44" s="179">
        <f>K271</f>
        <v/>
      </c>
      <c r="I44" s="179">
        <f>K296</f>
        <v/>
      </c>
      <c r="J44" s="175">
        <f>IF(A44=0,"—",INDEX($B$32:$I$32,MATCH(MAX(B44:I44),B44:I44,0)))</f>
        <v/>
      </c>
      <c r="K44" s="174">
        <f>C44-B44</f>
        <v/>
      </c>
      <c r="L44" s="174">
        <f>MAX(D44:I44)-C44</f>
        <v/>
      </c>
      <c r="M44" s="180">
        <f>IF(AND($A44&gt;0,C44&gt;$B44),1,0)</f>
        <v/>
      </c>
      <c r="N44" s="180">
        <f>IF(AND($A44&gt;0,D44&gt;$B44),1,0)</f>
        <v/>
      </c>
      <c r="O44" s="180">
        <f>IF(AND($A44&gt;0,E44&gt;$B44),1,0)</f>
        <v/>
      </c>
      <c r="P44" s="180">
        <f>IF(AND($A44&gt;0,F44&gt;$B44),1,0)</f>
        <v/>
      </c>
      <c r="Q44" s="180">
        <f>IF(AND($A44&gt;0,G44&gt;$B44),1,0)</f>
        <v/>
      </c>
      <c r="R44" s="180">
        <f>IF(AND($A44&gt;0,H44&gt;$B44),1,0)</f>
        <v/>
      </c>
      <c r="S44" s="180">
        <f>IF(AND($A44&gt;0,I44&gt;$B44),1,0)</f>
        <v/>
      </c>
    </row>
    <row r="45">
      <c r="A45" s="178" t="n">
        <v>12</v>
      </c>
      <c r="B45" s="179">
        <f>K122</f>
        <v/>
      </c>
      <c r="C45" s="179">
        <f>K147</f>
        <v/>
      </c>
      <c r="D45" s="179">
        <f>K172</f>
        <v/>
      </c>
      <c r="E45" s="179">
        <f>K197</f>
        <v/>
      </c>
      <c r="F45" s="179">
        <f>K222</f>
        <v/>
      </c>
      <c r="G45" s="179">
        <f>K247</f>
        <v/>
      </c>
      <c r="H45" s="179">
        <f>K272</f>
        <v/>
      </c>
      <c r="I45" s="179">
        <f>K297</f>
        <v/>
      </c>
      <c r="J45" s="175">
        <f>IF(A45=0,"—",INDEX($B$32:$I$32,MATCH(MAX(B45:I45),B45:I45,0)))</f>
        <v/>
      </c>
      <c r="K45" s="174">
        <f>C45-B45</f>
        <v/>
      </c>
      <c r="L45" s="174">
        <f>MAX(D45:I45)-C45</f>
        <v/>
      </c>
      <c r="M45" s="180">
        <f>IF(AND($A45&gt;0,C45&gt;$B45),1,0)</f>
        <v/>
      </c>
      <c r="N45" s="180">
        <f>IF(AND($A45&gt;0,D45&gt;$B45),1,0)</f>
        <v/>
      </c>
      <c r="O45" s="180">
        <f>IF(AND($A45&gt;0,E45&gt;$B45),1,0)</f>
        <v/>
      </c>
      <c r="P45" s="180">
        <f>IF(AND($A45&gt;0,F45&gt;$B45),1,0)</f>
        <v/>
      </c>
      <c r="Q45" s="180">
        <f>IF(AND($A45&gt;0,G45&gt;$B45),1,0)</f>
        <v/>
      </c>
      <c r="R45" s="180">
        <f>IF(AND($A45&gt;0,H45&gt;$B45),1,0)</f>
        <v/>
      </c>
      <c r="S45" s="180">
        <f>IF(AND($A45&gt;0,I45&gt;$B45),1,0)</f>
        <v/>
      </c>
    </row>
    <row r="46">
      <c r="A46" s="178" t="n">
        <v>13</v>
      </c>
      <c r="B46" s="179">
        <f>K123</f>
        <v/>
      </c>
      <c r="C46" s="179">
        <f>K148</f>
        <v/>
      </c>
      <c r="D46" s="179">
        <f>K173</f>
        <v/>
      </c>
      <c r="E46" s="179">
        <f>K198</f>
        <v/>
      </c>
      <c r="F46" s="179">
        <f>K223</f>
        <v/>
      </c>
      <c r="G46" s="179">
        <f>K248</f>
        <v/>
      </c>
      <c r="H46" s="179">
        <f>K273</f>
        <v/>
      </c>
      <c r="I46" s="179">
        <f>K298</f>
        <v/>
      </c>
      <c r="J46" s="175">
        <f>IF(A46=0,"—",INDEX($B$32:$I$32,MATCH(MAX(B46:I46),B46:I46,0)))</f>
        <v/>
      </c>
      <c r="K46" s="174">
        <f>C46-B46</f>
        <v/>
      </c>
      <c r="L46" s="174">
        <f>MAX(D46:I46)-C46</f>
        <v/>
      </c>
      <c r="M46" s="180">
        <f>IF(AND($A46&gt;0,C46&gt;$B46),1,0)</f>
        <v/>
      </c>
      <c r="N46" s="180">
        <f>IF(AND($A46&gt;0,D46&gt;$B46),1,0)</f>
        <v/>
      </c>
      <c r="O46" s="180">
        <f>IF(AND($A46&gt;0,E46&gt;$B46),1,0)</f>
        <v/>
      </c>
      <c r="P46" s="180">
        <f>IF(AND($A46&gt;0,F46&gt;$B46),1,0)</f>
        <v/>
      </c>
      <c r="Q46" s="180">
        <f>IF(AND($A46&gt;0,G46&gt;$B46),1,0)</f>
        <v/>
      </c>
      <c r="R46" s="180">
        <f>IF(AND($A46&gt;0,H46&gt;$B46),1,0)</f>
        <v/>
      </c>
      <c r="S46" s="180">
        <f>IF(AND($A46&gt;0,I46&gt;$B46),1,0)</f>
        <v/>
      </c>
    </row>
    <row r="47">
      <c r="A47" s="178" t="n">
        <v>14</v>
      </c>
      <c r="B47" s="179">
        <f>K124</f>
        <v/>
      </c>
      <c r="C47" s="179">
        <f>K149</f>
        <v/>
      </c>
      <c r="D47" s="179">
        <f>K174</f>
        <v/>
      </c>
      <c r="E47" s="179">
        <f>K199</f>
        <v/>
      </c>
      <c r="F47" s="179">
        <f>K224</f>
        <v/>
      </c>
      <c r="G47" s="179">
        <f>K249</f>
        <v/>
      </c>
      <c r="H47" s="179">
        <f>K274</f>
        <v/>
      </c>
      <c r="I47" s="179">
        <f>K299</f>
        <v/>
      </c>
      <c r="J47" s="175">
        <f>IF(A47=0,"—",INDEX($B$32:$I$32,MATCH(MAX(B47:I47),B47:I47,0)))</f>
        <v/>
      </c>
      <c r="K47" s="174">
        <f>C47-B47</f>
        <v/>
      </c>
      <c r="L47" s="174">
        <f>MAX(D47:I47)-C47</f>
        <v/>
      </c>
      <c r="M47" s="180">
        <f>IF(AND($A47&gt;0,C47&gt;$B47),1,0)</f>
        <v/>
      </c>
      <c r="N47" s="180">
        <f>IF(AND($A47&gt;0,D47&gt;$B47),1,0)</f>
        <v/>
      </c>
      <c r="O47" s="180">
        <f>IF(AND($A47&gt;0,E47&gt;$B47),1,0)</f>
        <v/>
      </c>
      <c r="P47" s="180">
        <f>IF(AND($A47&gt;0,F47&gt;$B47),1,0)</f>
        <v/>
      </c>
      <c r="Q47" s="180">
        <f>IF(AND($A47&gt;0,G47&gt;$B47),1,0)</f>
        <v/>
      </c>
      <c r="R47" s="180">
        <f>IF(AND($A47&gt;0,H47&gt;$B47),1,0)</f>
        <v/>
      </c>
      <c r="S47" s="180">
        <f>IF(AND($A47&gt;0,I47&gt;$B47),1,0)</f>
        <v/>
      </c>
    </row>
    <row r="48">
      <c r="A48" s="178" t="n">
        <v>15</v>
      </c>
      <c r="B48" s="179">
        <f>K125</f>
        <v/>
      </c>
      <c r="C48" s="179">
        <f>K150</f>
        <v/>
      </c>
      <c r="D48" s="179">
        <f>K175</f>
        <v/>
      </c>
      <c r="E48" s="179">
        <f>K200</f>
        <v/>
      </c>
      <c r="F48" s="179">
        <f>K225</f>
        <v/>
      </c>
      <c r="G48" s="179">
        <f>K250</f>
        <v/>
      </c>
      <c r="H48" s="179">
        <f>K275</f>
        <v/>
      </c>
      <c r="I48" s="179">
        <f>K300</f>
        <v/>
      </c>
      <c r="J48" s="175">
        <f>IF(A48=0,"—",INDEX($B$32:$I$32,MATCH(MAX(B48:I48),B48:I48,0)))</f>
        <v/>
      </c>
      <c r="K48" s="174">
        <f>C48-B48</f>
        <v/>
      </c>
      <c r="L48" s="174">
        <f>MAX(D48:I48)-C48</f>
        <v/>
      </c>
      <c r="M48" s="180">
        <f>IF(AND($A48&gt;0,C48&gt;$B48),1,0)</f>
        <v/>
      </c>
      <c r="N48" s="180">
        <f>IF(AND($A48&gt;0,D48&gt;$B48),1,0)</f>
        <v/>
      </c>
      <c r="O48" s="180">
        <f>IF(AND($A48&gt;0,E48&gt;$B48),1,0)</f>
        <v/>
      </c>
      <c r="P48" s="180">
        <f>IF(AND($A48&gt;0,F48&gt;$B48),1,0)</f>
        <v/>
      </c>
      <c r="Q48" s="180">
        <f>IF(AND($A48&gt;0,G48&gt;$B48),1,0)</f>
        <v/>
      </c>
      <c r="R48" s="180">
        <f>IF(AND($A48&gt;0,H48&gt;$B48),1,0)</f>
        <v/>
      </c>
      <c r="S48" s="180">
        <f>IF(AND($A48&gt;0,I48&gt;$B48),1,0)</f>
        <v/>
      </c>
    </row>
    <row r="49">
      <c r="A49" s="178" t="n">
        <v>16</v>
      </c>
      <c r="B49" s="179">
        <f>K126</f>
        <v/>
      </c>
      <c r="C49" s="179">
        <f>K151</f>
        <v/>
      </c>
      <c r="D49" s="179">
        <f>K176</f>
        <v/>
      </c>
      <c r="E49" s="179">
        <f>K201</f>
        <v/>
      </c>
      <c r="F49" s="179">
        <f>K226</f>
        <v/>
      </c>
      <c r="G49" s="179">
        <f>K251</f>
        <v/>
      </c>
      <c r="H49" s="179">
        <f>K276</f>
        <v/>
      </c>
      <c r="I49" s="179">
        <f>K301</f>
        <v/>
      </c>
      <c r="J49" s="175">
        <f>IF(A49=0,"—",INDEX($B$32:$I$32,MATCH(MAX(B49:I49),B49:I49,0)))</f>
        <v/>
      </c>
      <c r="K49" s="174">
        <f>C49-B49</f>
        <v/>
      </c>
      <c r="L49" s="174">
        <f>MAX(D49:I49)-C49</f>
        <v/>
      </c>
      <c r="M49" s="180">
        <f>IF(AND($A49&gt;0,C49&gt;$B49),1,0)</f>
        <v/>
      </c>
      <c r="N49" s="180">
        <f>IF(AND($A49&gt;0,D49&gt;$B49),1,0)</f>
        <v/>
      </c>
      <c r="O49" s="180">
        <f>IF(AND($A49&gt;0,E49&gt;$B49),1,0)</f>
        <v/>
      </c>
      <c r="P49" s="180">
        <f>IF(AND($A49&gt;0,F49&gt;$B49),1,0)</f>
        <v/>
      </c>
      <c r="Q49" s="180">
        <f>IF(AND($A49&gt;0,G49&gt;$B49),1,0)</f>
        <v/>
      </c>
      <c r="R49" s="180">
        <f>IF(AND($A49&gt;0,H49&gt;$B49),1,0)</f>
        <v/>
      </c>
      <c r="S49" s="180">
        <f>IF(AND($A49&gt;0,I49&gt;$B49),1,0)</f>
        <v/>
      </c>
    </row>
    <row r="50">
      <c r="A50" s="178" t="n">
        <v>17</v>
      </c>
      <c r="B50" s="179">
        <f>K127</f>
        <v/>
      </c>
      <c r="C50" s="179">
        <f>K152</f>
        <v/>
      </c>
      <c r="D50" s="179">
        <f>K177</f>
        <v/>
      </c>
      <c r="E50" s="179">
        <f>K202</f>
        <v/>
      </c>
      <c r="F50" s="179">
        <f>K227</f>
        <v/>
      </c>
      <c r="G50" s="179">
        <f>K252</f>
        <v/>
      </c>
      <c r="H50" s="179">
        <f>K277</f>
        <v/>
      </c>
      <c r="I50" s="179">
        <f>K302</f>
        <v/>
      </c>
      <c r="J50" s="175">
        <f>IF(A50=0,"—",INDEX($B$32:$I$32,MATCH(MAX(B50:I50),B50:I50,0)))</f>
        <v/>
      </c>
      <c r="K50" s="174">
        <f>C50-B50</f>
        <v/>
      </c>
      <c r="L50" s="174">
        <f>MAX(D50:I50)-C50</f>
        <v/>
      </c>
      <c r="M50" s="180">
        <f>IF(AND($A50&gt;0,C50&gt;$B50),1,0)</f>
        <v/>
      </c>
      <c r="N50" s="180">
        <f>IF(AND($A50&gt;0,D50&gt;$B50),1,0)</f>
        <v/>
      </c>
      <c r="O50" s="180">
        <f>IF(AND($A50&gt;0,E50&gt;$B50),1,0)</f>
        <v/>
      </c>
      <c r="P50" s="180">
        <f>IF(AND($A50&gt;0,F50&gt;$B50),1,0)</f>
        <v/>
      </c>
      <c r="Q50" s="180">
        <f>IF(AND($A50&gt;0,G50&gt;$B50),1,0)</f>
        <v/>
      </c>
      <c r="R50" s="180">
        <f>IF(AND($A50&gt;0,H50&gt;$B50),1,0)</f>
        <v/>
      </c>
      <c r="S50" s="180">
        <f>IF(AND($A50&gt;0,I50&gt;$B50),1,0)</f>
        <v/>
      </c>
    </row>
    <row r="51">
      <c r="A51" s="178" t="n">
        <v>18</v>
      </c>
      <c r="B51" s="179">
        <f>K128</f>
        <v/>
      </c>
      <c r="C51" s="179">
        <f>K153</f>
        <v/>
      </c>
      <c r="D51" s="179">
        <f>K178</f>
        <v/>
      </c>
      <c r="E51" s="179">
        <f>K203</f>
        <v/>
      </c>
      <c r="F51" s="179">
        <f>K228</f>
        <v/>
      </c>
      <c r="G51" s="179">
        <f>K253</f>
        <v/>
      </c>
      <c r="H51" s="179">
        <f>K278</f>
        <v/>
      </c>
      <c r="I51" s="179">
        <f>K303</f>
        <v/>
      </c>
      <c r="J51" s="175">
        <f>IF(A51=0,"—",INDEX($B$32:$I$32,MATCH(MAX(B51:I51),B51:I51,0)))</f>
        <v/>
      </c>
      <c r="K51" s="174">
        <f>C51-B51</f>
        <v/>
      </c>
      <c r="L51" s="174">
        <f>MAX(D51:I51)-C51</f>
        <v/>
      </c>
      <c r="M51" s="180">
        <f>IF(AND($A51&gt;0,C51&gt;$B51),1,0)</f>
        <v/>
      </c>
      <c r="N51" s="180">
        <f>IF(AND($A51&gt;0,D51&gt;$B51),1,0)</f>
        <v/>
      </c>
      <c r="O51" s="180">
        <f>IF(AND($A51&gt;0,E51&gt;$B51),1,0)</f>
        <v/>
      </c>
      <c r="P51" s="180">
        <f>IF(AND($A51&gt;0,F51&gt;$B51),1,0)</f>
        <v/>
      </c>
      <c r="Q51" s="180">
        <f>IF(AND($A51&gt;0,G51&gt;$B51),1,0)</f>
        <v/>
      </c>
      <c r="R51" s="180">
        <f>IF(AND($A51&gt;0,H51&gt;$B51),1,0)</f>
        <v/>
      </c>
      <c r="S51" s="180">
        <f>IF(AND($A51&gt;0,I51&gt;$B51),1,0)</f>
        <v/>
      </c>
    </row>
    <row r="52">
      <c r="A52" s="178" t="n">
        <v>19</v>
      </c>
      <c r="B52" s="179">
        <f>K129</f>
        <v/>
      </c>
      <c r="C52" s="179">
        <f>K154</f>
        <v/>
      </c>
      <c r="D52" s="179">
        <f>K179</f>
        <v/>
      </c>
      <c r="E52" s="179">
        <f>K204</f>
        <v/>
      </c>
      <c r="F52" s="179">
        <f>K229</f>
        <v/>
      </c>
      <c r="G52" s="179">
        <f>K254</f>
        <v/>
      </c>
      <c r="H52" s="179">
        <f>K279</f>
        <v/>
      </c>
      <c r="I52" s="179">
        <f>K304</f>
        <v/>
      </c>
      <c r="J52" s="175">
        <f>IF(A52=0,"—",INDEX($B$32:$I$32,MATCH(MAX(B52:I52),B52:I52,0)))</f>
        <v/>
      </c>
      <c r="K52" s="174">
        <f>C52-B52</f>
        <v/>
      </c>
      <c r="L52" s="174">
        <f>MAX(D52:I52)-C52</f>
        <v/>
      </c>
      <c r="M52" s="180">
        <f>IF(AND($A52&gt;0,C52&gt;$B52),1,0)</f>
        <v/>
      </c>
      <c r="N52" s="180">
        <f>IF(AND($A52&gt;0,D52&gt;$B52),1,0)</f>
        <v/>
      </c>
      <c r="O52" s="180">
        <f>IF(AND($A52&gt;0,E52&gt;$B52),1,0)</f>
        <v/>
      </c>
      <c r="P52" s="180">
        <f>IF(AND($A52&gt;0,F52&gt;$B52),1,0)</f>
        <v/>
      </c>
      <c r="Q52" s="180">
        <f>IF(AND($A52&gt;0,G52&gt;$B52),1,0)</f>
        <v/>
      </c>
      <c r="R52" s="180">
        <f>IF(AND($A52&gt;0,H52&gt;$B52),1,0)</f>
        <v/>
      </c>
      <c r="S52" s="180">
        <f>IF(AND($A52&gt;0,I52&gt;$B52),1,0)</f>
        <v/>
      </c>
    </row>
    <row r="53">
      <c r="A53" s="178" t="n">
        <v>20</v>
      </c>
      <c r="B53" s="179">
        <f>K130</f>
        <v/>
      </c>
      <c r="C53" s="179">
        <f>K155</f>
        <v/>
      </c>
      <c r="D53" s="179">
        <f>K180</f>
        <v/>
      </c>
      <c r="E53" s="179">
        <f>K205</f>
        <v/>
      </c>
      <c r="F53" s="179">
        <f>K230</f>
        <v/>
      </c>
      <c r="G53" s="179">
        <f>K255</f>
        <v/>
      </c>
      <c r="H53" s="179">
        <f>K280</f>
        <v/>
      </c>
      <c r="I53" s="179">
        <f>K305</f>
        <v/>
      </c>
      <c r="J53" s="175">
        <f>IF(A53=0,"—",INDEX($B$32:$I$32,MATCH(MAX(B53:I53),B53:I53,0)))</f>
        <v/>
      </c>
      <c r="K53" s="174">
        <f>C53-B53</f>
        <v/>
      </c>
      <c r="L53" s="174">
        <f>MAX(D53:I53)-C53</f>
        <v/>
      </c>
      <c r="M53" s="180">
        <f>IF(AND($A53&gt;0,C53&gt;$B53),1,0)</f>
        <v/>
      </c>
      <c r="N53" s="180">
        <f>IF(AND($A53&gt;0,D53&gt;$B53),1,0)</f>
        <v/>
      </c>
      <c r="O53" s="180">
        <f>IF(AND($A53&gt;0,E53&gt;$B53),1,0)</f>
        <v/>
      </c>
      <c r="P53" s="180">
        <f>IF(AND($A53&gt;0,F53&gt;$B53),1,0)</f>
        <v/>
      </c>
      <c r="Q53" s="180">
        <f>IF(AND($A53&gt;0,G53&gt;$B53),1,0)</f>
        <v/>
      </c>
      <c r="R53" s="180">
        <f>IF(AND($A53&gt;0,H53&gt;$B53),1,0)</f>
        <v/>
      </c>
      <c r="S53" s="180">
        <f>IF(AND($A53&gt;0,I53&gt;$B53),1,0)</f>
        <v/>
      </c>
    </row>
    <row r="55" ht="20" customHeight="1">
      <c r="A55" s="154" t="inlineStr">
        <is>
          <t>CYCLE LEDGER OF THE ROUTE YOU PICKED (B14)  —  read across: where every rupee went</t>
        </is>
      </c>
      <c r="B55" s="155" t="n"/>
      <c r="C55" s="155" t="n"/>
      <c r="D55" s="155" t="n"/>
      <c r="E55" s="155" t="n"/>
      <c r="F55" s="155" t="n"/>
      <c r="G55" s="155" t="n"/>
      <c r="H55" s="155" t="n"/>
      <c r="I55" s="155" t="n"/>
      <c r="J55" s="155" t="n"/>
      <c r="K55" s="155" t="n"/>
      <c r="L55" s="155" t="n"/>
      <c r="M55" s="155" t="n"/>
      <c r="N55" s="155" t="n"/>
      <c r="O55" s="155" t="n"/>
      <c r="P55" s="155" t="n"/>
      <c r="Q55" s="155" t="n"/>
      <c r="R55" s="155" t="n"/>
      <c r="S55" s="155" t="n"/>
    </row>
    <row r="56" ht="48" customHeight="1">
      <c r="A56" s="156" t="inlineStr">
        <is>
          <t>Cycle</t>
        </is>
      </c>
      <c r="B56" s="156" t="inlineStr">
        <is>
          <t>Opening corpus ₹ Cr</t>
        </is>
      </c>
      <c r="C56" s="156" t="inlineStr">
        <is>
          <t>Gross trading profit ₹ Cr</t>
        </is>
      </c>
      <c r="D56" s="156" t="inlineStr">
        <is>
          <t>Running cost ₹ Cr</t>
        </is>
      </c>
      <c r="E56" s="156" t="inlineStr">
        <is>
          <t>Salary paid ₹ Cr</t>
        </is>
      </c>
      <c r="F56" s="156" t="inlineStr">
        <is>
          <t>Taxable profit ₹ Cr</t>
        </is>
      </c>
      <c r="G56" s="156" t="inlineStr">
        <is>
          <t>Tax rate</t>
        </is>
      </c>
      <c r="H56" s="156" t="inlineStr">
        <is>
          <t>Tax paid ₹ Cr</t>
        </is>
      </c>
      <c r="I56" s="156" t="inlineStr">
        <is>
          <t>Tax saved by payroll ₹ Cr</t>
        </is>
      </c>
      <c r="J56" s="156" t="inlineStr">
        <is>
          <t>Family keeps (not lent back) ₹ Cr</t>
        </is>
      </c>
      <c r="K56" s="156" t="inlineStr">
        <is>
          <t>Closing corpus ₹ Cr</t>
        </is>
      </c>
      <c r="L56" s="156" t="inlineStr">
        <is>
          <t>Cumulative tax paid ₹ Cr</t>
        </is>
      </c>
      <c r="M56" s="156" t="inlineStr">
        <is>
          <t>Saved per member ₹ Lakh</t>
        </is>
      </c>
    </row>
    <row r="57">
      <c r="A57" s="178" t="n">
        <v>0</v>
      </c>
      <c r="B57" s="179">
        <f>$B$5</f>
        <v/>
      </c>
      <c r="C57" s="181" t="n"/>
      <c r="D57" s="181" t="n"/>
      <c r="E57" s="181" t="n"/>
      <c r="F57" s="181" t="n"/>
      <c r="G57" s="181" t="n"/>
      <c r="H57" s="181" t="n"/>
      <c r="I57" s="181" t="n"/>
      <c r="J57" s="181" t="n"/>
      <c r="K57" s="174">
        <f>$B$5</f>
        <v/>
      </c>
      <c r="L57" s="179" t="n">
        <v>0</v>
      </c>
      <c r="M57" s="181" t="n"/>
    </row>
    <row r="58">
      <c r="A58" s="178" t="n">
        <v>1</v>
      </c>
      <c r="B58" s="179">
        <f>CHOOSE($C$14,B111,B136,B161,B186,B211,B236,B261,B286)</f>
        <v/>
      </c>
      <c r="C58" s="179">
        <f>CHOOSE($C$14,C111,C136,C161,C186,C211,C236,C261,C286)</f>
        <v/>
      </c>
      <c r="D58" s="179">
        <f>CHOOSE($C$14,D111,D136,D161,D186,D211,D236,D261,D286)</f>
        <v/>
      </c>
      <c r="E58" s="179">
        <f>CHOOSE($C$14,E111,E136,E161,E186,E211,E236,E261,E286)</f>
        <v/>
      </c>
      <c r="F58" s="179">
        <f>CHOOSE($C$14,F111,F136,F161,F186,F211,F236,F261,F286)</f>
        <v/>
      </c>
      <c r="G58" s="182">
        <f>CHOOSE($C$14,G111,G136,G161,G186,G211,G236,G261,G286)</f>
        <v/>
      </c>
      <c r="H58" s="179">
        <f>CHOOSE($C$14,H111,H136,H161,H186,H211,H236,H261,H286)</f>
        <v/>
      </c>
      <c r="I58" s="179">
        <f>CHOOSE($C$14,I111,I136,I161,I186,I211,I236,I261,I286)</f>
        <v/>
      </c>
      <c r="J58" s="179">
        <f>CHOOSE($C$14,J111,J136,J161,J186,J211,J236,J261,J286)</f>
        <v/>
      </c>
      <c r="K58" s="174">
        <f>CHOOSE($C$14,K111,K136,K161,K186,K211,K236,K261,K286)</f>
        <v/>
      </c>
      <c r="L58" s="179">
        <f>L57+H58</f>
        <v/>
      </c>
      <c r="M58" s="183">
        <f>IF($C$14&gt;=3,I58*100/($C$14-2),0)</f>
        <v/>
      </c>
    </row>
    <row r="59">
      <c r="A59" s="178" t="n">
        <v>2</v>
      </c>
      <c r="B59" s="179">
        <f>CHOOSE($C$14,B112,B137,B162,B187,B212,B237,B262,B287)</f>
        <v/>
      </c>
      <c r="C59" s="179">
        <f>CHOOSE($C$14,C112,C137,C162,C187,C212,C237,C262,C287)</f>
        <v/>
      </c>
      <c r="D59" s="179">
        <f>CHOOSE($C$14,D112,D137,D162,D187,D212,D237,D262,D287)</f>
        <v/>
      </c>
      <c r="E59" s="179">
        <f>CHOOSE($C$14,E112,E137,E162,E187,E212,E237,E262,E287)</f>
        <v/>
      </c>
      <c r="F59" s="179">
        <f>CHOOSE($C$14,F112,F137,F162,F187,F212,F237,F262,F287)</f>
        <v/>
      </c>
      <c r="G59" s="182">
        <f>CHOOSE($C$14,G112,G137,G162,G187,G212,G237,G262,G287)</f>
        <v/>
      </c>
      <c r="H59" s="179">
        <f>CHOOSE($C$14,H112,H137,H162,H187,H212,H237,H262,H287)</f>
        <v/>
      </c>
      <c r="I59" s="179">
        <f>CHOOSE($C$14,I112,I137,I162,I187,I212,I237,I262,I287)</f>
        <v/>
      </c>
      <c r="J59" s="179">
        <f>CHOOSE($C$14,J112,J137,J162,J187,J212,J237,J262,J287)</f>
        <v/>
      </c>
      <c r="K59" s="174">
        <f>CHOOSE($C$14,K112,K137,K162,K187,K212,K237,K262,K287)</f>
        <v/>
      </c>
      <c r="L59" s="179">
        <f>L58+H59</f>
        <v/>
      </c>
      <c r="M59" s="183">
        <f>IF($C$14&gt;=3,I59*100/($C$14-2),0)</f>
        <v/>
      </c>
    </row>
    <row r="60">
      <c r="A60" s="178" t="n">
        <v>3</v>
      </c>
      <c r="B60" s="179">
        <f>CHOOSE($C$14,B113,B138,B163,B188,B213,B238,B263,B288)</f>
        <v/>
      </c>
      <c r="C60" s="179">
        <f>CHOOSE($C$14,C113,C138,C163,C188,C213,C238,C263,C288)</f>
        <v/>
      </c>
      <c r="D60" s="179">
        <f>CHOOSE($C$14,D113,D138,D163,D188,D213,D238,D263,D288)</f>
        <v/>
      </c>
      <c r="E60" s="179">
        <f>CHOOSE($C$14,E113,E138,E163,E188,E213,E238,E263,E288)</f>
        <v/>
      </c>
      <c r="F60" s="179">
        <f>CHOOSE($C$14,F113,F138,F163,F188,F213,F238,F263,F288)</f>
        <v/>
      </c>
      <c r="G60" s="182">
        <f>CHOOSE($C$14,G113,G138,G163,G188,G213,G238,G263,G288)</f>
        <v/>
      </c>
      <c r="H60" s="179">
        <f>CHOOSE($C$14,H113,H138,H163,H188,H213,H238,H263,H288)</f>
        <v/>
      </c>
      <c r="I60" s="179">
        <f>CHOOSE($C$14,I113,I138,I163,I188,I213,I238,I263,I288)</f>
        <v/>
      </c>
      <c r="J60" s="179">
        <f>CHOOSE($C$14,J113,J138,J163,J188,J213,J238,J263,J288)</f>
        <v/>
      </c>
      <c r="K60" s="174">
        <f>CHOOSE($C$14,K113,K138,K163,K188,K213,K238,K263,K288)</f>
        <v/>
      </c>
      <c r="L60" s="179">
        <f>L59+H60</f>
        <v/>
      </c>
      <c r="M60" s="183">
        <f>IF($C$14&gt;=3,I60*100/($C$14-2),0)</f>
        <v/>
      </c>
    </row>
    <row r="61">
      <c r="A61" s="178" t="n">
        <v>4</v>
      </c>
      <c r="B61" s="179">
        <f>CHOOSE($C$14,B114,B139,B164,B189,B214,B239,B264,B289)</f>
        <v/>
      </c>
      <c r="C61" s="179">
        <f>CHOOSE($C$14,C114,C139,C164,C189,C214,C239,C264,C289)</f>
        <v/>
      </c>
      <c r="D61" s="179">
        <f>CHOOSE($C$14,D114,D139,D164,D189,D214,D239,D264,D289)</f>
        <v/>
      </c>
      <c r="E61" s="179">
        <f>CHOOSE($C$14,E114,E139,E164,E189,E214,E239,E264,E289)</f>
        <v/>
      </c>
      <c r="F61" s="179">
        <f>CHOOSE($C$14,F114,F139,F164,F189,F214,F239,F264,F289)</f>
        <v/>
      </c>
      <c r="G61" s="182">
        <f>CHOOSE($C$14,G114,G139,G164,G189,G214,G239,G264,G289)</f>
        <v/>
      </c>
      <c r="H61" s="179">
        <f>CHOOSE($C$14,H114,H139,H164,H189,H214,H239,H264,H289)</f>
        <v/>
      </c>
      <c r="I61" s="179">
        <f>CHOOSE($C$14,I114,I139,I164,I189,I214,I239,I264,I289)</f>
        <v/>
      </c>
      <c r="J61" s="179">
        <f>CHOOSE($C$14,J114,J139,J164,J189,J214,J239,J264,J289)</f>
        <v/>
      </c>
      <c r="K61" s="174">
        <f>CHOOSE($C$14,K114,K139,K164,K189,K214,K239,K264,K289)</f>
        <v/>
      </c>
      <c r="L61" s="179">
        <f>L60+H61</f>
        <v/>
      </c>
      <c r="M61" s="183">
        <f>IF($C$14&gt;=3,I61*100/($C$14-2),0)</f>
        <v/>
      </c>
    </row>
    <row r="62">
      <c r="A62" s="178" t="n">
        <v>5</v>
      </c>
      <c r="B62" s="179">
        <f>CHOOSE($C$14,B115,B140,B165,B190,B215,B240,B265,B290)</f>
        <v/>
      </c>
      <c r="C62" s="179">
        <f>CHOOSE($C$14,C115,C140,C165,C190,C215,C240,C265,C290)</f>
        <v/>
      </c>
      <c r="D62" s="179">
        <f>CHOOSE($C$14,D115,D140,D165,D190,D215,D240,D265,D290)</f>
        <v/>
      </c>
      <c r="E62" s="179">
        <f>CHOOSE($C$14,E115,E140,E165,E190,E215,E240,E265,E290)</f>
        <v/>
      </c>
      <c r="F62" s="179">
        <f>CHOOSE($C$14,F115,F140,F165,F190,F215,F240,F265,F290)</f>
        <v/>
      </c>
      <c r="G62" s="182">
        <f>CHOOSE($C$14,G115,G140,G165,G190,G215,G240,G265,G290)</f>
        <v/>
      </c>
      <c r="H62" s="179">
        <f>CHOOSE($C$14,H115,H140,H165,H190,H215,H240,H265,H290)</f>
        <v/>
      </c>
      <c r="I62" s="179">
        <f>CHOOSE($C$14,I115,I140,I165,I190,I215,I240,I265,I290)</f>
        <v/>
      </c>
      <c r="J62" s="179">
        <f>CHOOSE($C$14,J115,J140,J165,J190,J215,J240,J265,J290)</f>
        <v/>
      </c>
      <c r="K62" s="174">
        <f>CHOOSE($C$14,K115,K140,K165,K190,K215,K240,K265,K290)</f>
        <v/>
      </c>
      <c r="L62" s="179">
        <f>L61+H62</f>
        <v/>
      </c>
      <c r="M62" s="183">
        <f>IF($C$14&gt;=3,I62*100/($C$14-2),0)</f>
        <v/>
      </c>
    </row>
    <row r="63">
      <c r="A63" s="178" t="n">
        <v>6</v>
      </c>
      <c r="B63" s="179">
        <f>CHOOSE($C$14,B116,B141,B166,B191,B216,B241,B266,B291)</f>
        <v/>
      </c>
      <c r="C63" s="179">
        <f>CHOOSE($C$14,C116,C141,C166,C191,C216,C241,C266,C291)</f>
        <v/>
      </c>
      <c r="D63" s="179">
        <f>CHOOSE($C$14,D116,D141,D166,D191,D216,D241,D266,D291)</f>
        <v/>
      </c>
      <c r="E63" s="179">
        <f>CHOOSE($C$14,E116,E141,E166,E191,E216,E241,E266,E291)</f>
        <v/>
      </c>
      <c r="F63" s="179">
        <f>CHOOSE($C$14,F116,F141,F166,F191,F216,F241,F266,F291)</f>
        <v/>
      </c>
      <c r="G63" s="182">
        <f>CHOOSE($C$14,G116,G141,G166,G191,G216,G241,G266,G291)</f>
        <v/>
      </c>
      <c r="H63" s="179">
        <f>CHOOSE($C$14,H116,H141,H166,H191,H216,H241,H266,H291)</f>
        <v/>
      </c>
      <c r="I63" s="179">
        <f>CHOOSE($C$14,I116,I141,I166,I191,I216,I241,I266,I291)</f>
        <v/>
      </c>
      <c r="J63" s="179">
        <f>CHOOSE($C$14,J116,J141,J166,J191,J216,J241,J266,J291)</f>
        <v/>
      </c>
      <c r="K63" s="174">
        <f>CHOOSE($C$14,K116,K141,K166,K191,K216,K241,K266,K291)</f>
        <v/>
      </c>
      <c r="L63" s="179">
        <f>L62+H63</f>
        <v/>
      </c>
      <c r="M63" s="183">
        <f>IF($C$14&gt;=3,I63*100/($C$14-2),0)</f>
        <v/>
      </c>
    </row>
    <row r="64">
      <c r="A64" s="178" t="n">
        <v>7</v>
      </c>
      <c r="B64" s="179">
        <f>CHOOSE($C$14,B117,B142,B167,B192,B217,B242,B267,B292)</f>
        <v/>
      </c>
      <c r="C64" s="179">
        <f>CHOOSE($C$14,C117,C142,C167,C192,C217,C242,C267,C292)</f>
        <v/>
      </c>
      <c r="D64" s="179">
        <f>CHOOSE($C$14,D117,D142,D167,D192,D217,D242,D267,D292)</f>
        <v/>
      </c>
      <c r="E64" s="179">
        <f>CHOOSE($C$14,E117,E142,E167,E192,E217,E242,E267,E292)</f>
        <v/>
      </c>
      <c r="F64" s="179">
        <f>CHOOSE($C$14,F117,F142,F167,F192,F217,F242,F267,F292)</f>
        <v/>
      </c>
      <c r="G64" s="182">
        <f>CHOOSE($C$14,G117,G142,G167,G192,G217,G242,G267,G292)</f>
        <v/>
      </c>
      <c r="H64" s="179">
        <f>CHOOSE($C$14,H117,H142,H167,H192,H217,H242,H267,H292)</f>
        <v/>
      </c>
      <c r="I64" s="179">
        <f>CHOOSE($C$14,I117,I142,I167,I192,I217,I242,I267,I292)</f>
        <v/>
      </c>
      <c r="J64" s="179">
        <f>CHOOSE($C$14,J117,J142,J167,J192,J217,J242,J267,J292)</f>
        <v/>
      </c>
      <c r="K64" s="174">
        <f>CHOOSE($C$14,K117,K142,K167,K192,K217,K242,K267,K292)</f>
        <v/>
      </c>
      <c r="L64" s="179">
        <f>L63+H64</f>
        <v/>
      </c>
      <c r="M64" s="183">
        <f>IF($C$14&gt;=3,I64*100/($C$14-2),0)</f>
        <v/>
      </c>
    </row>
    <row r="65">
      <c r="A65" s="178" t="n">
        <v>8</v>
      </c>
      <c r="B65" s="179">
        <f>CHOOSE($C$14,B118,B143,B168,B193,B218,B243,B268,B293)</f>
        <v/>
      </c>
      <c r="C65" s="179">
        <f>CHOOSE($C$14,C118,C143,C168,C193,C218,C243,C268,C293)</f>
        <v/>
      </c>
      <c r="D65" s="179">
        <f>CHOOSE($C$14,D118,D143,D168,D193,D218,D243,D268,D293)</f>
        <v/>
      </c>
      <c r="E65" s="179">
        <f>CHOOSE($C$14,E118,E143,E168,E193,E218,E243,E268,E293)</f>
        <v/>
      </c>
      <c r="F65" s="179">
        <f>CHOOSE($C$14,F118,F143,F168,F193,F218,F243,F268,F293)</f>
        <v/>
      </c>
      <c r="G65" s="182">
        <f>CHOOSE($C$14,G118,G143,G168,G193,G218,G243,G268,G293)</f>
        <v/>
      </c>
      <c r="H65" s="179">
        <f>CHOOSE($C$14,H118,H143,H168,H193,H218,H243,H268,H293)</f>
        <v/>
      </c>
      <c r="I65" s="179">
        <f>CHOOSE($C$14,I118,I143,I168,I193,I218,I243,I268,I293)</f>
        <v/>
      </c>
      <c r="J65" s="179">
        <f>CHOOSE($C$14,J118,J143,J168,J193,J218,J243,J268,J293)</f>
        <v/>
      </c>
      <c r="K65" s="174">
        <f>CHOOSE($C$14,K118,K143,K168,K193,K218,K243,K268,K293)</f>
        <v/>
      </c>
      <c r="L65" s="179">
        <f>L64+H65</f>
        <v/>
      </c>
      <c r="M65" s="183">
        <f>IF($C$14&gt;=3,I65*100/($C$14-2),0)</f>
        <v/>
      </c>
    </row>
    <row r="66">
      <c r="A66" s="178" t="n">
        <v>9</v>
      </c>
      <c r="B66" s="179">
        <f>CHOOSE($C$14,B119,B144,B169,B194,B219,B244,B269,B294)</f>
        <v/>
      </c>
      <c r="C66" s="179">
        <f>CHOOSE($C$14,C119,C144,C169,C194,C219,C244,C269,C294)</f>
        <v/>
      </c>
      <c r="D66" s="179">
        <f>CHOOSE($C$14,D119,D144,D169,D194,D219,D244,D269,D294)</f>
        <v/>
      </c>
      <c r="E66" s="179">
        <f>CHOOSE($C$14,E119,E144,E169,E194,E219,E244,E269,E294)</f>
        <v/>
      </c>
      <c r="F66" s="179">
        <f>CHOOSE($C$14,F119,F144,F169,F194,F219,F244,F269,F294)</f>
        <v/>
      </c>
      <c r="G66" s="182">
        <f>CHOOSE($C$14,G119,G144,G169,G194,G219,G244,G269,G294)</f>
        <v/>
      </c>
      <c r="H66" s="179">
        <f>CHOOSE($C$14,H119,H144,H169,H194,H219,H244,H269,H294)</f>
        <v/>
      </c>
      <c r="I66" s="179">
        <f>CHOOSE($C$14,I119,I144,I169,I194,I219,I244,I269,I294)</f>
        <v/>
      </c>
      <c r="J66" s="179">
        <f>CHOOSE($C$14,J119,J144,J169,J194,J219,J244,J269,J294)</f>
        <v/>
      </c>
      <c r="K66" s="174">
        <f>CHOOSE($C$14,K119,K144,K169,K194,K219,K244,K269,K294)</f>
        <v/>
      </c>
      <c r="L66" s="179">
        <f>L65+H66</f>
        <v/>
      </c>
      <c r="M66" s="183">
        <f>IF($C$14&gt;=3,I66*100/($C$14-2),0)</f>
        <v/>
      </c>
    </row>
    <row r="67">
      <c r="A67" s="178" t="n">
        <v>10</v>
      </c>
      <c r="B67" s="179">
        <f>CHOOSE($C$14,B120,B145,B170,B195,B220,B245,B270,B295)</f>
        <v/>
      </c>
      <c r="C67" s="179">
        <f>CHOOSE($C$14,C120,C145,C170,C195,C220,C245,C270,C295)</f>
        <v/>
      </c>
      <c r="D67" s="179">
        <f>CHOOSE($C$14,D120,D145,D170,D195,D220,D245,D270,D295)</f>
        <v/>
      </c>
      <c r="E67" s="179">
        <f>CHOOSE($C$14,E120,E145,E170,E195,E220,E245,E270,E295)</f>
        <v/>
      </c>
      <c r="F67" s="179">
        <f>CHOOSE($C$14,F120,F145,F170,F195,F220,F245,F270,F295)</f>
        <v/>
      </c>
      <c r="G67" s="182">
        <f>CHOOSE($C$14,G120,G145,G170,G195,G220,G245,G270,G295)</f>
        <v/>
      </c>
      <c r="H67" s="179">
        <f>CHOOSE($C$14,H120,H145,H170,H195,H220,H245,H270,H295)</f>
        <v/>
      </c>
      <c r="I67" s="179">
        <f>CHOOSE($C$14,I120,I145,I170,I195,I220,I245,I270,I295)</f>
        <v/>
      </c>
      <c r="J67" s="179">
        <f>CHOOSE($C$14,J120,J145,J170,J195,J220,J245,J270,J295)</f>
        <v/>
      </c>
      <c r="K67" s="174">
        <f>CHOOSE($C$14,K120,K145,K170,K195,K220,K245,K270,K295)</f>
        <v/>
      </c>
      <c r="L67" s="179">
        <f>L66+H67</f>
        <v/>
      </c>
      <c r="M67" s="183">
        <f>IF($C$14&gt;=3,I67*100/($C$14-2),0)</f>
        <v/>
      </c>
    </row>
    <row r="68">
      <c r="A68" s="178" t="n">
        <v>11</v>
      </c>
      <c r="B68" s="179">
        <f>CHOOSE($C$14,B121,B146,B171,B196,B221,B246,B271,B296)</f>
        <v/>
      </c>
      <c r="C68" s="179">
        <f>CHOOSE($C$14,C121,C146,C171,C196,C221,C246,C271,C296)</f>
        <v/>
      </c>
      <c r="D68" s="179">
        <f>CHOOSE($C$14,D121,D146,D171,D196,D221,D246,D271,D296)</f>
        <v/>
      </c>
      <c r="E68" s="179">
        <f>CHOOSE($C$14,E121,E146,E171,E196,E221,E246,E271,E296)</f>
        <v/>
      </c>
      <c r="F68" s="179">
        <f>CHOOSE($C$14,F121,F146,F171,F196,F221,F246,F271,F296)</f>
        <v/>
      </c>
      <c r="G68" s="182">
        <f>CHOOSE($C$14,G121,G146,G171,G196,G221,G246,G271,G296)</f>
        <v/>
      </c>
      <c r="H68" s="179">
        <f>CHOOSE($C$14,H121,H146,H171,H196,H221,H246,H271,H296)</f>
        <v/>
      </c>
      <c r="I68" s="179">
        <f>CHOOSE($C$14,I121,I146,I171,I196,I221,I246,I271,I296)</f>
        <v/>
      </c>
      <c r="J68" s="179">
        <f>CHOOSE($C$14,J121,J146,J171,J196,J221,J246,J271,J296)</f>
        <v/>
      </c>
      <c r="K68" s="174">
        <f>CHOOSE($C$14,K121,K146,K171,K196,K221,K246,K271,K296)</f>
        <v/>
      </c>
      <c r="L68" s="179">
        <f>L67+H68</f>
        <v/>
      </c>
      <c r="M68" s="183">
        <f>IF($C$14&gt;=3,I68*100/($C$14-2),0)</f>
        <v/>
      </c>
    </row>
    <row r="69">
      <c r="A69" s="178" t="n">
        <v>12</v>
      </c>
      <c r="B69" s="179">
        <f>CHOOSE($C$14,B122,B147,B172,B197,B222,B247,B272,B297)</f>
        <v/>
      </c>
      <c r="C69" s="179">
        <f>CHOOSE($C$14,C122,C147,C172,C197,C222,C247,C272,C297)</f>
        <v/>
      </c>
      <c r="D69" s="179">
        <f>CHOOSE($C$14,D122,D147,D172,D197,D222,D247,D272,D297)</f>
        <v/>
      </c>
      <c r="E69" s="179">
        <f>CHOOSE($C$14,E122,E147,E172,E197,E222,E247,E272,E297)</f>
        <v/>
      </c>
      <c r="F69" s="179">
        <f>CHOOSE($C$14,F122,F147,F172,F197,F222,F247,F272,F297)</f>
        <v/>
      </c>
      <c r="G69" s="182">
        <f>CHOOSE($C$14,G122,G147,G172,G197,G222,G247,G272,G297)</f>
        <v/>
      </c>
      <c r="H69" s="179">
        <f>CHOOSE($C$14,H122,H147,H172,H197,H222,H247,H272,H297)</f>
        <v/>
      </c>
      <c r="I69" s="179">
        <f>CHOOSE($C$14,I122,I147,I172,I197,I222,I247,I272,I297)</f>
        <v/>
      </c>
      <c r="J69" s="179">
        <f>CHOOSE($C$14,J122,J147,J172,J197,J222,J247,J272,J297)</f>
        <v/>
      </c>
      <c r="K69" s="174">
        <f>CHOOSE($C$14,K122,K147,K172,K197,K222,K247,K272,K297)</f>
        <v/>
      </c>
      <c r="L69" s="179">
        <f>L68+H69</f>
        <v/>
      </c>
      <c r="M69" s="183">
        <f>IF($C$14&gt;=3,I69*100/($C$14-2),0)</f>
        <v/>
      </c>
    </row>
    <row r="70">
      <c r="A70" s="178" t="n">
        <v>13</v>
      </c>
      <c r="B70" s="179">
        <f>CHOOSE($C$14,B123,B148,B173,B198,B223,B248,B273,B298)</f>
        <v/>
      </c>
      <c r="C70" s="179">
        <f>CHOOSE($C$14,C123,C148,C173,C198,C223,C248,C273,C298)</f>
        <v/>
      </c>
      <c r="D70" s="179">
        <f>CHOOSE($C$14,D123,D148,D173,D198,D223,D248,D273,D298)</f>
        <v/>
      </c>
      <c r="E70" s="179">
        <f>CHOOSE($C$14,E123,E148,E173,E198,E223,E248,E273,E298)</f>
        <v/>
      </c>
      <c r="F70" s="179">
        <f>CHOOSE($C$14,F123,F148,F173,F198,F223,F248,F273,F298)</f>
        <v/>
      </c>
      <c r="G70" s="182">
        <f>CHOOSE($C$14,G123,G148,G173,G198,G223,G248,G273,G298)</f>
        <v/>
      </c>
      <c r="H70" s="179">
        <f>CHOOSE($C$14,H123,H148,H173,H198,H223,H248,H273,H298)</f>
        <v/>
      </c>
      <c r="I70" s="179">
        <f>CHOOSE($C$14,I123,I148,I173,I198,I223,I248,I273,I298)</f>
        <v/>
      </c>
      <c r="J70" s="179">
        <f>CHOOSE($C$14,J123,J148,J173,J198,J223,J248,J273,J298)</f>
        <v/>
      </c>
      <c r="K70" s="174">
        <f>CHOOSE($C$14,K123,K148,K173,K198,K223,K248,K273,K298)</f>
        <v/>
      </c>
      <c r="L70" s="179">
        <f>L69+H70</f>
        <v/>
      </c>
      <c r="M70" s="183">
        <f>IF($C$14&gt;=3,I70*100/($C$14-2),0)</f>
        <v/>
      </c>
    </row>
    <row r="71">
      <c r="A71" s="178" t="n">
        <v>14</v>
      </c>
      <c r="B71" s="179">
        <f>CHOOSE($C$14,B124,B149,B174,B199,B224,B249,B274,B299)</f>
        <v/>
      </c>
      <c r="C71" s="179">
        <f>CHOOSE($C$14,C124,C149,C174,C199,C224,C249,C274,C299)</f>
        <v/>
      </c>
      <c r="D71" s="179">
        <f>CHOOSE($C$14,D124,D149,D174,D199,D224,D249,D274,D299)</f>
        <v/>
      </c>
      <c r="E71" s="179">
        <f>CHOOSE($C$14,E124,E149,E174,E199,E224,E249,E274,E299)</f>
        <v/>
      </c>
      <c r="F71" s="179">
        <f>CHOOSE($C$14,F124,F149,F174,F199,F224,F249,F274,F299)</f>
        <v/>
      </c>
      <c r="G71" s="182">
        <f>CHOOSE($C$14,G124,G149,G174,G199,G224,G249,G274,G299)</f>
        <v/>
      </c>
      <c r="H71" s="179">
        <f>CHOOSE($C$14,H124,H149,H174,H199,H224,H249,H274,H299)</f>
        <v/>
      </c>
      <c r="I71" s="179">
        <f>CHOOSE($C$14,I124,I149,I174,I199,I224,I249,I274,I299)</f>
        <v/>
      </c>
      <c r="J71" s="179">
        <f>CHOOSE($C$14,J124,J149,J174,J199,J224,J249,J274,J299)</f>
        <v/>
      </c>
      <c r="K71" s="174">
        <f>CHOOSE($C$14,K124,K149,K174,K199,K224,K249,K274,K299)</f>
        <v/>
      </c>
      <c r="L71" s="179">
        <f>L70+H71</f>
        <v/>
      </c>
      <c r="M71" s="183">
        <f>IF($C$14&gt;=3,I71*100/($C$14-2),0)</f>
        <v/>
      </c>
    </row>
    <row r="72">
      <c r="A72" s="178" t="n">
        <v>15</v>
      </c>
      <c r="B72" s="179">
        <f>CHOOSE($C$14,B125,B150,B175,B200,B225,B250,B275,B300)</f>
        <v/>
      </c>
      <c r="C72" s="179">
        <f>CHOOSE($C$14,C125,C150,C175,C200,C225,C250,C275,C300)</f>
        <v/>
      </c>
      <c r="D72" s="179">
        <f>CHOOSE($C$14,D125,D150,D175,D200,D225,D250,D275,D300)</f>
        <v/>
      </c>
      <c r="E72" s="179">
        <f>CHOOSE($C$14,E125,E150,E175,E200,E225,E250,E275,E300)</f>
        <v/>
      </c>
      <c r="F72" s="179">
        <f>CHOOSE($C$14,F125,F150,F175,F200,F225,F250,F275,F300)</f>
        <v/>
      </c>
      <c r="G72" s="182">
        <f>CHOOSE($C$14,G125,G150,G175,G200,G225,G250,G275,G300)</f>
        <v/>
      </c>
      <c r="H72" s="179">
        <f>CHOOSE($C$14,H125,H150,H175,H200,H225,H250,H275,H300)</f>
        <v/>
      </c>
      <c r="I72" s="179">
        <f>CHOOSE($C$14,I125,I150,I175,I200,I225,I250,I275,I300)</f>
        <v/>
      </c>
      <c r="J72" s="179">
        <f>CHOOSE($C$14,J125,J150,J175,J200,J225,J250,J275,J300)</f>
        <v/>
      </c>
      <c r="K72" s="174">
        <f>CHOOSE($C$14,K125,K150,K175,K200,K225,K250,K275,K300)</f>
        <v/>
      </c>
      <c r="L72" s="179">
        <f>L71+H72</f>
        <v/>
      </c>
      <c r="M72" s="183">
        <f>IF($C$14&gt;=3,I72*100/($C$14-2),0)</f>
        <v/>
      </c>
    </row>
    <row r="73">
      <c r="A73" s="178" t="n">
        <v>16</v>
      </c>
      <c r="B73" s="179">
        <f>CHOOSE($C$14,B126,B151,B176,B201,B226,B251,B276,B301)</f>
        <v/>
      </c>
      <c r="C73" s="179">
        <f>CHOOSE($C$14,C126,C151,C176,C201,C226,C251,C276,C301)</f>
        <v/>
      </c>
      <c r="D73" s="179">
        <f>CHOOSE($C$14,D126,D151,D176,D201,D226,D251,D276,D301)</f>
        <v/>
      </c>
      <c r="E73" s="179">
        <f>CHOOSE($C$14,E126,E151,E176,E201,E226,E251,E276,E301)</f>
        <v/>
      </c>
      <c r="F73" s="179">
        <f>CHOOSE($C$14,F126,F151,F176,F201,F226,F251,F276,F301)</f>
        <v/>
      </c>
      <c r="G73" s="182">
        <f>CHOOSE($C$14,G126,G151,G176,G201,G226,G251,G276,G301)</f>
        <v/>
      </c>
      <c r="H73" s="179">
        <f>CHOOSE($C$14,H126,H151,H176,H201,H226,H251,H276,H301)</f>
        <v/>
      </c>
      <c r="I73" s="179">
        <f>CHOOSE($C$14,I126,I151,I176,I201,I226,I251,I276,I301)</f>
        <v/>
      </c>
      <c r="J73" s="179">
        <f>CHOOSE($C$14,J126,J151,J176,J201,J226,J251,J276,J301)</f>
        <v/>
      </c>
      <c r="K73" s="174">
        <f>CHOOSE($C$14,K126,K151,K176,K201,K226,K251,K276,K301)</f>
        <v/>
      </c>
      <c r="L73" s="179">
        <f>L72+H73</f>
        <v/>
      </c>
      <c r="M73" s="183">
        <f>IF($C$14&gt;=3,I73*100/($C$14-2),0)</f>
        <v/>
      </c>
    </row>
    <row r="74">
      <c r="A74" s="178" t="n">
        <v>17</v>
      </c>
      <c r="B74" s="179">
        <f>CHOOSE($C$14,B127,B152,B177,B202,B227,B252,B277,B302)</f>
        <v/>
      </c>
      <c r="C74" s="179">
        <f>CHOOSE($C$14,C127,C152,C177,C202,C227,C252,C277,C302)</f>
        <v/>
      </c>
      <c r="D74" s="179">
        <f>CHOOSE($C$14,D127,D152,D177,D202,D227,D252,D277,D302)</f>
        <v/>
      </c>
      <c r="E74" s="179">
        <f>CHOOSE($C$14,E127,E152,E177,E202,E227,E252,E277,E302)</f>
        <v/>
      </c>
      <c r="F74" s="179">
        <f>CHOOSE($C$14,F127,F152,F177,F202,F227,F252,F277,F302)</f>
        <v/>
      </c>
      <c r="G74" s="182">
        <f>CHOOSE($C$14,G127,G152,G177,G202,G227,G252,G277,G302)</f>
        <v/>
      </c>
      <c r="H74" s="179">
        <f>CHOOSE($C$14,H127,H152,H177,H202,H227,H252,H277,H302)</f>
        <v/>
      </c>
      <c r="I74" s="179">
        <f>CHOOSE($C$14,I127,I152,I177,I202,I227,I252,I277,I302)</f>
        <v/>
      </c>
      <c r="J74" s="179">
        <f>CHOOSE($C$14,J127,J152,J177,J202,J227,J252,J277,J302)</f>
        <v/>
      </c>
      <c r="K74" s="174">
        <f>CHOOSE($C$14,K127,K152,K177,K202,K227,K252,K277,K302)</f>
        <v/>
      </c>
      <c r="L74" s="179">
        <f>L73+H74</f>
        <v/>
      </c>
      <c r="M74" s="183">
        <f>IF($C$14&gt;=3,I74*100/($C$14-2),0)</f>
        <v/>
      </c>
    </row>
    <row r="75">
      <c r="A75" s="178" t="n">
        <v>18</v>
      </c>
      <c r="B75" s="179">
        <f>CHOOSE($C$14,B128,B153,B178,B203,B228,B253,B278,B303)</f>
        <v/>
      </c>
      <c r="C75" s="179">
        <f>CHOOSE($C$14,C128,C153,C178,C203,C228,C253,C278,C303)</f>
        <v/>
      </c>
      <c r="D75" s="179">
        <f>CHOOSE($C$14,D128,D153,D178,D203,D228,D253,D278,D303)</f>
        <v/>
      </c>
      <c r="E75" s="179">
        <f>CHOOSE($C$14,E128,E153,E178,E203,E228,E253,E278,E303)</f>
        <v/>
      </c>
      <c r="F75" s="179">
        <f>CHOOSE($C$14,F128,F153,F178,F203,F228,F253,F278,F303)</f>
        <v/>
      </c>
      <c r="G75" s="182">
        <f>CHOOSE($C$14,G128,G153,G178,G203,G228,G253,G278,G303)</f>
        <v/>
      </c>
      <c r="H75" s="179">
        <f>CHOOSE($C$14,H128,H153,H178,H203,H228,H253,H278,H303)</f>
        <v/>
      </c>
      <c r="I75" s="179">
        <f>CHOOSE($C$14,I128,I153,I178,I203,I228,I253,I278,I303)</f>
        <v/>
      </c>
      <c r="J75" s="179">
        <f>CHOOSE($C$14,J128,J153,J178,J203,J228,J253,J278,J303)</f>
        <v/>
      </c>
      <c r="K75" s="174">
        <f>CHOOSE($C$14,K128,K153,K178,K203,K228,K253,K278,K303)</f>
        <v/>
      </c>
      <c r="L75" s="179">
        <f>L74+H75</f>
        <v/>
      </c>
      <c r="M75" s="183">
        <f>IF($C$14&gt;=3,I75*100/($C$14-2),0)</f>
        <v/>
      </c>
    </row>
    <row r="76">
      <c r="A76" s="178" t="n">
        <v>19</v>
      </c>
      <c r="B76" s="179">
        <f>CHOOSE($C$14,B129,B154,B179,B204,B229,B254,B279,B304)</f>
        <v/>
      </c>
      <c r="C76" s="179">
        <f>CHOOSE($C$14,C129,C154,C179,C204,C229,C254,C279,C304)</f>
        <v/>
      </c>
      <c r="D76" s="179">
        <f>CHOOSE($C$14,D129,D154,D179,D204,D229,D254,D279,D304)</f>
        <v/>
      </c>
      <c r="E76" s="179">
        <f>CHOOSE($C$14,E129,E154,E179,E204,E229,E254,E279,E304)</f>
        <v/>
      </c>
      <c r="F76" s="179">
        <f>CHOOSE($C$14,F129,F154,F179,F204,F229,F254,F279,F304)</f>
        <v/>
      </c>
      <c r="G76" s="182">
        <f>CHOOSE($C$14,G129,G154,G179,G204,G229,G254,G279,G304)</f>
        <v/>
      </c>
      <c r="H76" s="179">
        <f>CHOOSE($C$14,H129,H154,H179,H204,H229,H254,H279,H304)</f>
        <v/>
      </c>
      <c r="I76" s="179">
        <f>CHOOSE($C$14,I129,I154,I179,I204,I229,I254,I279,I304)</f>
        <v/>
      </c>
      <c r="J76" s="179">
        <f>CHOOSE($C$14,J129,J154,J179,J204,J229,J254,J279,J304)</f>
        <v/>
      </c>
      <c r="K76" s="174">
        <f>CHOOSE($C$14,K129,K154,K179,K204,K229,K254,K279,K304)</f>
        <v/>
      </c>
      <c r="L76" s="179">
        <f>L75+H76</f>
        <v/>
      </c>
      <c r="M76" s="183">
        <f>IF($C$14&gt;=3,I76*100/($C$14-2),0)</f>
        <v/>
      </c>
    </row>
    <row r="77">
      <c r="A77" s="178" t="n">
        <v>20</v>
      </c>
      <c r="B77" s="179">
        <f>CHOOSE($C$14,B130,B155,B180,B205,B230,B255,B280,B305)</f>
        <v/>
      </c>
      <c r="C77" s="179">
        <f>CHOOSE($C$14,C130,C155,C180,C205,C230,C255,C280,C305)</f>
        <v/>
      </c>
      <c r="D77" s="179">
        <f>CHOOSE($C$14,D130,D155,D180,D205,D230,D255,D280,D305)</f>
        <v/>
      </c>
      <c r="E77" s="179">
        <f>CHOOSE($C$14,E130,E155,E180,E205,E230,E255,E280,E305)</f>
        <v/>
      </c>
      <c r="F77" s="179">
        <f>CHOOSE($C$14,F130,F155,F180,F205,F230,F255,F280,F305)</f>
        <v/>
      </c>
      <c r="G77" s="182">
        <f>CHOOSE($C$14,G130,G155,G180,G205,G230,G255,G280,G305)</f>
        <v/>
      </c>
      <c r="H77" s="179">
        <f>CHOOSE($C$14,H130,H155,H180,H205,H230,H255,H280,H305)</f>
        <v/>
      </c>
      <c r="I77" s="179">
        <f>CHOOSE($C$14,I130,I155,I180,I205,I230,I255,I280,I305)</f>
        <v/>
      </c>
      <c r="J77" s="179">
        <f>CHOOSE($C$14,J130,J155,J180,J205,J230,J255,J280,J305)</f>
        <v/>
      </c>
      <c r="K77" s="174">
        <f>CHOOSE($C$14,K130,K155,K180,K205,K230,K255,K280,K305)</f>
        <v/>
      </c>
      <c r="L77" s="179">
        <f>L76+H77</f>
        <v/>
      </c>
      <c r="M77" s="183">
        <f>IF($C$14&gt;=3,I77*100/($C$14-2),0)</f>
        <v/>
      </c>
    </row>
    <row r="78">
      <c r="A78" s="164" t="inlineStr">
        <is>
          <t>Total over 20 cycles</t>
        </is>
      </c>
      <c r="C78" s="174">
        <f>SUM(C58:C77)</f>
        <v/>
      </c>
      <c r="D78" s="174">
        <f>SUM(D58:D77)</f>
        <v/>
      </c>
      <c r="E78" s="174">
        <f>SUM(E58:E77)</f>
        <v/>
      </c>
      <c r="H78" s="174">
        <f>SUM(H58:H77)</f>
        <v/>
      </c>
      <c r="I78" s="174">
        <f>SUM(I58:I77)</f>
        <v/>
      </c>
      <c r="J78" s="174">
        <f>SUM(J58:J77)</f>
        <v/>
      </c>
      <c r="K78" s="174">
        <f>K77</f>
        <v/>
      </c>
      <c r="L78" s="174">
        <f>L77</f>
        <v/>
      </c>
      <c r="M78" s="184">
        <f>SUM(M58:M77)</f>
        <v/>
      </c>
    </row>
    <row r="79">
      <c r="A79" s="166" t="inlineStr">
        <is>
          <t>Opening + gross profit − running cost − tax − family keeps = closing corpus, every row. Salary is paid out and lent back (except what the family keeps); its tax saving is the "tax saved by payroll" column.</t>
        </is>
      </c>
    </row>
    <row r="81" ht="20" customHeight="1">
      <c r="A81" s="154" t="inlineStr">
        <is>
          <t>WHICH RECYCLE RATIO?  —  corpus at the cycle you choose, for every payroll size (early cycles matter most)</t>
        </is>
      </c>
      <c r="B81" s="155" t="n"/>
      <c r="C81" s="155" t="n"/>
      <c r="D81" s="155" t="n"/>
      <c r="E81" s="155" t="n"/>
      <c r="F81" s="155" t="n"/>
      <c r="G81" s="155" t="n"/>
      <c r="H81" s="155" t="n"/>
      <c r="I81" s="155" t="n"/>
      <c r="J81" s="155" t="n"/>
      <c r="K81" s="155" t="n"/>
      <c r="L81" s="155" t="n"/>
      <c r="M81" s="155" t="n"/>
      <c r="N81" s="155" t="n"/>
      <c r="O81" s="155" t="n"/>
      <c r="P81" s="155" t="n"/>
      <c r="Q81" s="155" t="n"/>
      <c r="R81" s="155" t="n"/>
      <c r="S81" s="155" t="n"/>
    </row>
    <row r="82">
      <c r="A82" s="164" t="inlineStr">
        <is>
          <t>Evaluate at cycle (1–20)</t>
        </is>
      </c>
      <c r="B82" s="185" t="n">
        <v>3</v>
      </c>
      <c r="C82" s="166" t="inlineStr">
        <is>
          <t>Each payroll rupee gains (tax rate − (1 − r)); below break-even payroll destroys corpus.</t>
        </is>
      </c>
    </row>
    <row r="83">
      <c r="A83" s="164" t="inlineStr">
        <is>
          <t>Break-even recycle ratio (1 − company tax)</t>
        </is>
      </c>
      <c r="B83" s="186">
        <f>1-B8</f>
        <v/>
      </c>
    </row>
    <row r="85" ht="30" customHeight="1">
      <c r="A85" s="156" t="inlineStr">
        <is>
          <t>Members ↓   /   recycle ratio →</t>
        </is>
      </c>
      <c r="B85" s="187" t="n">
        <v>0.75</v>
      </c>
      <c r="C85" s="187" t="n">
        <v>0.8</v>
      </c>
      <c r="D85" s="187" t="n">
        <v>0.85</v>
      </c>
      <c r="E85" s="187" t="n">
        <v>0.9</v>
      </c>
      <c r="F85" s="187" t="n">
        <v>0.95</v>
      </c>
      <c r="G85" s="187" t="n">
        <v>1</v>
      </c>
    </row>
    <row r="86">
      <c r="A86" s="164" t="inlineStr">
        <is>
          <t>0 members</t>
        </is>
      </c>
      <c r="B86" s="174">
        <f>INDEX(B$311:B$330,$B$82)</f>
        <v/>
      </c>
      <c r="C86" s="174">
        <f>INDEX(C$311:C$330,$B$82)</f>
        <v/>
      </c>
      <c r="D86" s="174">
        <f>INDEX(D$311:D$330,$B$82)</f>
        <v/>
      </c>
      <c r="E86" s="174">
        <f>INDEX(E$311:E$330,$B$82)</f>
        <v/>
      </c>
      <c r="F86" s="174">
        <f>INDEX(F$311:F$330,$B$82)</f>
        <v/>
      </c>
      <c r="G86" s="174">
        <f>INDEX(G$311:G$330,$B$82)</f>
        <v/>
      </c>
    </row>
    <row r="87">
      <c r="A87" s="164" t="inlineStr">
        <is>
          <t>1 member</t>
        </is>
      </c>
      <c r="B87" s="174">
        <f>INDEX(H$311:H$330,$B$82)</f>
        <v/>
      </c>
      <c r="C87" s="174">
        <f>INDEX(I$311:I$330,$B$82)</f>
        <v/>
      </c>
      <c r="D87" s="174">
        <f>INDEX(J$311:J$330,$B$82)</f>
        <v/>
      </c>
      <c r="E87" s="174">
        <f>INDEX(K$311:K$330,$B$82)</f>
        <v/>
      </c>
      <c r="F87" s="174">
        <f>INDEX(L$311:L$330,$B$82)</f>
        <v/>
      </c>
      <c r="G87" s="174">
        <f>INDEX(M$311:M$330,$B$82)</f>
        <v/>
      </c>
    </row>
    <row r="88">
      <c r="A88" s="164" t="inlineStr">
        <is>
          <t>2 members</t>
        </is>
      </c>
      <c r="B88" s="174">
        <f>INDEX(N$311:N$330,$B$82)</f>
        <v/>
      </c>
      <c r="C88" s="174">
        <f>INDEX(O$311:O$330,$B$82)</f>
        <v/>
      </c>
      <c r="D88" s="174">
        <f>INDEX(P$311:P$330,$B$82)</f>
        <v/>
      </c>
      <c r="E88" s="174">
        <f>INDEX(Q$311:Q$330,$B$82)</f>
        <v/>
      </c>
      <c r="F88" s="174">
        <f>INDEX(R$311:R$330,$B$82)</f>
        <v/>
      </c>
      <c r="G88" s="174">
        <f>INDEX(S$311:S$330,$B$82)</f>
        <v/>
      </c>
    </row>
    <row r="89">
      <c r="A89" s="164" t="inlineStr">
        <is>
          <t>3 members</t>
        </is>
      </c>
      <c r="B89" s="174">
        <f>INDEX(T$311:T$330,$B$82)</f>
        <v/>
      </c>
      <c r="C89" s="174">
        <f>INDEX(U$311:U$330,$B$82)</f>
        <v/>
      </c>
      <c r="D89" s="174">
        <f>INDEX(V$311:V$330,$B$82)</f>
        <v/>
      </c>
      <c r="E89" s="174">
        <f>INDEX(W$311:W$330,$B$82)</f>
        <v/>
      </c>
      <c r="F89" s="174">
        <f>INDEX(X$311:X$330,$B$82)</f>
        <v/>
      </c>
      <c r="G89" s="174">
        <f>INDEX(Y$311:Y$330,$B$82)</f>
        <v/>
      </c>
    </row>
    <row r="90">
      <c r="A90" s="164" t="inlineStr">
        <is>
          <t>4 members</t>
        </is>
      </c>
      <c r="B90" s="174">
        <f>INDEX(Z$311:Z$330,$B$82)</f>
        <v/>
      </c>
      <c r="C90" s="174">
        <f>INDEX(AA$311:AA$330,$B$82)</f>
        <v/>
      </c>
      <c r="D90" s="174">
        <f>INDEX(AB$311:AB$330,$B$82)</f>
        <v/>
      </c>
      <c r="E90" s="174">
        <f>INDEX(AC$311:AC$330,$B$82)</f>
        <v/>
      </c>
      <c r="F90" s="174">
        <f>INDEX(AD$311:AD$330,$B$82)</f>
        <v/>
      </c>
      <c r="G90" s="174">
        <f>INDEX(AE$311:AE$330,$B$82)</f>
        <v/>
      </c>
    </row>
    <row r="91">
      <c r="A91" s="164" t="inlineStr">
        <is>
          <t>5 members</t>
        </is>
      </c>
      <c r="B91" s="174">
        <f>INDEX(AF$311:AF$330,$B$82)</f>
        <v/>
      </c>
      <c r="C91" s="174">
        <f>INDEX(AG$311:AG$330,$B$82)</f>
        <v/>
      </c>
      <c r="D91" s="174">
        <f>INDEX(AH$311:AH$330,$B$82)</f>
        <v/>
      </c>
      <c r="E91" s="174">
        <f>INDEX(AI$311:AI$330,$B$82)</f>
        <v/>
      </c>
      <c r="F91" s="174">
        <f>INDEX(AJ$311:AJ$330,$B$82)</f>
        <v/>
      </c>
      <c r="G91" s="174">
        <f>INDEX(AK$311:AK$330,$B$82)</f>
        <v/>
      </c>
    </row>
    <row r="92">
      <c r="A92" s="164" t="inlineStr">
        <is>
          <t>6 members</t>
        </is>
      </c>
      <c r="B92" s="174">
        <f>INDEX(AL$311:AL$330,$B$82)</f>
        <v/>
      </c>
      <c r="C92" s="174">
        <f>INDEX(AM$311:AM$330,$B$82)</f>
        <v/>
      </c>
      <c r="D92" s="174">
        <f>INDEX(AN$311:AN$330,$B$82)</f>
        <v/>
      </c>
      <c r="E92" s="174">
        <f>INDEX(AO$311:AO$330,$B$82)</f>
        <v/>
      </c>
      <c r="F92" s="174">
        <f>INDEX(AP$311:AP$330,$B$82)</f>
        <v/>
      </c>
      <c r="G92" s="174">
        <f>INDEX(AQ$311:AQ$330,$B$82)</f>
        <v/>
      </c>
    </row>
    <row r="93">
      <c r="A93" s="166" t="inlineStr">
        <is>
          <t>Darker green = bigger corpus at that cycle. The 0-member row is the plain company, so the gain from payroll is each cell minus the first row.</t>
        </is>
      </c>
    </row>
    <row r="95" ht="20" customHeight="1">
      <c r="A95" s="154" t="inlineStr">
        <is>
          <t>CHECKLIST  —  MCX natural-gas futures in a company</t>
        </is>
      </c>
      <c r="B95" s="155" t="n"/>
      <c r="C95" s="155" t="n"/>
      <c r="D95" s="155" t="n"/>
      <c r="E95" s="155" t="n"/>
      <c r="F95" s="155" t="n"/>
      <c r="G95" s="155" t="n"/>
      <c r="H95" s="155" t="n"/>
      <c r="I95" s="155" t="n"/>
      <c r="J95" s="155" t="n"/>
      <c r="K95" s="155" t="n"/>
      <c r="L95" s="155" t="n"/>
      <c r="M95" s="155" t="n"/>
      <c r="N95" s="155" t="n"/>
      <c r="O95" s="155" t="n"/>
      <c r="P95" s="155" t="n"/>
      <c r="Q95" s="155" t="n"/>
      <c r="R95" s="155" t="n"/>
      <c r="S95" s="155" t="n"/>
    </row>
    <row r="96" ht="30" customHeight="1">
      <c r="A96" s="163" t="inlineStr">
        <is>
          <t>•  Allowed: a company can trade MCX futures through a SEBI-registered commodity broker like any client; make sure the objects clause covers commodity derivatives. 25.168% needs the s.115BAA election (Form 10-IC), which is irrevocable.</t>
        </is>
      </c>
    </row>
    <row r="97" ht="30" customHeight="1">
      <c r="A97" s="163" t="inlineStr">
        <is>
          <t>•  Tax character: commodity futures on a recognised exchange where CTT is charged are not speculative (s.43(5)); profit is business income, CTT is deductible, losses carry forward 8 years.</t>
        </is>
      </c>
    </row>
    <row r="98" ht="42" customHeight="1">
      <c r="A98" s="163" t="inlineStr">
        <is>
          <t>•  Audits: a company needs a statutory audit signed by a practising CA every year; a tax audit (s.44AB) applies once turnover (absolute profits + absolute losses on squared-off trades) crosses the threshold. Software prepares filings; the CA signature cannot be automated.</t>
        </is>
      </c>
    </row>
    <row r="99" ht="30" customHeight="1">
      <c r="A99" s="163" t="inlineStr">
        <is>
          <t>•  Payroll: deductible only for real services at market rate (s.37(1); s.40A(2) for relatives). Keep appointment letters, work records, bank-only payments and TDS. ₹12L/yr per member assumes no other income.</t>
        </is>
      </c>
    </row>
    <row r="100" ht="42" customHeight="1">
      <c r="A100" s="163" t="inlineStr">
        <is>
          <t>•  Loan-back: relatives' loans to a private company are outside 'deposits' with a written declaration (Companies (Acceptance of Deposits) Rules 2014). 100% lent back every cycle looks circular and is the likeliest to be challenged. Slabs here follow the new regime for FY2025-26; the Income-tax Act 2025 renumbers sections from 1-Apr-2026 — get CA sign-off.</t>
        </is>
      </c>
    </row>
    <row r="107" ht="20" customHeight="1">
      <c r="A107" s="188" t="inlineStr">
        <is>
          <t>CALCULATION ENGINE  —  eight ledgers (personal, company, company + 1…6 members) and the grid calculations (click [+] at the left to open; no need to edit)</t>
        </is>
      </c>
      <c r="B107" s="152" t="n"/>
      <c r="C107" s="152" t="n"/>
      <c r="D107" s="152" t="n"/>
      <c r="E107" s="152" t="n"/>
      <c r="F107" s="152" t="n"/>
      <c r="G107" s="152" t="n"/>
      <c r="H107" s="152" t="n"/>
      <c r="I107" s="152" t="n"/>
      <c r="J107" s="152" t="n"/>
      <c r="K107" s="152" t="n"/>
      <c r="L107" s="152" t="n"/>
      <c r="M107" s="152" t="n"/>
      <c r="N107" s="152" t="n"/>
      <c r="O107" s="152" t="n"/>
      <c r="P107" s="152" t="n"/>
      <c r="Q107" s="152" t="n"/>
      <c r="R107" s="152" t="n"/>
      <c r="S107" s="152" t="n"/>
    </row>
    <row r="108" hidden="1" outlineLevel="1" ht="20" customHeight="1">
      <c r="A108" s="154" t="inlineStr">
        <is>
          <t>PERSONAL</t>
        </is>
      </c>
      <c r="B108" s="155" t="n"/>
      <c r="C108" s="155" t="n"/>
      <c r="D108" s="155" t="n"/>
      <c r="E108" s="155" t="n"/>
      <c r="F108" s="155" t="n"/>
      <c r="G108" s="155" t="n"/>
      <c r="H108" s="155" t="n"/>
      <c r="I108" s="155" t="n"/>
      <c r="J108" s="155" t="n"/>
      <c r="K108" s="155" t="n"/>
      <c r="L108" s="155" t="n"/>
      <c r="M108" s="155" t="n"/>
      <c r="N108" s="155" t="n"/>
      <c r="O108" s="155" t="n"/>
      <c r="P108" s="155" t="n"/>
      <c r="Q108" s="155" t="n"/>
      <c r="R108" s="155" t="n"/>
      <c r="S108" s="155" t="n"/>
    </row>
    <row r="109" hidden="1" outlineLevel="1">
      <c r="A109" s="164" t="inlineStr">
        <is>
          <t>Members</t>
        </is>
      </c>
      <c r="B109" s="178" t="n">
        <v>0</v>
      </c>
    </row>
    <row r="110" hidden="1" outlineLevel="1" ht="32" customHeight="1">
      <c r="A110" s="156" t="inlineStr">
        <is>
          <t>Cycle</t>
        </is>
      </c>
      <c r="B110" s="156" t="inlineStr">
        <is>
          <t>Start ₹ Cr</t>
        </is>
      </c>
      <c r="C110" s="156" t="inlineStr">
        <is>
          <t>Gross gain ₹ Cr</t>
        </is>
      </c>
      <c r="D110" s="156" t="inlineStr">
        <is>
          <t>Running cost ₹ Cr</t>
        </is>
      </c>
      <c r="E110" s="156" t="inlineStr">
        <is>
          <t>Salary ₹ Cr</t>
        </is>
      </c>
      <c r="F110" s="156" t="inlineStr">
        <is>
          <t>Taxable ₹ Cr</t>
        </is>
      </c>
      <c r="G110" s="156" t="inlineStr">
        <is>
          <t>Tax rate</t>
        </is>
      </c>
      <c r="H110" s="156" t="inlineStr">
        <is>
          <t>Tax ₹ Cr</t>
        </is>
      </c>
      <c r="I110" s="156" t="inlineStr">
        <is>
          <t>Tax saved by payroll ₹ Cr</t>
        </is>
      </c>
      <c r="J110" s="156" t="inlineStr">
        <is>
          <t>Net leakage ₹ Cr</t>
        </is>
      </c>
      <c r="K110" s="156" t="inlineStr">
        <is>
          <t>End ₹ Cr</t>
        </is>
      </c>
    </row>
    <row r="111" hidden="1" outlineLevel="1">
      <c r="A111" s="178" t="n">
        <v>1</v>
      </c>
      <c r="B111" s="179">
        <f>$B$5</f>
        <v/>
      </c>
      <c r="C111" s="179">
        <f>(MIN(B111,$B$15)*$B$6+MAX(B111-$B$15,0)*$B$16*$B$7/12)</f>
        <v/>
      </c>
      <c r="D111" s="179">
        <f>$B$10</f>
        <v/>
      </c>
      <c r="E111" s="179" t="n">
        <v>0</v>
      </c>
      <c r="F111" s="179">
        <f>MAX(C111-D111-E111,0)</f>
        <v/>
      </c>
      <c r="G111" s="182">
        <f>IF(F111&gt;0,H111/F111,0)</f>
        <v/>
      </c>
      <c r="H111" s="179">
        <f>IF((F111*12/$B$7)&lt;='NG Inputs'!$B$32,0,(MAX((F111*12/$B$7)-'NG Inputs'!$A$16,0)*'NG Inputs'!$C$16+MAX((F111*12/$B$7)-'NG Inputs'!$A$17,0)*'NG Inputs'!$C$17+MAX((F111*12/$B$7)-'NG Inputs'!$A$18,0)*'NG Inputs'!$C$18+MAX((F111*12/$B$7)-'NG Inputs'!$A$19,0)*'NG Inputs'!$C$19+MAX((F111*12/$B$7)-'NG Inputs'!$A$20,0)*'NG Inputs'!$C$20+MAX((F111*12/$B$7)-'NG Inputs'!$A$21,0)*'NG Inputs'!$C$21+MAX((F111*12/$B$7)-'NG Inputs'!$A$22,0)*'NG Inputs'!$C$22)*(1+VLOOKUP((F111*12/$B$7),'NG Inputs'!$A$26:$B$29,2,TRUE))*(1+'NG Inputs'!$B$31))*$B$7/12</f>
        <v/>
      </c>
      <c r="I111" s="179" t="n">
        <v>0</v>
      </c>
      <c r="J111" s="179">
        <f>(1-$B$11)*E111</f>
        <v/>
      </c>
      <c r="K111" s="174">
        <f>B111+C111-D111-H111-J111</f>
        <v/>
      </c>
    </row>
    <row r="112" hidden="1" outlineLevel="1">
      <c r="A112" s="178" t="n">
        <v>2</v>
      </c>
      <c r="B112" s="179">
        <f>K111</f>
        <v/>
      </c>
      <c r="C112" s="179">
        <f>(MIN(B112,$B$15)*$B$6+MAX(B112-$B$15,0)*$B$16*$B$7/12)</f>
        <v/>
      </c>
      <c r="D112" s="179">
        <f>$B$10</f>
        <v/>
      </c>
      <c r="E112" s="179" t="n">
        <v>0</v>
      </c>
      <c r="F112" s="179">
        <f>MAX(C112-D112-E112,0)</f>
        <v/>
      </c>
      <c r="G112" s="182">
        <f>IF(F112&gt;0,H112/F112,0)</f>
        <v/>
      </c>
      <c r="H112" s="179">
        <f>IF((F112*12/$B$7)&lt;='NG Inputs'!$B$32,0,(MAX((F112*12/$B$7)-'NG Inputs'!$A$16,0)*'NG Inputs'!$C$16+MAX((F112*12/$B$7)-'NG Inputs'!$A$17,0)*'NG Inputs'!$C$17+MAX((F112*12/$B$7)-'NG Inputs'!$A$18,0)*'NG Inputs'!$C$18+MAX((F112*12/$B$7)-'NG Inputs'!$A$19,0)*'NG Inputs'!$C$19+MAX((F112*12/$B$7)-'NG Inputs'!$A$20,0)*'NG Inputs'!$C$20+MAX((F112*12/$B$7)-'NG Inputs'!$A$21,0)*'NG Inputs'!$C$21+MAX((F112*12/$B$7)-'NG Inputs'!$A$22,0)*'NG Inputs'!$C$22)*(1+VLOOKUP((F112*12/$B$7),'NG Inputs'!$A$26:$B$29,2,TRUE))*(1+'NG Inputs'!$B$31))*$B$7/12</f>
        <v/>
      </c>
      <c r="I112" s="179" t="n">
        <v>0</v>
      </c>
      <c r="J112" s="179">
        <f>(1-$B$11)*E112</f>
        <v/>
      </c>
      <c r="K112" s="174">
        <f>B112+C112-D112-H112-J112</f>
        <v/>
      </c>
    </row>
    <row r="113" hidden="1" outlineLevel="1">
      <c r="A113" s="178" t="n">
        <v>3</v>
      </c>
      <c r="B113" s="179">
        <f>K112</f>
        <v/>
      </c>
      <c r="C113" s="179">
        <f>(MIN(B113,$B$15)*$B$6+MAX(B113-$B$15,0)*$B$16*$B$7/12)</f>
        <v/>
      </c>
      <c r="D113" s="179">
        <f>$B$10</f>
        <v/>
      </c>
      <c r="E113" s="179" t="n">
        <v>0</v>
      </c>
      <c r="F113" s="179">
        <f>MAX(C113-D113-E113,0)</f>
        <v/>
      </c>
      <c r="G113" s="182">
        <f>IF(F113&gt;0,H113/F113,0)</f>
        <v/>
      </c>
      <c r="H113" s="179">
        <f>IF((F113*12/$B$7)&lt;='NG Inputs'!$B$32,0,(MAX((F113*12/$B$7)-'NG Inputs'!$A$16,0)*'NG Inputs'!$C$16+MAX((F113*12/$B$7)-'NG Inputs'!$A$17,0)*'NG Inputs'!$C$17+MAX((F113*12/$B$7)-'NG Inputs'!$A$18,0)*'NG Inputs'!$C$18+MAX((F113*12/$B$7)-'NG Inputs'!$A$19,0)*'NG Inputs'!$C$19+MAX((F113*12/$B$7)-'NG Inputs'!$A$20,0)*'NG Inputs'!$C$20+MAX((F113*12/$B$7)-'NG Inputs'!$A$21,0)*'NG Inputs'!$C$21+MAX((F113*12/$B$7)-'NG Inputs'!$A$22,0)*'NG Inputs'!$C$22)*(1+VLOOKUP((F113*12/$B$7),'NG Inputs'!$A$26:$B$29,2,TRUE))*(1+'NG Inputs'!$B$31))*$B$7/12</f>
        <v/>
      </c>
      <c r="I113" s="179" t="n">
        <v>0</v>
      </c>
      <c r="J113" s="179">
        <f>(1-$B$11)*E113</f>
        <v/>
      </c>
      <c r="K113" s="174">
        <f>B113+C113-D113-H113-J113</f>
        <v/>
      </c>
    </row>
    <row r="114" hidden="1" outlineLevel="1">
      <c r="A114" s="178" t="n">
        <v>4</v>
      </c>
      <c r="B114" s="179">
        <f>K113</f>
        <v/>
      </c>
      <c r="C114" s="179">
        <f>(MIN(B114,$B$15)*$B$6+MAX(B114-$B$15,0)*$B$16*$B$7/12)</f>
        <v/>
      </c>
      <c r="D114" s="179">
        <f>$B$10</f>
        <v/>
      </c>
      <c r="E114" s="179" t="n">
        <v>0</v>
      </c>
      <c r="F114" s="179">
        <f>MAX(C114-D114-E114,0)</f>
        <v/>
      </c>
      <c r="G114" s="182">
        <f>IF(F114&gt;0,H114/F114,0)</f>
        <v/>
      </c>
      <c r="H114" s="179">
        <f>IF((F114*12/$B$7)&lt;='NG Inputs'!$B$32,0,(MAX((F114*12/$B$7)-'NG Inputs'!$A$16,0)*'NG Inputs'!$C$16+MAX((F114*12/$B$7)-'NG Inputs'!$A$17,0)*'NG Inputs'!$C$17+MAX((F114*12/$B$7)-'NG Inputs'!$A$18,0)*'NG Inputs'!$C$18+MAX((F114*12/$B$7)-'NG Inputs'!$A$19,0)*'NG Inputs'!$C$19+MAX((F114*12/$B$7)-'NG Inputs'!$A$20,0)*'NG Inputs'!$C$20+MAX((F114*12/$B$7)-'NG Inputs'!$A$21,0)*'NG Inputs'!$C$21+MAX((F114*12/$B$7)-'NG Inputs'!$A$22,0)*'NG Inputs'!$C$22)*(1+VLOOKUP((F114*12/$B$7),'NG Inputs'!$A$26:$B$29,2,TRUE))*(1+'NG Inputs'!$B$31))*$B$7/12</f>
        <v/>
      </c>
      <c r="I114" s="179" t="n">
        <v>0</v>
      </c>
      <c r="J114" s="179">
        <f>(1-$B$11)*E114</f>
        <v/>
      </c>
      <c r="K114" s="174">
        <f>B114+C114-D114-H114-J114</f>
        <v/>
      </c>
    </row>
    <row r="115" hidden="1" outlineLevel="1">
      <c r="A115" s="178" t="n">
        <v>5</v>
      </c>
      <c r="B115" s="179">
        <f>K114</f>
        <v/>
      </c>
      <c r="C115" s="179">
        <f>(MIN(B115,$B$15)*$B$6+MAX(B115-$B$15,0)*$B$16*$B$7/12)</f>
        <v/>
      </c>
      <c r="D115" s="179">
        <f>$B$10</f>
        <v/>
      </c>
      <c r="E115" s="179" t="n">
        <v>0</v>
      </c>
      <c r="F115" s="179">
        <f>MAX(C115-D115-E115,0)</f>
        <v/>
      </c>
      <c r="G115" s="182">
        <f>IF(F115&gt;0,H115/F115,0)</f>
        <v/>
      </c>
      <c r="H115" s="179">
        <f>IF((F115*12/$B$7)&lt;='NG Inputs'!$B$32,0,(MAX((F115*12/$B$7)-'NG Inputs'!$A$16,0)*'NG Inputs'!$C$16+MAX((F115*12/$B$7)-'NG Inputs'!$A$17,0)*'NG Inputs'!$C$17+MAX((F115*12/$B$7)-'NG Inputs'!$A$18,0)*'NG Inputs'!$C$18+MAX((F115*12/$B$7)-'NG Inputs'!$A$19,0)*'NG Inputs'!$C$19+MAX((F115*12/$B$7)-'NG Inputs'!$A$20,0)*'NG Inputs'!$C$20+MAX((F115*12/$B$7)-'NG Inputs'!$A$21,0)*'NG Inputs'!$C$21+MAX((F115*12/$B$7)-'NG Inputs'!$A$22,0)*'NG Inputs'!$C$22)*(1+VLOOKUP((F115*12/$B$7),'NG Inputs'!$A$26:$B$29,2,TRUE))*(1+'NG Inputs'!$B$31))*$B$7/12</f>
        <v/>
      </c>
      <c r="I115" s="179" t="n">
        <v>0</v>
      </c>
      <c r="J115" s="179">
        <f>(1-$B$11)*E115</f>
        <v/>
      </c>
      <c r="K115" s="174">
        <f>B115+C115-D115-H115-J115</f>
        <v/>
      </c>
    </row>
    <row r="116" hidden="1" outlineLevel="1">
      <c r="A116" s="178" t="n">
        <v>6</v>
      </c>
      <c r="B116" s="179">
        <f>K115</f>
        <v/>
      </c>
      <c r="C116" s="179">
        <f>(MIN(B116,$B$15)*$B$6+MAX(B116-$B$15,0)*$B$16*$B$7/12)</f>
        <v/>
      </c>
      <c r="D116" s="179">
        <f>$B$10</f>
        <v/>
      </c>
      <c r="E116" s="179" t="n">
        <v>0</v>
      </c>
      <c r="F116" s="179">
        <f>MAX(C116-D116-E116,0)</f>
        <v/>
      </c>
      <c r="G116" s="182">
        <f>IF(F116&gt;0,H116/F116,0)</f>
        <v/>
      </c>
      <c r="H116" s="179">
        <f>IF((F116*12/$B$7)&lt;='NG Inputs'!$B$32,0,(MAX((F116*12/$B$7)-'NG Inputs'!$A$16,0)*'NG Inputs'!$C$16+MAX((F116*12/$B$7)-'NG Inputs'!$A$17,0)*'NG Inputs'!$C$17+MAX((F116*12/$B$7)-'NG Inputs'!$A$18,0)*'NG Inputs'!$C$18+MAX((F116*12/$B$7)-'NG Inputs'!$A$19,0)*'NG Inputs'!$C$19+MAX((F116*12/$B$7)-'NG Inputs'!$A$20,0)*'NG Inputs'!$C$20+MAX((F116*12/$B$7)-'NG Inputs'!$A$21,0)*'NG Inputs'!$C$21+MAX((F116*12/$B$7)-'NG Inputs'!$A$22,0)*'NG Inputs'!$C$22)*(1+VLOOKUP((F116*12/$B$7),'NG Inputs'!$A$26:$B$29,2,TRUE))*(1+'NG Inputs'!$B$31))*$B$7/12</f>
        <v/>
      </c>
      <c r="I116" s="179" t="n">
        <v>0</v>
      </c>
      <c r="J116" s="179">
        <f>(1-$B$11)*E116</f>
        <v/>
      </c>
      <c r="K116" s="174">
        <f>B116+C116-D116-H116-J116</f>
        <v/>
      </c>
    </row>
    <row r="117" hidden="1" outlineLevel="1">
      <c r="A117" s="178" t="n">
        <v>7</v>
      </c>
      <c r="B117" s="179">
        <f>K116</f>
        <v/>
      </c>
      <c r="C117" s="179">
        <f>(MIN(B117,$B$15)*$B$6+MAX(B117-$B$15,0)*$B$16*$B$7/12)</f>
        <v/>
      </c>
      <c r="D117" s="179">
        <f>$B$10</f>
        <v/>
      </c>
      <c r="E117" s="179" t="n">
        <v>0</v>
      </c>
      <c r="F117" s="179">
        <f>MAX(C117-D117-E117,0)</f>
        <v/>
      </c>
      <c r="G117" s="182">
        <f>IF(F117&gt;0,H117/F117,0)</f>
        <v/>
      </c>
      <c r="H117" s="179">
        <f>IF((F117*12/$B$7)&lt;='NG Inputs'!$B$32,0,(MAX((F117*12/$B$7)-'NG Inputs'!$A$16,0)*'NG Inputs'!$C$16+MAX((F117*12/$B$7)-'NG Inputs'!$A$17,0)*'NG Inputs'!$C$17+MAX((F117*12/$B$7)-'NG Inputs'!$A$18,0)*'NG Inputs'!$C$18+MAX((F117*12/$B$7)-'NG Inputs'!$A$19,0)*'NG Inputs'!$C$19+MAX((F117*12/$B$7)-'NG Inputs'!$A$20,0)*'NG Inputs'!$C$20+MAX((F117*12/$B$7)-'NG Inputs'!$A$21,0)*'NG Inputs'!$C$21+MAX((F117*12/$B$7)-'NG Inputs'!$A$22,0)*'NG Inputs'!$C$22)*(1+VLOOKUP((F117*12/$B$7),'NG Inputs'!$A$26:$B$29,2,TRUE))*(1+'NG Inputs'!$B$31))*$B$7/12</f>
        <v/>
      </c>
      <c r="I117" s="179" t="n">
        <v>0</v>
      </c>
      <c r="J117" s="179">
        <f>(1-$B$11)*E117</f>
        <v/>
      </c>
      <c r="K117" s="174">
        <f>B117+C117-D117-H117-J117</f>
        <v/>
      </c>
    </row>
    <row r="118" hidden="1" outlineLevel="1">
      <c r="A118" s="178" t="n">
        <v>8</v>
      </c>
      <c r="B118" s="179">
        <f>K117</f>
        <v/>
      </c>
      <c r="C118" s="179">
        <f>(MIN(B118,$B$15)*$B$6+MAX(B118-$B$15,0)*$B$16*$B$7/12)</f>
        <v/>
      </c>
      <c r="D118" s="179">
        <f>$B$10</f>
        <v/>
      </c>
      <c r="E118" s="179" t="n">
        <v>0</v>
      </c>
      <c r="F118" s="179">
        <f>MAX(C118-D118-E118,0)</f>
        <v/>
      </c>
      <c r="G118" s="182">
        <f>IF(F118&gt;0,H118/F118,0)</f>
        <v/>
      </c>
      <c r="H118" s="179">
        <f>IF((F118*12/$B$7)&lt;='NG Inputs'!$B$32,0,(MAX((F118*12/$B$7)-'NG Inputs'!$A$16,0)*'NG Inputs'!$C$16+MAX((F118*12/$B$7)-'NG Inputs'!$A$17,0)*'NG Inputs'!$C$17+MAX((F118*12/$B$7)-'NG Inputs'!$A$18,0)*'NG Inputs'!$C$18+MAX((F118*12/$B$7)-'NG Inputs'!$A$19,0)*'NG Inputs'!$C$19+MAX((F118*12/$B$7)-'NG Inputs'!$A$20,0)*'NG Inputs'!$C$20+MAX((F118*12/$B$7)-'NG Inputs'!$A$21,0)*'NG Inputs'!$C$21+MAX((F118*12/$B$7)-'NG Inputs'!$A$22,0)*'NG Inputs'!$C$22)*(1+VLOOKUP((F118*12/$B$7),'NG Inputs'!$A$26:$B$29,2,TRUE))*(1+'NG Inputs'!$B$31))*$B$7/12</f>
        <v/>
      </c>
      <c r="I118" s="179" t="n">
        <v>0</v>
      </c>
      <c r="J118" s="179">
        <f>(1-$B$11)*E118</f>
        <v/>
      </c>
      <c r="K118" s="174">
        <f>B118+C118-D118-H118-J118</f>
        <v/>
      </c>
    </row>
    <row r="119" hidden="1" outlineLevel="1">
      <c r="A119" s="178" t="n">
        <v>9</v>
      </c>
      <c r="B119" s="179">
        <f>K118</f>
        <v/>
      </c>
      <c r="C119" s="179">
        <f>(MIN(B119,$B$15)*$B$6+MAX(B119-$B$15,0)*$B$16*$B$7/12)</f>
        <v/>
      </c>
      <c r="D119" s="179">
        <f>$B$10</f>
        <v/>
      </c>
      <c r="E119" s="179" t="n">
        <v>0</v>
      </c>
      <c r="F119" s="179">
        <f>MAX(C119-D119-E119,0)</f>
        <v/>
      </c>
      <c r="G119" s="182">
        <f>IF(F119&gt;0,H119/F119,0)</f>
        <v/>
      </c>
      <c r="H119" s="179">
        <f>IF((F119*12/$B$7)&lt;='NG Inputs'!$B$32,0,(MAX((F119*12/$B$7)-'NG Inputs'!$A$16,0)*'NG Inputs'!$C$16+MAX((F119*12/$B$7)-'NG Inputs'!$A$17,0)*'NG Inputs'!$C$17+MAX((F119*12/$B$7)-'NG Inputs'!$A$18,0)*'NG Inputs'!$C$18+MAX((F119*12/$B$7)-'NG Inputs'!$A$19,0)*'NG Inputs'!$C$19+MAX((F119*12/$B$7)-'NG Inputs'!$A$20,0)*'NG Inputs'!$C$20+MAX((F119*12/$B$7)-'NG Inputs'!$A$21,0)*'NG Inputs'!$C$21+MAX((F119*12/$B$7)-'NG Inputs'!$A$22,0)*'NG Inputs'!$C$22)*(1+VLOOKUP((F119*12/$B$7),'NG Inputs'!$A$26:$B$29,2,TRUE))*(1+'NG Inputs'!$B$31))*$B$7/12</f>
        <v/>
      </c>
      <c r="I119" s="179" t="n">
        <v>0</v>
      </c>
      <c r="J119" s="179">
        <f>(1-$B$11)*E119</f>
        <v/>
      </c>
      <c r="K119" s="174">
        <f>B119+C119-D119-H119-J119</f>
        <v/>
      </c>
    </row>
    <row r="120" hidden="1" outlineLevel="1">
      <c r="A120" s="178" t="n">
        <v>10</v>
      </c>
      <c r="B120" s="179">
        <f>K119</f>
        <v/>
      </c>
      <c r="C120" s="179">
        <f>(MIN(B120,$B$15)*$B$6+MAX(B120-$B$15,0)*$B$16*$B$7/12)</f>
        <v/>
      </c>
      <c r="D120" s="179">
        <f>$B$10</f>
        <v/>
      </c>
      <c r="E120" s="179" t="n">
        <v>0</v>
      </c>
      <c r="F120" s="179">
        <f>MAX(C120-D120-E120,0)</f>
        <v/>
      </c>
      <c r="G120" s="182">
        <f>IF(F120&gt;0,H120/F120,0)</f>
        <v/>
      </c>
      <c r="H120" s="179">
        <f>IF((F120*12/$B$7)&lt;='NG Inputs'!$B$32,0,(MAX((F120*12/$B$7)-'NG Inputs'!$A$16,0)*'NG Inputs'!$C$16+MAX((F120*12/$B$7)-'NG Inputs'!$A$17,0)*'NG Inputs'!$C$17+MAX((F120*12/$B$7)-'NG Inputs'!$A$18,0)*'NG Inputs'!$C$18+MAX((F120*12/$B$7)-'NG Inputs'!$A$19,0)*'NG Inputs'!$C$19+MAX((F120*12/$B$7)-'NG Inputs'!$A$20,0)*'NG Inputs'!$C$20+MAX((F120*12/$B$7)-'NG Inputs'!$A$21,0)*'NG Inputs'!$C$21+MAX((F120*12/$B$7)-'NG Inputs'!$A$22,0)*'NG Inputs'!$C$22)*(1+VLOOKUP((F120*12/$B$7),'NG Inputs'!$A$26:$B$29,2,TRUE))*(1+'NG Inputs'!$B$31))*$B$7/12</f>
        <v/>
      </c>
      <c r="I120" s="179" t="n">
        <v>0</v>
      </c>
      <c r="J120" s="179">
        <f>(1-$B$11)*E120</f>
        <v/>
      </c>
      <c r="K120" s="174">
        <f>B120+C120-D120-H120-J120</f>
        <v/>
      </c>
    </row>
    <row r="121" hidden="1" outlineLevel="1">
      <c r="A121" s="178" t="n">
        <v>11</v>
      </c>
      <c r="B121" s="179">
        <f>K120</f>
        <v/>
      </c>
      <c r="C121" s="179">
        <f>(MIN(B121,$B$15)*$B$6+MAX(B121-$B$15,0)*$B$16*$B$7/12)</f>
        <v/>
      </c>
      <c r="D121" s="179">
        <f>$B$10</f>
        <v/>
      </c>
      <c r="E121" s="179" t="n">
        <v>0</v>
      </c>
      <c r="F121" s="179">
        <f>MAX(C121-D121-E121,0)</f>
        <v/>
      </c>
      <c r="G121" s="182">
        <f>IF(F121&gt;0,H121/F121,0)</f>
        <v/>
      </c>
      <c r="H121" s="179">
        <f>IF((F121*12/$B$7)&lt;='NG Inputs'!$B$32,0,(MAX((F121*12/$B$7)-'NG Inputs'!$A$16,0)*'NG Inputs'!$C$16+MAX((F121*12/$B$7)-'NG Inputs'!$A$17,0)*'NG Inputs'!$C$17+MAX((F121*12/$B$7)-'NG Inputs'!$A$18,0)*'NG Inputs'!$C$18+MAX((F121*12/$B$7)-'NG Inputs'!$A$19,0)*'NG Inputs'!$C$19+MAX((F121*12/$B$7)-'NG Inputs'!$A$20,0)*'NG Inputs'!$C$20+MAX((F121*12/$B$7)-'NG Inputs'!$A$21,0)*'NG Inputs'!$C$21+MAX((F121*12/$B$7)-'NG Inputs'!$A$22,0)*'NG Inputs'!$C$22)*(1+VLOOKUP((F121*12/$B$7),'NG Inputs'!$A$26:$B$29,2,TRUE))*(1+'NG Inputs'!$B$31))*$B$7/12</f>
        <v/>
      </c>
      <c r="I121" s="179" t="n">
        <v>0</v>
      </c>
      <c r="J121" s="179">
        <f>(1-$B$11)*E121</f>
        <v/>
      </c>
      <c r="K121" s="174">
        <f>B121+C121-D121-H121-J121</f>
        <v/>
      </c>
    </row>
    <row r="122" hidden="1" outlineLevel="1">
      <c r="A122" s="178" t="n">
        <v>12</v>
      </c>
      <c r="B122" s="179">
        <f>K121</f>
        <v/>
      </c>
      <c r="C122" s="179">
        <f>(MIN(B122,$B$15)*$B$6+MAX(B122-$B$15,0)*$B$16*$B$7/12)</f>
        <v/>
      </c>
      <c r="D122" s="179">
        <f>$B$10</f>
        <v/>
      </c>
      <c r="E122" s="179" t="n">
        <v>0</v>
      </c>
      <c r="F122" s="179">
        <f>MAX(C122-D122-E122,0)</f>
        <v/>
      </c>
      <c r="G122" s="182">
        <f>IF(F122&gt;0,H122/F122,0)</f>
        <v/>
      </c>
      <c r="H122" s="179">
        <f>IF((F122*12/$B$7)&lt;='NG Inputs'!$B$32,0,(MAX((F122*12/$B$7)-'NG Inputs'!$A$16,0)*'NG Inputs'!$C$16+MAX((F122*12/$B$7)-'NG Inputs'!$A$17,0)*'NG Inputs'!$C$17+MAX((F122*12/$B$7)-'NG Inputs'!$A$18,0)*'NG Inputs'!$C$18+MAX((F122*12/$B$7)-'NG Inputs'!$A$19,0)*'NG Inputs'!$C$19+MAX((F122*12/$B$7)-'NG Inputs'!$A$20,0)*'NG Inputs'!$C$20+MAX((F122*12/$B$7)-'NG Inputs'!$A$21,0)*'NG Inputs'!$C$21+MAX((F122*12/$B$7)-'NG Inputs'!$A$22,0)*'NG Inputs'!$C$22)*(1+VLOOKUP((F122*12/$B$7),'NG Inputs'!$A$26:$B$29,2,TRUE))*(1+'NG Inputs'!$B$31))*$B$7/12</f>
        <v/>
      </c>
      <c r="I122" s="179" t="n">
        <v>0</v>
      </c>
      <c r="J122" s="179">
        <f>(1-$B$11)*E122</f>
        <v/>
      </c>
      <c r="K122" s="174">
        <f>B122+C122-D122-H122-J122</f>
        <v/>
      </c>
    </row>
    <row r="123" hidden="1" outlineLevel="1">
      <c r="A123" s="178" t="n">
        <v>13</v>
      </c>
      <c r="B123" s="179">
        <f>K122</f>
        <v/>
      </c>
      <c r="C123" s="179">
        <f>(MIN(B123,$B$15)*$B$6+MAX(B123-$B$15,0)*$B$16*$B$7/12)</f>
        <v/>
      </c>
      <c r="D123" s="179">
        <f>$B$10</f>
        <v/>
      </c>
      <c r="E123" s="179" t="n">
        <v>0</v>
      </c>
      <c r="F123" s="179">
        <f>MAX(C123-D123-E123,0)</f>
        <v/>
      </c>
      <c r="G123" s="182">
        <f>IF(F123&gt;0,H123/F123,0)</f>
        <v/>
      </c>
      <c r="H123" s="179">
        <f>IF((F123*12/$B$7)&lt;='NG Inputs'!$B$32,0,(MAX((F123*12/$B$7)-'NG Inputs'!$A$16,0)*'NG Inputs'!$C$16+MAX((F123*12/$B$7)-'NG Inputs'!$A$17,0)*'NG Inputs'!$C$17+MAX((F123*12/$B$7)-'NG Inputs'!$A$18,0)*'NG Inputs'!$C$18+MAX((F123*12/$B$7)-'NG Inputs'!$A$19,0)*'NG Inputs'!$C$19+MAX((F123*12/$B$7)-'NG Inputs'!$A$20,0)*'NG Inputs'!$C$20+MAX((F123*12/$B$7)-'NG Inputs'!$A$21,0)*'NG Inputs'!$C$21+MAX((F123*12/$B$7)-'NG Inputs'!$A$22,0)*'NG Inputs'!$C$22)*(1+VLOOKUP((F123*12/$B$7),'NG Inputs'!$A$26:$B$29,2,TRUE))*(1+'NG Inputs'!$B$31))*$B$7/12</f>
        <v/>
      </c>
      <c r="I123" s="179" t="n">
        <v>0</v>
      </c>
      <c r="J123" s="179">
        <f>(1-$B$11)*E123</f>
        <v/>
      </c>
      <c r="K123" s="174">
        <f>B123+C123-D123-H123-J123</f>
        <v/>
      </c>
    </row>
    <row r="124" hidden="1" outlineLevel="1">
      <c r="A124" s="178" t="n">
        <v>14</v>
      </c>
      <c r="B124" s="179">
        <f>K123</f>
        <v/>
      </c>
      <c r="C124" s="179">
        <f>(MIN(B124,$B$15)*$B$6+MAX(B124-$B$15,0)*$B$16*$B$7/12)</f>
        <v/>
      </c>
      <c r="D124" s="179">
        <f>$B$10</f>
        <v/>
      </c>
      <c r="E124" s="179" t="n">
        <v>0</v>
      </c>
      <c r="F124" s="179">
        <f>MAX(C124-D124-E124,0)</f>
        <v/>
      </c>
      <c r="G124" s="182">
        <f>IF(F124&gt;0,H124/F124,0)</f>
        <v/>
      </c>
      <c r="H124" s="179">
        <f>IF((F124*12/$B$7)&lt;='NG Inputs'!$B$32,0,(MAX((F124*12/$B$7)-'NG Inputs'!$A$16,0)*'NG Inputs'!$C$16+MAX((F124*12/$B$7)-'NG Inputs'!$A$17,0)*'NG Inputs'!$C$17+MAX((F124*12/$B$7)-'NG Inputs'!$A$18,0)*'NG Inputs'!$C$18+MAX((F124*12/$B$7)-'NG Inputs'!$A$19,0)*'NG Inputs'!$C$19+MAX((F124*12/$B$7)-'NG Inputs'!$A$20,0)*'NG Inputs'!$C$20+MAX((F124*12/$B$7)-'NG Inputs'!$A$21,0)*'NG Inputs'!$C$21+MAX((F124*12/$B$7)-'NG Inputs'!$A$22,0)*'NG Inputs'!$C$22)*(1+VLOOKUP((F124*12/$B$7),'NG Inputs'!$A$26:$B$29,2,TRUE))*(1+'NG Inputs'!$B$31))*$B$7/12</f>
        <v/>
      </c>
      <c r="I124" s="179" t="n">
        <v>0</v>
      </c>
      <c r="J124" s="179">
        <f>(1-$B$11)*E124</f>
        <v/>
      </c>
      <c r="K124" s="174">
        <f>B124+C124-D124-H124-J124</f>
        <v/>
      </c>
    </row>
    <row r="125" hidden="1" outlineLevel="1">
      <c r="A125" s="178" t="n">
        <v>15</v>
      </c>
      <c r="B125" s="179">
        <f>K124</f>
        <v/>
      </c>
      <c r="C125" s="179">
        <f>(MIN(B125,$B$15)*$B$6+MAX(B125-$B$15,0)*$B$16*$B$7/12)</f>
        <v/>
      </c>
      <c r="D125" s="179">
        <f>$B$10</f>
        <v/>
      </c>
      <c r="E125" s="179" t="n">
        <v>0</v>
      </c>
      <c r="F125" s="179">
        <f>MAX(C125-D125-E125,0)</f>
        <v/>
      </c>
      <c r="G125" s="182">
        <f>IF(F125&gt;0,H125/F125,0)</f>
        <v/>
      </c>
      <c r="H125" s="179">
        <f>IF((F125*12/$B$7)&lt;='NG Inputs'!$B$32,0,(MAX((F125*12/$B$7)-'NG Inputs'!$A$16,0)*'NG Inputs'!$C$16+MAX((F125*12/$B$7)-'NG Inputs'!$A$17,0)*'NG Inputs'!$C$17+MAX((F125*12/$B$7)-'NG Inputs'!$A$18,0)*'NG Inputs'!$C$18+MAX((F125*12/$B$7)-'NG Inputs'!$A$19,0)*'NG Inputs'!$C$19+MAX((F125*12/$B$7)-'NG Inputs'!$A$20,0)*'NG Inputs'!$C$20+MAX((F125*12/$B$7)-'NG Inputs'!$A$21,0)*'NG Inputs'!$C$21+MAX((F125*12/$B$7)-'NG Inputs'!$A$22,0)*'NG Inputs'!$C$22)*(1+VLOOKUP((F125*12/$B$7),'NG Inputs'!$A$26:$B$29,2,TRUE))*(1+'NG Inputs'!$B$31))*$B$7/12</f>
        <v/>
      </c>
      <c r="I125" s="179" t="n">
        <v>0</v>
      </c>
      <c r="J125" s="179">
        <f>(1-$B$11)*E125</f>
        <v/>
      </c>
      <c r="K125" s="174">
        <f>B125+C125-D125-H125-J125</f>
        <v/>
      </c>
    </row>
    <row r="126" hidden="1" outlineLevel="1">
      <c r="A126" s="178" t="n">
        <v>16</v>
      </c>
      <c r="B126" s="179">
        <f>K125</f>
        <v/>
      </c>
      <c r="C126" s="179">
        <f>(MIN(B126,$B$15)*$B$6+MAX(B126-$B$15,0)*$B$16*$B$7/12)</f>
        <v/>
      </c>
      <c r="D126" s="179">
        <f>$B$10</f>
        <v/>
      </c>
      <c r="E126" s="179" t="n">
        <v>0</v>
      </c>
      <c r="F126" s="179">
        <f>MAX(C126-D126-E126,0)</f>
        <v/>
      </c>
      <c r="G126" s="182">
        <f>IF(F126&gt;0,H126/F126,0)</f>
        <v/>
      </c>
      <c r="H126" s="179">
        <f>IF((F126*12/$B$7)&lt;='NG Inputs'!$B$32,0,(MAX((F126*12/$B$7)-'NG Inputs'!$A$16,0)*'NG Inputs'!$C$16+MAX((F126*12/$B$7)-'NG Inputs'!$A$17,0)*'NG Inputs'!$C$17+MAX((F126*12/$B$7)-'NG Inputs'!$A$18,0)*'NG Inputs'!$C$18+MAX((F126*12/$B$7)-'NG Inputs'!$A$19,0)*'NG Inputs'!$C$19+MAX((F126*12/$B$7)-'NG Inputs'!$A$20,0)*'NG Inputs'!$C$20+MAX((F126*12/$B$7)-'NG Inputs'!$A$21,0)*'NG Inputs'!$C$21+MAX((F126*12/$B$7)-'NG Inputs'!$A$22,0)*'NG Inputs'!$C$22)*(1+VLOOKUP((F126*12/$B$7),'NG Inputs'!$A$26:$B$29,2,TRUE))*(1+'NG Inputs'!$B$31))*$B$7/12</f>
        <v/>
      </c>
      <c r="I126" s="179" t="n">
        <v>0</v>
      </c>
      <c r="J126" s="179">
        <f>(1-$B$11)*E126</f>
        <v/>
      </c>
      <c r="K126" s="174">
        <f>B126+C126-D126-H126-J126</f>
        <v/>
      </c>
    </row>
    <row r="127" hidden="1" outlineLevel="1">
      <c r="A127" s="178" t="n">
        <v>17</v>
      </c>
      <c r="B127" s="179">
        <f>K126</f>
        <v/>
      </c>
      <c r="C127" s="179">
        <f>(MIN(B127,$B$15)*$B$6+MAX(B127-$B$15,0)*$B$16*$B$7/12)</f>
        <v/>
      </c>
      <c r="D127" s="179">
        <f>$B$10</f>
        <v/>
      </c>
      <c r="E127" s="179" t="n">
        <v>0</v>
      </c>
      <c r="F127" s="179">
        <f>MAX(C127-D127-E127,0)</f>
        <v/>
      </c>
      <c r="G127" s="182">
        <f>IF(F127&gt;0,H127/F127,0)</f>
        <v/>
      </c>
      <c r="H127" s="179">
        <f>IF((F127*12/$B$7)&lt;='NG Inputs'!$B$32,0,(MAX((F127*12/$B$7)-'NG Inputs'!$A$16,0)*'NG Inputs'!$C$16+MAX((F127*12/$B$7)-'NG Inputs'!$A$17,0)*'NG Inputs'!$C$17+MAX((F127*12/$B$7)-'NG Inputs'!$A$18,0)*'NG Inputs'!$C$18+MAX((F127*12/$B$7)-'NG Inputs'!$A$19,0)*'NG Inputs'!$C$19+MAX((F127*12/$B$7)-'NG Inputs'!$A$20,0)*'NG Inputs'!$C$20+MAX((F127*12/$B$7)-'NG Inputs'!$A$21,0)*'NG Inputs'!$C$21+MAX((F127*12/$B$7)-'NG Inputs'!$A$22,0)*'NG Inputs'!$C$22)*(1+VLOOKUP((F127*12/$B$7),'NG Inputs'!$A$26:$B$29,2,TRUE))*(1+'NG Inputs'!$B$31))*$B$7/12</f>
        <v/>
      </c>
      <c r="I127" s="179" t="n">
        <v>0</v>
      </c>
      <c r="J127" s="179">
        <f>(1-$B$11)*E127</f>
        <v/>
      </c>
      <c r="K127" s="174">
        <f>B127+C127-D127-H127-J127</f>
        <v/>
      </c>
    </row>
    <row r="128" hidden="1" outlineLevel="1">
      <c r="A128" s="178" t="n">
        <v>18</v>
      </c>
      <c r="B128" s="179">
        <f>K127</f>
        <v/>
      </c>
      <c r="C128" s="179">
        <f>(MIN(B128,$B$15)*$B$6+MAX(B128-$B$15,0)*$B$16*$B$7/12)</f>
        <v/>
      </c>
      <c r="D128" s="179">
        <f>$B$10</f>
        <v/>
      </c>
      <c r="E128" s="179" t="n">
        <v>0</v>
      </c>
      <c r="F128" s="179">
        <f>MAX(C128-D128-E128,0)</f>
        <v/>
      </c>
      <c r="G128" s="182">
        <f>IF(F128&gt;0,H128/F128,0)</f>
        <v/>
      </c>
      <c r="H128" s="179">
        <f>IF((F128*12/$B$7)&lt;='NG Inputs'!$B$32,0,(MAX((F128*12/$B$7)-'NG Inputs'!$A$16,0)*'NG Inputs'!$C$16+MAX((F128*12/$B$7)-'NG Inputs'!$A$17,0)*'NG Inputs'!$C$17+MAX((F128*12/$B$7)-'NG Inputs'!$A$18,0)*'NG Inputs'!$C$18+MAX((F128*12/$B$7)-'NG Inputs'!$A$19,0)*'NG Inputs'!$C$19+MAX((F128*12/$B$7)-'NG Inputs'!$A$20,0)*'NG Inputs'!$C$20+MAX((F128*12/$B$7)-'NG Inputs'!$A$21,0)*'NG Inputs'!$C$21+MAX((F128*12/$B$7)-'NG Inputs'!$A$22,0)*'NG Inputs'!$C$22)*(1+VLOOKUP((F128*12/$B$7),'NG Inputs'!$A$26:$B$29,2,TRUE))*(1+'NG Inputs'!$B$31))*$B$7/12</f>
        <v/>
      </c>
      <c r="I128" s="179" t="n">
        <v>0</v>
      </c>
      <c r="J128" s="179">
        <f>(1-$B$11)*E128</f>
        <v/>
      </c>
      <c r="K128" s="174">
        <f>B128+C128-D128-H128-J128</f>
        <v/>
      </c>
    </row>
    <row r="129" hidden="1" outlineLevel="1">
      <c r="A129" s="178" t="n">
        <v>19</v>
      </c>
      <c r="B129" s="179">
        <f>K128</f>
        <v/>
      </c>
      <c r="C129" s="179">
        <f>(MIN(B129,$B$15)*$B$6+MAX(B129-$B$15,0)*$B$16*$B$7/12)</f>
        <v/>
      </c>
      <c r="D129" s="179">
        <f>$B$10</f>
        <v/>
      </c>
      <c r="E129" s="179" t="n">
        <v>0</v>
      </c>
      <c r="F129" s="179">
        <f>MAX(C129-D129-E129,0)</f>
        <v/>
      </c>
      <c r="G129" s="182">
        <f>IF(F129&gt;0,H129/F129,0)</f>
        <v/>
      </c>
      <c r="H129" s="179">
        <f>IF((F129*12/$B$7)&lt;='NG Inputs'!$B$32,0,(MAX((F129*12/$B$7)-'NG Inputs'!$A$16,0)*'NG Inputs'!$C$16+MAX((F129*12/$B$7)-'NG Inputs'!$A$17,0)*'NG Inputs'!$C$17+MAX((F129*12/$B$7)-'NG Inputs'!$A$18,0)*'NG Inputs'!$C$18+MAX((F129*12/$B$7)-'NG Inputs'!$A$19,0)*'NG Inputs'!$C$19+MAX((F129*12/$B$7)-'NG Inputs'!$A$20,0)*'NG Inputs'!$C$20+MAX((F129*12/$B$7)-'NG Inputs'!$A$21,0)*'NG Inputs'!$C$21+MAX((F129*12/$B$7)-'NG Inputs'!$A$22,0)*'NG Inputs'!$C$22)*(1+VLOOKUP((F129*12/$B$7),'NG Inputs'!$A$26:$B$29,2,TRUE))*(1+'NG Inputs'!$B$31))*$B$7/12</f>
        <v/>
      </c>
      <c r="I129" s="179" t="n">
        <v>0</v>
      </c>
      <c r="J129" s="179">
        <f>(1-$B$11)*E129</f>
        <v/>
      </c>
      <c r="K129" s="174">
        <f>B129+C129-D129-H129-J129</f>
        <v/>
      </c>
    </row>
    <row r="130" hidden="1" outlineLevel="1">
      <c r="A130" s="178" t="n">
        <v>20</v>
      </c>
      <c r="B130" s="179">
        <f>K129</f>
        <v/>
      </c>
      <c r="C130" s="179">
        <f>(MIN(B130,$B$15)*$B$6+MAX(B130-$B$15,0)*$B$16*$B$7/12)</f>
        <v/>
      </c>
      <c r="D130" s="179">
        <f>$B$10</f>
        <v/>
      </c>
      <c r="E130" s="179" t="n">
        <v>0</v>
      </c>
      <c r="F130" s="179">
        <f>MAX(C130-D130-E130,0)</f>
        <v/>
      </c>
      <c r="G130" s="182">
        <f>IF(F130&gt;0,H130/F130,0)</f>
        <v/>
      </c>
      <c r="H130" s="179">
        <f>IF((F130*12/$B$7)&lt;='NG Inputs'!$B$32,0,(MAX((F130*12/$B$7)-'NG Inputs'!$A$16,0)*'NG Inputs'!$C$16+MAX((F130*12/$B$7)-'NG Inputs'!$A$17,0)*'NG Inputs'!$C$17+MAX((F130*12/$B$7)-'NG Inputs'!$A$18,0)*'NG Inputs'!$C$18+MAX((F130*12/$B$7)-'NG Inputs'!$A$19,0)*'NG Inputs'!$C$19+MAX((F130*12/$B$7)-'NG Inputs'!$A$20,0)*'NG Inputs'!$C$20+MAX((F130*12/$B$7)-'NG Inputs'!$A$21,0)*'NG Inputs'!$C$21+MAX((F130*12/$B$7)-'NG Inputs'!$A$22,0)*'NG Inputs'!$C$22)*(1+VLOOKUP((F130*12/$B$7),'NG Inputs'!$A$26:$B$29,2,TRUE))*(1+'NG Inputs'!$B$31))*$B$7/12</f>
        <v/>
      </c>
      <c r="I130" s="179" t="n">
        <v>0</v>
      </c>
      <c r="J130" s="179">
        <f>(1-$B$11)*E130</f>
        <v/>
      </c>
      <c r="K130" s="174">
        <f>B130+C130-D130-H130-J130</f>
        <v/>
      </c>
    </row>
    <row r="131" hidden="1" outlineLevel="1"/>
    <row r="132" hidden="1" outlineLevel="1"/>
    <row r="133" hidden="1" outlineLevel="1" ht="20" customHeight="1">
      <c r="A133" s="154" t="inlineStr">
        <is>
          <t>COMPANY</t>
        </is>
      </c>
      <c r="B133" s="155" t="n"/>
      <c r="C133" s="155" t="n"/>
      <c r="D133" s="155" t="n"/>
      <c r="E133" s="155" t="n"/>
      <c r="F133" s="155" t="n"/>
      <c r="G133" s="155" t="n"/>
      <c r="H133" s="155" t="n"/>
      <c r="I133" s="155" t="n"/>
      <c r="J133" s="155" t="n"/>
      <c r="K133" s="155" t="n"/>
      <c r="L133" s="155" t="n"/>
      <c r="M133" s="155" t="n"/>
      <c r="N133" s="155" t="n"/>
      <c r="O133" s="155" t="n"/>
      <c r="P133" s="155" t="n"/>
      <c r="Q133" s="155" t="n"/>
      <c r="R133" s="155" t="n"/>
      <c r="S133" s="155" t="n"/>
    </row>
    <row r="134" hidden="1" outlineLevel="1">
      <c r="A134" s="164" t="inlineStr">
        <is>
          <t>Members</t>
        </is>
      </c>
      <c r="B134" s="178" t="n">
        <v>0</v>
      </c>
    </row>
    <row r="135" hidden="1" outlineLevel="1" ht="32" customHeight="1">
      <c r="A135" s="156" t="inlineStr">
        <is>
          <t>Cycle</t>
        </is>
      </c>
      <c r="B135" s="156" t="inlineStr">
        <is>
          <t>Start ₹ Cr</t>
        </is>
      </c>
      <c r="C135" s="156" t="inlineStr">
        <is>
          <t>Gross gain ₹ Cr</t>
        </is>
      </c>
      <c r="D135" s="156" t="inlineStr">
        <is>
          <t>Running cost ₹ Cr</t>
        </is>
      </c>
      <c r="E135" s="156" t="inlineStr">
        <is>
          <t>Salary ₹ Cr</t>
        </is>
      </c>
      <c r="F135" s="156" t="inlineStr">
        <is>
          <t>Taxable ₹ Cr</t>
        </is>
      </c>
      <c r="G135" s="156" t="inlineStr">
        <is>
          <t>Tax rate</t>
        </is>
      </c>
      <c r="H135" s="156" t="inlineStr">
        <is>
          <t>Tax ₹ Cr</t>
        </is>
      </c>
      <c r="I135" s="156" t="inlineStr">
        <is>
          <t>Tax saved by payroll ₹ Cr</t>
        </is>
      </c>
      <c r="J135" s="156" t="inlineStr">
        <is>
          <t>Net leakage ₹ Cr</t>
        </is>
      </c>
      <c r="K135" s="156" t="inlineStr">
        <is>
          <t>End ₹ Cr</t>
        </is>
      </c>
    </row>
    <row r="136" hidden="1" outlineLevel="1">
      <c r="A136" s="178" t="n">
        <v>1</v>
      </c>
      <c r="B136" s="179">
        <f>$B$5</f>
        <v/>
      </c>
      <c r="C136" s="179">
        <f>(MIN(B136,$B$15)*$B$6+MAX(B136-$B$15,0)*$B$16*$B$7/12)</f>
        <v/>
      </c>
      <c r="D136" s="179">
        <f>$B$9</f>
        <v/>
      </c>
      <c r="E136" s="179">
        <f>IF(AND($B$134&gt;0,$B$8&gt;0),MIN($B$134*$B$17,$B$13*MAX(C136-D136,0)),0)</f>
        <v/>
      </c>
      <c r="F136" s="179">
        <f>MAX(C136-D136-E136,0)</f>
        <v/>
      </c>
      <c r="G136" s="182">
        <f>$B$8</f>
        <v/>
      </c>
      <c r="H136" s="179">
        <f>F136*G136</f>
        <v/>
      </c>
      <c r="I136" s="179">
        <f>MAX(C136-D136,0)*G136-H136</f>
        <v/>
      </c>
      <c r="J136" s="179">
        <f>(1-$B$11)*E136</f>
        <v/>
      </c>
      <c r="K136" s="174">
        <f>B136+C136-D136-H136-J136</f>
        <v/>
      </c>
    </row>
    <row r="137" hidden="1" outlineLevel="1">
      <c r="A137" s="178" t="n">
        <v>2</v>
      </c>
      <c r="B137" s="179">
        <f>K136</f>
        <v/>
      </c>
      <c r="C137" s="179">
        <f>(MIN(B137,$B$15)*$B$6+MAX(B137-$B$15,0)*$B$16*$B$7/12)</f>
        <v/>
      </c>
      <c r="D137" s="179">
        <f>$B$9</f>
        <v/>
      </c>
      <c r="E137" s="179">
        <f>IF(AND($B$134&gt;0,$B$8&gt;0),MIN($B$134*$B$17,$B$13*MAX(C137-D137,0)),0)</f>
        <v/>
      </c>
      <c r="F137" s="179">
        <f>MAX(C137-D137-E137,0)</f>
        <v/>
      </c>
      <c r="G137" s="182">
        <f>$B$8</f>
        <v/>
      </c>
      <c r="H137" s="179">
        <f>F137*G137</f>
        <v/>
      </c>
      <c r="I137" s="179">
        <f>MAX(C137-D137,0)*G137-H137</f>
        <v/>
      </c>
      <c r="J137" s="179">
        <f>(1-$B$11)*E137</f>
        <v/>
      </c>
      <c r="K137" s="174">
        <f>B137+C137-D137-H137-J137</f>
        <v/>
      </c>
    </row>
    <row r="138" hidden="1" outlineLevel="1">
      <c r="A138" s="178" t="n">
        <v>3</v>
      </c>
      <c r="B138" s="179">
        <f>K137</f>
        <v/>
      </c>
      <c r="C138" s="179">
        <f>(MIN(B138,$B$15)*$B$6+MAX(B138-$B$15,0)*$B$16*$B$7/12)</f>
        <v/>
      </c>
      <c r="D138" s="179">
        <f>$B$9</f>
        <v/>
      </c>
      <c r="E138" s="179">
        <f>IF(AND($B$134&gt;0,$B$8&gt;0),MIN($B$134*$B$17,$B$13*MAX(C138-D138,0)),0)</f>
        <v/>
      </c>
      <c r="F138" s="179">
        <f>MAX(C138-D138-E138,0)</f>
        <v/>
      </c>
      <c r="G138" s="182">
        <f>$B$8</f>
        <v/>
      </c>
      <c r="H138" s="179">
        <f>F138*G138</f>
        <v/>
      </c>
      <c r="I138" s="179">
        <f>MAX(C138-D138,0)*G138-H138</f>
        <v/>
      </c>
      <c r="J138" s="179">
        <f>(1-$B$11)*E138</f>
        <v/>
      </c>
      <c r="K138" s="174">
        <f>B138+C138-D138-H138-J138</f>
        <v/>
      </c>
    </row>
    <row r="139" hidden="1" outlineLevel="1">
      <c r="A139" s="178" t="n">
        <v>4</v>
      </c>
      <c r="B139" s="179">
        <f>K138</f>
        <v/>
      </c>
      <c r="C139" s="179">
        <f>(MIN(B139,$B$15)*$B$6+MAX(B139-$B$15,0)*$B$16*$B$7/12)</f>
        <v/>
      </c>
      <c r="D139" s="179">
        <f>$B$9</f>
        <v/>
      </c>
      <c r="E139" s="179">
        <f>IF(AND($B$134&gt;0,$B$8&gt;0),MIN($B$134*$B$17,$B$13*MAX(C139-D139,0)),0)</f>
        <v/>
      </c>
      <c r="F139" s="179">
        <f>MAX(C139-D139-E139,0)</f>
        <v/>
      </c>
      <c r="G139" s="182">
        <f>$B$8</f>
        <v/>
      </c>
      <c r="H139" s="179">
        <f>F139*G139</f>
        <v/>
      </c>
      <c r="I139" s="179">
        <f>MAX(C139-D139,0)*G139-H139</f>
        <v/>
      </c>
      <c r="J139" s="179">
        <f>(1-$B$11)*E139</f>
        <v/>
      </c>
      <c r="K139" s="174">
        <f>B139+C139-D139-H139-J139</f>
        <v/>
      </c>
    </row>
    <row r="140" hidden="1" outlineLevel="1">
      <c r="A140" s="178" t="n">
        <v>5</v>
      </c>
      <c r="B140" s="179">
        <f>K139</f>
        <v/>
      </c>
      <c r="C140" s="179">
        <f>(MIN(B140,$B$15)*$B$6+MAX(B140-$B$15,0)*$B$16*$B$7/12)</f>
        <v/>
      </c>
      <c r="D140" s="179">
        <f>$B$9</f>
        <v/>
      </c>
      <c r="E140" s="179">
        <f>IF(AND($B$134&gt;0,$B$8&gt;0),MIN($B$134*$B$17,$B$13*MAX(C140-D140,0)),0)</f>
        <v/>
      </c>
      <c r="F140" s="179">
        <f>MAX(C140-D140-E140,0)</f>
        <v/>
      </c>
      <c r="G140" s="182">
        <f>$B$8</f>
        <v/>
      </c>
      <c r="H140" s="179">
        <f>F140*G140</f>
        <v/>
      </c>
      <c r="I140" s="179">
        <f>MAX(C140-D140,0)*G140-H140</f>
        <v/>
      </c>
      <c r="J140" s="179">
        <f>(1-$B$11)*E140</f>
        <v/>
      </c>
      <c r="K140" s="174">
        <f>B140+C140-D140-H140-J140</f>
        <v/>
      </c>
    </row>
    <row r="141" hidden="1" outlineLevel="1">
      <c r="A141" s="178" t="n">
        <v>6</v>
      </c>
      <c r="B141" s="179">
        <f>K140</f>
        <v/>
      </c>
      <c r="C141" s="179">
        <f>(MIN(B141,$B$15)*$B$6+MAX(B141-$B$15,0)*$B$16*$B$7/12)</f>
        <v/>
      </c>
      <c r="D141" s="179">
        <f>$B$9</f>
        <v/>
      </c>
      <c r="E141" s="179">
        <f>IF(AND($B$134&gt;0,$B$8&gt;0),MIN($B$134*$B$17,$B$13*MAX(C141-D141,0)),0)</f>
        <v/>
      </c>
      <c r="F141" s="179">
        <f>MAX(C141-D141-E141,0)</f>
        <v/>
      </c>
      <c r="G141" s="182">
        <f>$B$8</f>
        <v/>
      </c>
      <c r="H141" s="179">
        <f>F141*G141</f>
        <v/>
      </c>
      <c r="I141" s="179">
        <f>MAX(C141-D141,0)*G141-H141</f>
        <v/>
      </c>
      <c r="J141" s="179">
        <f>(1-$B$11)*E141</f>
        <v/>
      </c>
      <c r="K141" s="174">
        <f>B141+C141-D141-H141-J141</f>
        <v/>
      </c>
    </row>
    <row r="142" hidden="1" outlineLevel="1">
      <c r="A142" s="178" t="n">
        <v>7</v>
      </c>
      <c r="B142" s="179">
        <f>K141</f>
        <v/>
      </c>
      <c r="C142" s="179">
        <f>(MIN(B142,$B$15)*$B$6+MAX(B142-$B$15,0)*$B$16*$B$7/12)</f>
        <v/>
      </c>
      <c r="D142" s="179">
        <f>$B$9</f>
        <v/>
      </c>
      <c r="E142" s="179">
        <f>IF(AND($B$134&gt;0,$B$8&gt;0),MIN($B$134*$B$17,$B$13*MAX(C142-D142,0)),0)</f>
        <v/>
      </c>
      <c r="F142" s="179">
        <f>MAX(C142-D142-E142,0)</f>
        <v/>
      </c>
      <c r="G142" s="182">
        <f>$B$8</f>
        <v/>
      </c>
      <c r="H142" s="179">
        <f>F142*G142</f>
        <v/>
      </c>
      <c r="I142" s="179">
        <f>MAX(C142-D142,0)*G142-H142</f>
        <v/>
      </c>
      <c r="J142" s="179">
        <f>(1-$B$11)*E142</f>
        <v/>
      </c>
      <c r="K142" s="174">
        <f>B142+C142-D142-H142-J142</f>
        <v/>
      </c>
    </row>
    <row r="143" hidden="1" outlineLevel="1">
      <c r="A143" s="178" t="n">
        <v>8</v>
      </c>
      <c r="B143" s="179">
        <f>K142</f>
        <v/>
      </c>
      <c r="C143" s="179">
        <f>(MIN(B143,$B$15)*$B$6+MAX(B143-$B$15,0)*$B$16*$B$7/12)</f>
        <v/>
      </c>
      <c r="D143" s="179">
        <f>$B$9</f>
        <v/>
      </c>
      <c r="E143" s="179">
        <f>IF(AND($B$134&gt;0,$B$8&gt;0),MIN($B$134*$B$17,$B$13*MAX(C143-D143,0)),0)</f>
        <v/>
      </c>
      <c r="F143" s="179">
        <f>MAX(C143-D143-E143,0)</f>
        <v/>
      </c>
      <c r="G143" s="182">
        <f>$B$8</f>
        <v/>
      </c>
      <c r="H143" s="179">
        <f>F143*G143</f>
        <v/>
      </c>
      <c r="I143" s="179">
        <f>MAX(C143-D143,0)*G143-H143</f>
        <v/>
      </c>
      <c r="J143" s="179">
        <f>(1-$B$11)*E143</f>
        <v/>
      </c>
      <c r="K143" s="174">
        <f>B143+C143-D143-H143-J143</f>
        <v/>
      </c>
    </row>
    <row r="144" hidden="1" outlineLevel="1">
      <c r="A144" s="178" t="n">
        <v>9</v>
      </c>
      <c r="B144" s="179">
        <f>K143</f>
        <v/>
      </c>
      <c r="C144" s="179">
        <f>(MIN(B144,$B$15)*$B$6+MAX(B144-$B$15,0)*$B$16*$B$7/12)</f>
        <v/>
      </c>
      <c r="D144" s="179">
        <f>$B$9</f>
        <v/>
      </c>
      <c r="E144" s="179">
        <f>IF(AND($B$134&gt;0,$B$8&gt;0),MIN($B$134*$B$17,$B$13*MAX(C144-D144,0)),0)</f>
        <v/>
      </c>
      <c r="F144" s="179">
        <f>MAX(C144-D144-E144,0)</f>
        <v/>
      </c>
      <c r="G144" s="182">
        <f>$B$8</f>
        <v/>
      </c>
      <c r="H144" s="179">
        <f>F144*G144</f>
        <v/>
      </c>
      <c r="I144" s="179">
        <f>MAX(C144-D144,0)*G144-H144</f>
        <v/>
      </c>
      <c r="J144" s="179">
        <f>(1-$B$11)*E144</f>
        <v/>
      </c>
      <c r="K144" s="174">
        <f>B144+C144-D144-H144-J144</f>
        <v/>
      </c>
    </row>
    <row r="145" hidden="1" outlineLevel="1">
      <c r="A145" s="178" t="n">
        <v>10</v>
      </c>
      <c r="B145" s="179">
        <f>K144</f>
        <v/>
      </c>
      <c r="C145" s="179">
        <f>(MIN(B145,$B$15)*$B$6+MAX(B145-$B$15,0)*$B$16*$B$7/12)</f>
        <v/>
      </c>
      <c r="D145" s="179">
        <f>$B$9</f>
        <v/>
      </c>
      <c r="E145" s="179">
        <f>IF(AND($B$134&gt;0,$B$8&gt;0),MIN($B$134*$B$17,$B$13*MAX(C145-D145,0)),0)</f>
        <v/>
      </c>
      <c r="F145" s="179">
        <f>MAX(C145-D145-E145,0)</f>
        <v/>
      </c>
      <c r="G145" s="182">
        <f>$B$8</f>
        <v/>
      </c>
      <c r="H145" s="179">
        <f>F145*G145</f>
        <v/>
      </c>
      <c r="I145" s="179">
        <f>MAX(C145-D145,0)*G145-H145</f>
        <v/>
      </c>
      <c r="J145" s="179">
        <f>(1-$B$11)*E145</f>
        <v/>
      </c>
      <c r="K145" s="174">
        <f>B145+C145-D145-H145-J145</f>
        <v/>
      </c>
    </row>
    <row r="146" hidden="1" outlineLevel="1">
      <c r="A146" s="178" t="n">
        <v>11</v>
      </c>
      <c r="B146" s="179">
        <f>K145</f>
        <v/>
      </c>
      <c r="C146" s="179">
        <f>(MIN(B146,$B$15)*$B$6+MAX(B146-$B$15,0)*$B$16*$B$7/12)</f>
        <v/>
      </c>
      <c r="D146" s="179">
        <f>$B$9</f>
        <v/>
      </c>
      <c r="E146" s="179">
        <f>IF(AND($B$134&gt;0,$B$8&gt;0),MIN($B$134*$B$17,$B$13*MAX(C146-D146,0)),0)</f>
        <v/>
      </c>
      <c r="F146" s="179">
        <f>MAX(C146-D146-E146,0)</f>
        <v/>
      </c>
      <c r="G146" s="182">
        <f>$B$8</f>
        <v/>
      </c>
      <c r="H146" s="179">
        <f>F146*G146</f>
        <v/>
      </c>
      <c r="I146" s="179">
        <f>MAX(C146-D146,0)*G146-H146</f>
        <v/>
      </c>
      <c r="J146" s="179">
        <f>(1-$B$11)*E146</f>
        <v/>
      </c>
      <c r="K146" s="174">
        <f>B146+C146-D146-H146-J146</f>
        <v/>
      </c>
    </row>
    <row r="147" hidden="1" outlineLevel="1">
      <c r="A147" s="178" t="n">
        <v>12</v>
      </c>
      <c r="B147" s="179">
        <f>K146</f>
        <v/>
      </c>
      <c r="C147" s="179">
        <f>(MIN(B147,$B$15)*$B$6+MAX(B147-$B$15,0)*$B$16*$B$7/12)</f>
        <v/>
      </c>
      <c r="D147" s="179">
        <f>$B$9</f>
        <v/>
      </c>
      <c r="E147" s="179">
        <f>IF(AND($B$134&gt;0,$B$8&gt;0),MIN($B$134*$B$17,$B$13*MAX(C147-D147,0)),0)</f>
        <v/>
      </c>
      <c r="F147" s="179">
        <f>MAX(C147-D147-E147,0)</f>
        <v/>
      </c>
      <c r="G147" s="182">
        <f>$B$8</f>
        <v/>
      </c>
      <c r="H147" s="179">
        <f>F147*G147</f>
        <v/>
      </c>
      <c r="I147" s="179">
        <f>MAX(C147-D147,0)*G147-H147</f>
        <v/>
      </c>
      <c r="J147" s="179">
        <f>(1-$B$11)*E147</f>
        <v/>
      </c>
      <c r="K147" s="174">
        <f>B147+C147-D147-H147-J147</f>
        <v/>
      </c>
    </row>
    <row r="148" hidden="1" outlineLevel="1">
      <c r="A148" s="178" t="n">
        <v>13</v>
      </c>
      <c r="B148" s="179">
        <f>K147</f>
        <v/>
      </c>
      <c r="C148" s="179">
        <f>(MIN(B148,$B$15)*$B$6+MAX(B148-$B$15,0)*$B$16*$B$7/12)</f>
        <v/>
      </c>
      <c r="D148" s="179">
        <f>$B$9</f>
        <v/>
      </c>
      <c r="E148" s="179">
        <f>IF(AND($B$134&gt;0,$B$8&gt;0),MIN($B$134*$B$17,$B$13*MAX(C148-D148,0)),0)</f>
        <v/>
      </c>
      <c r="F148" s="179">
        <f>MAX(C148-D148-E148,0)</f>
        <v/>
      </c>
      <c r="G148" s="182">
        <f>$B$8</f>
        <v/>
      </c>
      <c r="H148" s="179">
        <f>F148*G148</f>
        <v/>
      </c>
      <c r="I148" s="179">
        <f>MAX(C148-D148,0)*G148-H148</f>
        <v/>
      </c>
      <c r="J148" s="179">
        <f>(1-$B$11)*E148</f>
        <v/>
      </c>
      <c r="K148" s="174">
        <f>B148+C148-D148-H148-J148</f>
        <v/>
      </c>
    </row>
    <row r="149" hidden="1" outlineLevel="1">
      <c r="A149" s="178" t="n">
        <v>14</v>
      </c>
      <c r="B149" s="179">
        <f>K148</f>
        <v/>
      </c>
      <c r="C149" s="179">
        <f>(MIN(B149,$B$15)*$B$6+MAX(B149-$B$15,0)*$B$16*$B$7/12)</f>
        <v/>
      </c>
      <c r="D149" s="179">
        <f>$B$9</f>
        <v/>
      </c>
      <c r="E149" s="179">
        <f>IF(AND($B$134&gt;0,$B$8&gt;0),MIN($B$134*$B$17,$B$13*MAX(C149-D149,0)),0)</f>
        <v/>
      </c>
      <c r="F149" s="179">
        <f>MAX(C149-D149-E149,0)</f>
        <v/>
      </c>
      <c r="G149" s="182">
        <f>$B$8</f>
        <v/>
      </c>
      <c r="H149" s="179">
        <f>F149*G149</f>
        <v/>
      </c>
      <c r="I149" s="179">
        <f>MAX(C149-D149,0)*G149-H149</f>
        <v/>
      </c>
      <c r="J149" s="179">
        <f>(1-$B$11)*E149</f>
        <v/>
      </c>
      <c r="K149" s="174">
        <f>B149+C149-D149-H149-J149</f>
        <v/>
      </c>
    </row>
    <row r="150" hidden="1" outlineLevel="1">
      <c r="A150" s="178" t="n">
        <v>15</v>
      </c>
      <c r="B150" s="179">
        <f>K149</f>
        <v/>
      </c>
      <c r="C150" s="179">
        <f>(MIN(B150,$B$15)*$B$6+MAX(B150-$B$15,0)*$B$16*$B$7/12)</f>
        <v/>
      </c>
      <c r="D150" s="179">
        <f>$B$9</f>
        <v/>
      </c>
      <c r="E150" s="179">
        <f>IF(AND($B$134&gt;0,$B$8&gt;0),MIN($B$134*$B$17,$B$13*MAX(C150-D150,0)),0)</f>
        <v/>
      </c>
      <c r="F150" s="179">
        <f>MAX(C150-D150-E150,0)</f>
        <v/>
      </c>
      <c r="G150" s="182">
        <f>$B$8</f>
        <v/>
      </c>
      <c r="H150" s="179">
        <f>F150*G150</f>
        <v/>
      </c>
      <c r="I150" s="179">
        <f>MAX(C150-D150,0)*G150-H150</f>
        <v/>
      </c>
      <c r="J150" s="179">
        <f>(1-$B$11)*E150</f>
        <v/>
      </c>
      <c r="K150" s="174">
        <f>B150+C150-D150-H150-J150</f>
        <v/>
      </c>
    </row>
    <row r="151" hidden="1" outlineLevel="1">
      <c r="A151" s="178" t="n">
        <v>16</v>
      </c>
      <c r="B151" s="179">
        <f>K150</f>
        <v/>
      </c>
      <c r="C151" s="179">
        <f>(MIN(B151,$B$15)*$B$6+MAX(B151-$B$15,0)*$B$16*$B$7/12)</f>
        <v/>
      </c>
      <c r="D151" s="179">
        <f>$B$9</f>
        <v/>
      </c>
      <c r="E151" s="179">
        <f>IF(AND($B$134&gt;0,$B$8&gt;0),MIN($B$134*$B$17,$B$13*MAX(C151-D151,0)),0)</f>
        <v/>
      </c>
      <c r="F151" s="179">
        <f>MAX(C151-D151-E151,0)</f>
        <v/>
      </c>
      <c r="G151" s="182">
        <f>$B$8</f>
        <v/>
      </c>
      <c r="H151" s="179">
        <f>F151*G151</f>
        <v/>
      </c>
      <c r="I151" s="179">
        <f>MAX(C151-D151,0)*G151-H151</f>
        <v/>
      </c>
      <c r="J151" s="179">
        <f>(1-$B$11)*E151</f>
        <v/>
      </c>
      <c r="K151" s="174">
        <f>B151+C151-D151-H151-J151</f>
        <v/>
      </c>
    </row>
    <row r="152" hidden="1" outlineLevel="1">
      <c r="A152" s="178" t="n">
        <v>17</v>
      </c>
      <c r="B152" s="179">
        <f>K151</f>
        <v/>
      </c>
      <c r="C152" s="179">
        <f>(MIN(B152,$B$15)*$B$6+MAX(B152-$B$15,0)*$B$16*$B$7/12)</f>
        <v/>
      </c>
      <c r="D152" s="179">
        <f>$B$9</f>
        <v/>
      </c>
      <c r="E152" s="179">
        <f>IF(AND($B$134&gt;0,$B$8&gt;0),MIN($B$134*$B$17,$B$13*MAX(C152-D152,0)),0)</f>
        <v/>
      </c>
      <c r="F152" s="179">
        <f>MAX(C152-D152-E152,0)</f>
        <v/>
      </c>
      <c r="G152" s="182">
        <f>$B$8</f>
        <v/>
      </c>
      <c r="H152" s="179">
        <f>F152*G152</f>
        <v/>
      </c>
      <c r="I152" s="179">
        <f>MAX(C152-D152,0)*G152-H152</f>
        <v/>
      </c>
      <c r="J152" s="179">
        <f>(1-$B$11)*E152</f>
        <v/>
      </c>
      <c r="K152" s="174">
        <f>B152+C152-D152-H152-J152</f>
        <v/>
      </c>
    </row>
    <row r="153" hidden="1" outlineLevel="1">
      <c r="A153" s="178" t="n">
        <v>18</v>
      </c>
      <c r="B153" s="179">
        <f>K152</f>
        <v/>
      </c>
      <c r="C153" s="179">
        <f>(MIN(B153,$B$15)*$B$6+MAX(B153-$B$15,0)*$B$16*$B$7/12)</f>
        <v/>
      </c>
      <c r="D153" s="179">
        <f>$B$9</f>
        <v/>
      </c>
      <c r="E153" s="179">
        <f>IF(AND($B$134&gt;0,$B$8&gt;0),MIN($B$134*$B$17,$B$13*MAX(C153-D153,0)),0)</f>
        <v/>
      </c>
      <c r="F153" s="179">
        <f>MAX(C153-D153-E153,0)</f>
        <v/>
      </c>
      <c r="G153" s="182">
        <f>$B$8</f>
        <v/>
      </c>
      <c r="H153" s="179">
        <f>F153*G153</f>
        <v/>
      </c>
      <c r="I153" s="179">
        <f>MAX(C153-D153,0)*G153-H153</f>
        <v/>
      </c>
      <c r="J153" s="179">
        <f>(1-$B$11)*E153</f>
        <v/>
      </c>
      <c r="K153" s="174">
        <f>B153+C153-D153-H153-J153</f>
        <v/>
      </c>
    </row>
    <row r="154" hidden="1" outlineLevel="1">
      <c r="A154" s="178" t="n">
        <v>19</v>
      </c>
      <c r="B154" s="179">
        <f>K153</f>
        <v/>
      </c>
      <c r="C154" s="179">
        <f>(MIN(B154,$B$15)*$B$6+MAX(B154-$B$15,0)*$B$16*$B$7/12)</f>
        <v/>
      </c>
      <c r="D154" s="179">
        <f>$B$9</f>
        <v/>
      </c>
      <c r="E154" s="179">
        <f>IF(AND($B$134&gt;0,$B$8&gt;0),MIN($B$134*$B$17,$B$13*MAX(C154-D154,0)),0)</f>
        <v/>
      </c>
      <c r="F154" s="179">
        <f>MAX(C154-D154-E154,0)</f>
        <v/>
      </c>
      <c r="G154" s="182">
        <f>$B$8</f>
        <v/>
      </c>
      <c r="H154" s="179">
        <f>F154*G154</f>
        <v/>
      </c>
      <c r="I154" s="179">
        <f>MAX(C154-D154,0)*G154-H154</f>
        <v/>
      </c>
      <c r="J154" s="179">
        <f>(1-$B$11)*E154</f>
        <v/>
      </c>
      <c r="K154" s="174">
        <f>B154+C154-D154-H154-J154</f>
        <v/>
      </c>
    </row>
    <row r="155" hidden="1" outlineLevel="1">
      <c r="A155" s="178" t="n">
        <v>20</v>
      </c>
      <c r="B155" s="179">
        <f>K154</f>
        <v/>
      </c>
      <c r="C155" s="179">
        <f>(MIN(B155,$B$15)*$B$6+MAX(B155-$B$15,0)*$B$16*$B$7/12)</f>
        <v/>
      </c>
      <c r="D155" s="179">
        <f>$B$9</f>
        <v/>
      </c>
      <c r="E155" s="179">
        <f>IF(AND($B$134&gt;0,$B$8&gt;0),MIN($B$134*$B$17,$B$13*MAX(C155-D155,0)),0)</f>
        <v/>
      </c>
      <c r="F155" s="179">
        <f>MAX(C155-D155-E155,0)</f>
        <v/>
      </c>
      <c r="G155" s="182">
        <f>$B$8</f>
        <v/>
      </c>
      <c r="H155" s="179">
        <f>F155*G155</f>
        <v/>
      </c>
      <c r="I155" s="179">
        <f>MAX(C155-D155,0)*G155-H155</f>
        <v/>
      </c>
      <c r="J155" s="179">
        <f>(1-$B$11)*E155</f>
        <v/>
      </c>
      <c r="K155" s="174">
        <f>B155+C155-D155-H155-J155</f>
        <v/>
      </c>
    </row>
    <row r="156" hidden="1" outlineLevel="1"/>
    <row r="157" hidden="1" outlineLevel="1"/>
    <row r="158" hidden="1" outlineLevel="1" ht="20" customHeight="1">
      <c r="A158" s="154" t="inlineStr">
        <is>
          <t>COMPANY + 1 MEMBER</t>
        </is>
      </c>
      <c r="B158" s="155" t="n"/>
      <c r="C158" s="155" t="n"/>
      <c r="D158" s="155" t="n"/>
      <c r="E158" s="155" t="n"/>
      <c r="F158" s="155" t="n"/>
      <c r="G158" s="155" t="n"/>
      <c r="H158" s="155" t="n"/>
      <c r="I158" s="155" t="n"/>
      <c r="J158" s="155" t="n"/>
      <c r="K158" s="155" t="n"/>
      <c r="L158" s="155" t="n"/>
      <c r="M158" s="155" t="n"/>
      <c r="N158" s="155" t="n"/>
      <c r="O158" s="155" t="n"/>
      <c r="P158" s="155" t="n"/>
      <c r="Q158" s="155" t="n"/>
      <c r="R158" s="155" t="n"/>
      <c r="S158" s="155" t="n"/>
    </row>
    <row r="159" hidden="1" outlineLevel="1">
      <c r="A159" s="164" t="inlineStr">
        <is>
          <t>Members</t>
        </is>
      </c>
      <c r="B159" s="178" t="n">
        <v>1</v>
      </c>
    </row>
    <row r="160" hidden="1" outlineLevel="1" ht="32" customHeight="1">
      <c r="A160" s="156" t="inlineStr">
        <is>
          <t>Cycle</t>
        </is>
      </c>
      <c r="B160" s="156" t="inlineStr">
        <is>
          <t>Start ₹ Cr</t>
        </is>
      </c>
      <c r="C160" s="156" t="inlineStr">
        <is>
          <t>Gross gain ₹ Cr</t>
        </is>
      </c>
      <c r="D160" s="156" t="inlineStr">
        <is>
          <t>Running cost ₹ Cr</t>
        </is>
      </c>
      <c r="E160" s="156" t="inlineStr">
        <is>
          <t>Salary ₹ Cr</t>
        </is>
      </c>
      <c r="F160" s="156" t="inlineStr">
        <is>
          <t>Taxable ₹ Cr</t>
        </is>
      </c>
      <c r="G160" s="156" t="inlineStr">
        <is>
          <t>Tax rate</t>
        </is>
      </c>
      <c r="H160" s="156" t="inlineStr">
        <is>
          <t>Tax ₹ Cr</t>
        </is>
      </c>
      <c r="I160" s="156" t="inlineStr">
        <is>
          <t>Tax saved by payroll ₹ Cr</t>
        </is>
      </c>
      <c r="J160" s="156" t="inlineStr">
        <is>
          <t>Net leakage ₹ Cr</t>
        </is>
      </c>
      <c r="K160" s="156" t="inlineStr">
        <is>
          <t>End ₹ Cr</t>
        </is>
      </c>
    </row>
    <row r="161" hidden="1" outlineLevel="1">
      <c r="A161" s="178" t="n">
        <v>1</v>
      </c>
      <c r="B161" s="179">
        <f>$B$5</f>
        <v/>
      </c>
      <c r="C161" s="179">
        <f>(MIN(B161,$B$15)*$B$6+MAX(B161-$B$15,0)*$B$16*$B$7/12)</f>
        <v/>
      </c>
      <c r="D161" s="179">
        <f>$B$9</f>
        <v/>
      </c>
      <c r="E161" s="179">
        <f>IF(AND($B$159&gt;0,$B$8&gt;0),MIN($B$159*$B$17,$B$13*MAX(C161-D161,0)),0)</f>
        <v/>
      </c>
      <c r="F161" s="179">
        <f>MAX(C161-D161-E161,0)</f>
        <v/>
      </c>
      <c r="G161" s="182">
        <f>$B$8</f>
        <v/>
      </c>
      <c r="H161" s="179">
        <f>F161*G161</f>
        <v/>
      </c>
      <c r="I161" s="179">
        <f>MAX(C161-D161,0)*G161-H161</f>
        <v/>
      </c>
      <c r="J161" s="179">
        <f>(1-$B$11)*E161</f>
        <v/>
      </c>
      <c r="K161" s="174">
        <f>B161+C161-D161-H161-J161</f>
        <v/>
      </c>
    </row>
    <row r="162" hidden="1" outlineLevel="1">
      <c r="A162" s="178" t="n">
        <v>2</v>
      </c>
      <c r="B162" s="179">
        <f>K161</f>
        <v/>
      </c>
      <c r="C162" s="179">
        <f>(MIN(B162,$B$15)*$B$6+MAX(B162-$B$15,0)*$B$16*$B$7/12)</f>
        <v/>
      </c>
      <c r="D162" s="179">
        <f>$B$9</f>
        <v/>
      </c>
      <c r="E162" s="179">
        <f>IF(AND($B$159&gt;0,$B$8&gt;0),MIN($B$159*$B$17,$B$13*MAX(C162-D162,0)),0)</f>
        <v/>
      </c>
      <c r="F162" s="179">
        <f>MAX(C162-D162-E162,0)</f>
        <v/>
      </c>
      <c r="G162" s="182">
        <f>$B$8</f>
        <v/>
      </c>
      <c r="H162" s="179">
        <f>F162*G162</f>
        <v/>
      </c>
      <c r="I162" s="179">
        <f>MAX(C162-D162,0)*G162-H162</f>
        <v/>
      </c>
      <c r="J162" s="179">
        <f>(1-$B$11)*E162</f>
        <v/>
      </c>
      <c r="K162" s="174">
        <f>B162+C162-D162-H162-J162</f>
        <v/>
      </c>
    </row>
    <row r="163" hidden="1" outlineLevel="1">
      <c r="A163" s="178" t="n">
        <v>3</v>
      </c>
      <c r="B163" s="179">
        <f>K162</f>
        <v/>
      </c>
      <c r="C163" s="179">
        <f>(MIN(B163,$B$15)*$B$6+MAX(B163-$B$15,0)*$B$16*$B$7/12)</f>
        <v/>
      </c>
      <c r="D163" s="179">
        <f>$B$9</f>
        <v/>
      </c>
      <c r="E163" s="179">
        <f>IF(AND($B$159&gt;0,$B$8&gt;0),MIN($B$159*$B$17,$B$13*MAX(C163-D163,0)),0)</f>
        <v/>
      </c>
      <c r="F163" s="179">
        <f>MAX(C163-D163-E163,0)</f>
        <v/>
      </c>
      <c r="G163" s="182">
        <f>$B$8</f>
        <v/>
      </c>
      <c r="H163" s="179">
        <f>F163*G163</f>
        <v/>
      </c>
      <c r="I163" s="179">
        <f>MAX(C163-D163,0)*G163-H163</f>
        <v/>
      </c>
      <c r="J163" s="179">
        <f>(1-$B$11)*E163</f>
        <v/>
      </c>
      <c r="K163" s="174">
        <f>B163+C163-D163-H163-J163</f>
        <v/>
      </c>
    </row>
    <row r="164" hidden="1" outlineLevel="1">
      <c r="A164" s="178" t="n">
        <v>4</v>
      </c>
      <c r="B164" s="179">
        <f>K163</f>
        <v/>
      </c>
      <c r="C164" s="179">
        <f>(MIN(B164,$B$15)*$B$6+MAX(B164-$B$15,0)*$B$16*$B$7/12)</f>
        <v/>
      </c>
      <c r="D164" s="179">
        <f>$B$9</f>
        <v/>
      </c>
      <c r="E164" s="179">
        <f>IF(AND($B$159&gt;0,$B$8&gt;0),MIN($B$159*$B$17,$B$13*MAX(C164-D164,0)),0)</f>
        <v/>
      </c>
      <c r="F164" s="179">
        <f>MAX(C164-D164-E164,0)</f>
        <v/>
      </c>
      <c r="G164" s="182">
        <f>$B$8</f>
        <v/>
      </c>
      <c r="H164" s="179">
        <f>F164*G164</f>
        <v/>
      </c>
      <c r="I164" s="179">
        <f>MAX(C164-D164,0)*G164-H164</f>
        <v/>
      </c>
      <c r="J164" s="179">
        <f>(1-$B$11)*E164</f>
        <v/>
      </c>
      <c r="K164" s="174">
        <f>B164+C164-D164-H164-J164</f>
        <v/>
      </c>
    </row>
    <row r="165" hidden="1" outlineLevel="1">
      <c r="A165" s="178" t="n">
        <v>5</v>
      </c>
      <c r="B165" s="179">
        <f>K164</f>
        <v/>
      </c>
      <c r="C165" s="179">
        <f>(MIN(B165,$B$15)*$B$6+MAX(B165-$B$15,0)*$B$16*$B$7/12)</f>
        <v/>
      </c>
      <c r="D165" s="179">
        <f>$B$9</f>
        <v/>
      </c>
      <c r="E165" s="179">
        <f>IF(AND($B$159&gt;0,$B$8&gt;0),MIN($B$159*$B$17,$B$13*MAX(C165-D165,0)),0)</f>
        <v/>
      </c>
      <c r="F165" s="179">
        <f>MAX(C165-D165-E165,0)</f>
        <v/>
      </c>
      <c r="G165" s="182">
        <f>$B$8</f>
        <v/>
      </c>
      <c r="H165" s="179">
        <f>F165*G165</f>
        <v/>
      </c>
      <c r="I165" s="179">
        <f>MAX(C165-D165,0)*G165-H165</f>
        <v/>
      </c>
      <c r="J165" s="179">
        <f>(1-$B$11)*E165</f>
        <v/>
      </c>
      <c r="K165" s="174">
        <f>B165+C165-D165-H165-J165</f>
        <v/>
      </c>
    </row>
    <row r="166" hidden="1" outlineLevel="1">
      <c r="A166" s="178" t="n">
        <v>6</v>
      </c>
      <c r="B166" s="179">
        <f>K165</f>
        <v/>
      </c>
      <c r="C166" s="179">
        <f>(MIN(B166,$B$15)*$B$6+MAX(B166-$B$15,0)*$B$16*$B$7/12)</f>
        <v/>
      </c>
      <c r="D166" s="179">
        <f>$B$9</f>
        <v/>
      </c>
      <c r="E166" s="179">
        <f>IF(AND($B$159&gt;0,$B$8&gt;0),MIN($B$159*$B$17,$B$13*MAX(C166-D166,0)),0)</f>
        <v/>
      </c>
      <c r="F166" s="179">
        <f>MAX(C166-D166-E166,0)</f>
        <v/>
      </c>
      <c r="G166" s="182">
        <f>$B$8</f>
        <v/>
      </c>
      <c r="H166" s="179">
        <f>F166*G166</f>
        <v/>
      </c>
      <c r="I166" s="179">
        <f>MAX(C166-D166,0)*G166-H166</f>
        <v/>
      </c>
      <c r="J166" s="179">
        <f>(1-$B$11)*E166</f>
        <v/>
      </c>
      <c r="K166" s="174">
        <f>B166+C166-D166-H166-J166</f>
        <v/>
      </c>
    </row>
    <row r="167" hidden="1" outlineLevel="1">
      <c r="A167" s="178" t="n">
        <v>7</v>
      </c>
      <c r="B167" s="179">
        <f>K166</f>
        <v/>
      </c>
      <c r="C167" s="179">
        <f>(MIN(B167,$B$15)*$B$6+MAX(B167-$B$15,0)*$B$16*$B$7/12)</f>
        <v/>
      </c>
      <c r="D167" s="179">
        <f>$B$9</f>
        <v/>
      </c>
      <c r="E167" s="179">
        <f>IF(AND($B$159&gt;0,$B$8&gt;0),MIN($B$159*$B$17,$B$13*MAX(C167-D167,0)),0)</f>
        <v/>
      </c>
      <c r="F167" s="179">
        <f>MAX(C167-D167-E167,0)</f>
        <v/>
      </c>
      <c r="G167" s="182">
        <f>$B$8</f>
        <v/>
      </c>
      <c r="H167" s="179">
        <f>F167*G167</f>
        <v/>
      </c>
      <c r="I167" s="179">
        <f>MAX(C167-D167,0)*G167-H167</f>
        <v/>
      </c>
      <c r="J167" s="179">
        <f>(1-$B$11)*E167</f>
        <v/>
      </c>
      <c r="K167" s="174">
        <f>B167+C167-D167-H167-J167</f>
        <v/>
      </c>
    </row>
    <row r="168" hidden="1" outlineLevel="1">
      <c r="A168" s="178" t="n">
        <v>8</v>
      </c>
      <c r="B168" s="179">
        <f>K167</f>
        <v/>
      </c>
      <c r="C168" s="179">
        <f>(MIN(B168,$B$15)*$B$6+MAX(B168-$B$15,0)*$B$16*$B$7/12)</f>
        <v/>
      </c>
      <c r="D168" s="179">
        <f>$B$9</f>
        <v/>
      </c>
      <c r="E168" s="179">
        <f>IF(AND($B$159&gt;0,$B$8&gt;0),MIN($B$159*$B$17,$B$13*MAX(C168-D168,0)),0)</f>
        <v/>
      </c>
      <c r="F168" s="179">
        <f>MAX(C168-D168-E168,0)</f>
        <v/>
      </c>
      <c r="G168" s="182">
        <f>$B$8</f>
        <v/>
      </c>
      <c r="H168" s="179">
        <f>F168*G168</f>
        <v/>
      </c>
      <c r="I168" s="179">
        <f>MAX(C168-D168,0)*G168-H168</f>
        <v/>
      </c>
      <c r="J168" s="179">
        <f>(1-$B$11)*E168</f>
        <v/>
      </c>
      <c r="K168" s="174">
        <f>B168+C168-D168-H168-J168</f>
        <v/>
      </c>
    </row>
    <row r="169" hidden="1" outlineLevel="1">
      <c r="A169" s="178" t="n">
        <v>9</v>
      </c>
      <c r="B169" s="179">
        <f>K168</f>
        <v/>
      </c>
      <c r="C169" s="179">
        <f>(MIN(B169,$B$15)*$B$6+MAX(B169-$B$15,0)*$B$16*$B$7/12)</f>
        <v/>
      </c>
      <c r="D169" s="179">
        <f>$B$9</f>
        <v/>
      </c>
      <c r="E169" s="179">
        <f>IF(AND($B$159&gt;0,$B$8&gt;0),MIN($B$159*$B$17,$B$13*MAX(C169-D169,0)),0)</f>
        <v/>
      </c>
      <c r="F169" s="179">
        <f>MAX(C169-D169-E169,0)</f>
        <v/>
      </c>
      <c r="G169" s="182">
        <f>$B$8</f>
        <v/>
      </c>
      <c r="H169" s="179">
        <f>F169*G169</f>
        <v/>
      </c>
      <c r="I169" s="179">
        <f>MAX(C169-D169,0)*G169-H169</f>
        <v/>
      </c>
      <c r="J169" s="179">
        <f>(1-$B$11)*E169</f>
        <v/>
      </c>
      <c r="K169" s="174">
        <f>B169+C169-D169-H169-J169</f>
        <v/>
      </c>
    </row>
    <row r="170" hidden="1" outlineLevel="1">
      <c r="A170" s="178" t="n">
        <v>10</v>
      </c>
      <c r="B170" s="179">
        <f>K169</f>
        <v/>
      </c>
      <c r="C170" s="179">
        <f>(MIN(B170,$B$15)*$B$6+MAX(B170-$B$15,0)*$B$16*$B$7/12)</f>
        <v/>
      </c>
      <c r="D170" s="179">
        <f>$B$9</f>
        <v/>
      </c>
      <c r="E170" s="179">
        <f>IF(AND($B$159&gt;0,$B$8&gt;0),MIN($B$159*$B$17,$B$13*MAX(C170-D170,0)),0)</f>
        <v/>
      </c>
      <c r="F170" s="179">
        <f>MAX(C170-D170-E170,0)</f>
        <v/>
      </c>
      <c r="G170" s="182">
        <f>$B$8</f>
        <v/>
      </c>
      <c r="H170" s="179">
        <f>F170*G170</f>
        <v/>
      </c>
      <c r="I170" s="179">
        <f>MAX(C170-D170,0)*G170-H170</f>
        <v/>
      </c>
      <c r="J170" s="179">
        <f>(1-$B$11)*E170</f>
        <v/>
      </c>
      <c r="K170" s="174">
        <f>B170+C170-D170-H170-J170</f>
        <v/>
      </c>
    </row>
    <row r="171" hidden="1" outlineLevel="1">
      <c r="A171" s="178" t="n">
        <v>11</v>
      </c>
      <c r="B171" s="179">
        <f>K170</f>
        <v/>
      </c>
      <c r="C171" s="179">
        <f>(MIN(B171,$B$15)*$B$6+MAX(B171-$B$15,0)*$B$16*$B$7/12)</f>
        <v/>
      </c>
      <c r="D171" s="179">
        <f>$B$9</f>
        <v/>
      </c>
      <c r="E171" s="179">
        <f>IF(AND($B$159&gt;0,$B$8&gt;0),MIN($B$159*$B$17,$B$13*MAX(C171-D171,0)),0)</f>
        <v/>
      </c>
      <c r="F171" s="179">
        <f>MAX(C171-D171-E171,0)</f>
        <v/>
      </c>
      <c r="G171" s="182">
        <f>$B$8</f>
        <v/>
      </c>
      <c r="H171" s="179">
        <f>F171*G171</f>
        <v/>
      </c>
      <c r="I171" s="179">
        <f>MAX(C171-D171,0)*G171-H171</f>
        <v/>
      </c>
      <c r="J171" s="179">
        <f>(1-$B$11)*E171</f>
        <v/>
      </c>
      <c r="K171" s="174">
        <f>B171+C171-D171-H171-J171</f>
        <v/>
      </c>
    </row>
    <row r="172" hidden="1" outlineLevel="1">
      <c r="A172" s="178" t="n">
        <v>12</v>
      </c>
      <c r="B172" s="179">
        <f>K171</f>
        <v/>
      </c>
      <c r="C172" s="179">
        <f>(MIN(B172,$B$15)*$B$6+MAX(B172-$B$15,0)*$B$16*$B$7/12)</f>
        <v/>
      </c>
      <c r="D172" s="179">
        <f>$B$9</f>
        <v/>
      </c>
      <c r="E172" s="179">
        <f>IF(AND($B$159&gt;0,$B$8&gt;0),MIN($B$159*$B$17,$B$13*MAX(C172-D172,0)),0)</f>
        <v/>
      </c>
      <c r="F172" s="179">
        <f>MAX(C172-D172-E172,0)</f>
        <v/>
      </c>
      <c r="G172" s="182">
        <f>$B$8</f>
        <v/>
      </c>
      <c r="H172" s="179">
        <f>F172*G172</f>
        <v/>
      </c>
      <c r="I172" s="179">
        <f>MAX(C172-D172,0)*G172-H172</f>
        <v/>
      </c>
      <c r="J172" s="179">
        <f>(1-$B$11)*E172</f>
        <v/>
      </c>
      <c r="K172" s="174">
        <f>B172+C172-D172-H172-J172</f>
        <v/>
      </c>
    </row>
    <row r="173" hidden="1" outlineLevel="1">
      <c r="A173" s="178" t="n">
        <v>13</v>
      </c>
      <c r="B173" s="179">
        <f>K172</f>
        <v/>
      </c>
      <c r="C173" s="179">
        <f>(MIN(B173,$B$15)*$B$6+MAX(B173-$B$15,0)*$B$16*$B$7/12)</f>
        <v/>
      </c>
      <c r="D173" s="179">
        <f>$B$9</f>
        <v/>
      </c>
      <c r="E173" s="179">
        <f>IF(AND($B$159&gt;0,$B$8&gt;0),MIN($B$159*$B$17,$B$13*MAX(C173-D173,0)),0)</f>
        <v/>
      </c>
      <c r="F173" s="179">
        <f>MAX(C173-D173-E173,0)</f>
        <v/>
      </c>
      <c r="G173" s="182">
        <f>$B$8</f>
        <v/>
      </c>
      <c r="H173" s="179">
        <f>F173*G173</f>
        <v/>
      </c>
      <c r="I173" s="179">
        <f>MAX(C173-D173,0)*G173-H173</f>
        <v/>
      </c>
      <c r="J173" s="179">
        <f>(1-$B$11)*E173</f>
        <v/>
      </c>
      <c r="K173" s="174">
        <f>B173+C173-D173-H173-J173</f>
        <v/>
      </c>
    </row>
    <row r="174" hidden="1" outlineLevel="1">
      <c r="A174" s="178" t="n">
        <v>14</v>
      </c>
      <c r="B174" s="179">
        <f>K173</f>
        <v/>
      </c>
      <c r="C174" s="179">
        <f>(MIN(B174,$B$15)*$B$6+MAX(B174-$B$15,0)*$B$16*$B$7/12)</f>
        <v/>
      </c>
      <c r="D174" s="179">
        <f>$B$9</f>
        <v/>
      </c>
      <c r="E174" s="179">
        <f>IF(AND($B$159&gt;0,$B$8&gt;0),MIN($B$159*$B$17,$B$13*MAX(C174-D174,0)),0)</f>
        <v/>
      </c>
      <c r="F174" s="179">
        <f>MAX(C174-D174-E174,0)</f>
        <v/>
      </c>
      <c r="G174" s="182">
        <f>$B$8</f>
        <v/>
      </c>
      <c r="H174" s="179">
        <f>F174*G174</f>
        <v/>
      </c>
      <c r="I174" s="179">
        <f>MAX(C174-D174,0)*G174-H174</f>
        <v/>
      </c>
      <c r="J174" s="179">
        <f>(1-$B$11)*E174</f>
        <v/>
      </c>
      <c r="K174" s="174">
        <f>B174+C174-D174-H174-J174</f>
        <v/>
      </c>
    </row>
    <row r="175" hidden="1" outlineLevel="1">
      <c r="A175" s="178" t="n">
        <v>15</v>
      </c>
      <c r="B175" s="179">
        <f>K174</f>
        <v/>
      </c>
      <c r="C175" s="179">
        <f>(MIN(B175,$B$15)*$B$6+MAX(B175-$B$15,0)*$B$16*$B$7/12)</f>
        <v/>
      </c>
      <c r="D175" s="179">
        <f>$B$9</f>
        <v/>
      </c>
      <c r="E175" s="179">
        <f>IF(AND($B$159&gt;0,$B$8&gt;0),MIN($B$159*$B$17,$B$13*MAX(C175-D175,0)),0)</f>
        <v/>
      </c>
      <c r="F175" s="179">
        <f>MAX(C175-D175-E175,0)</f>
        <v/>
      </c>
      <c r="G175" s="182">
        <f>$B$8</f>
        <v/>
      </c>
      <c r="H175" s="179">
        <f>F175*G175</f>
        <v/>
      </c>
      <c r="I175" s="179">
        <f>MAX(C175-D175,0)*G175-H175</f>
        <v/>
      </c>
      <c r="J175" s="179">
        <f>(1-$B$11)*E175</f>
        <v/>
      </c>
      <c r="K175" s="174">
        <f>B175+C175-D175-H175-J175</f>
        <v/>
      </c>
    </row>
    <row r="176" hidden="1" outlineLevel="1">
      <c r="A176" s="178" t="n">
        <v>16</v>
      </c>
      <c r="B176" s="179">
        <f>K175</f>
        <v/>
      </c>
      <c r="C176" s="179">
        <f>(MIN(B176,$B$15)*$B$6+MAX(B176-$B$15,0)*$B$16*$B$7/12)</f>
        <v/>
      </c>
      <c r="D176" s="179">
        <f>$B$9</f>
        <v/>
      </c>
      <c r="E176" s="179">
        <f>IF(AND($B$159&gt;0,$B$8&gt;0),MIN($B$159*$B$17,$B$13*MAX(C176-D176,0)),0)</f>
        <v/>
      </c>
      <c r="F176" s="179">
        <f>MAX(C176-D176-E176,0)</f>
        <v/>
      </c>
      <c r="G176" s="182">
        <f>$B$8</f>
        <v/>
      </c>
      <c r="H176" s="179">
        <f>F176*G176</f>
        <v/>
      </c>
      <c r="I176" s="179">
        <f>MAX(C176-D176,0)*G176-H176</f>
        <v/>
      </c>
      <c r="J176" s="179">
        <f>(1-$B$11)*E176</f>
        <v/>
      </c>
      <c r="K176" s="174">
        <f>B176+C176-D176-H176-J176</f>
        <v/>
      </c>
    </row>
    <row r="177" hidden="1" outlineLevel="1">
      <c r="A177" s="178" t="n">
        <v>17</v>
      </c>
      <c r="B177" s="179">
        <f>K176</f>
        <v/>
      </c>
      <c r="C177" s="179">
        <f>(MIN(B177,$B$15)*$B$6+MAX(B177-$B$15,0)*$B$16*$B$7/12)</f>
        <v/>
      </c>
      <c r="D177" s="179">
        <f>$B$9</f>
        <v/>
      </c>
      <c r="E177" s="179">
        <f>IF(AND($B$159&gt;0,$B$8&gt;0),MIN($B$159*$B$17,$B$13*MAX(C177-D177,0)),0)</f>
        <v/>
      </c>
      <c r="F177" s="179">
        <f>MAX(C177-D177-E177,0)</f>
        <v/>
      </c>
      <c r="G177" s="182">
        <f>$B$8</f>
        <v/>
      </c>
      <c r="H177" s="179">
        <f>F177*G177</f>
        <v/>
      </c>
      <c r="I177" s="179">
        <f>MAX(C177-D177,0)*G177-H177</f>
        <v/>
      </c>
      <c r="J177" s="179">
        <f>(1-$B$11)*E177</f>
        <v/>
      </c>
      <c r="K177" s="174">
        <f>B177+C177-D177-H177-J177</f>
        <v/>
      </c>
    </row>
    <row r="178" hidden="1" outlineLevel="1">
      <c r="A178" s="178" t="n">
        <v>18</v>
      </c>
      <c r="B178" s="179">
        <f>K177</f>
        <v/>
      </c>
      <c r="C178" s="179">
        <f>(MIN(B178,$B$15)*$B$6+MAX(B178-$B$15,0)*$B$16*$B$7/12)</f>
        <v/>
      </c>
      <c r="D178" s="179">
        <f>$B$9</f>
        <v/>
      </c>
      <c r="E178" s="179">
        <f>IF(AND($B$159&gt;0,$B$8&gt;0),MIN($B$159*$B$17,$B$13*MAX(C178-D178,0)),0)</f>
        <v/>
      </c>
      <c r="F178" s="179">
        <f>MAX(C178-D178-E178,0)</f>
        <v/>
      </c>
      <c r="G178" s="182">
        <f>$B$8</f>
        <v/>
      </c>
      <c r="H178" s="179">
        <f>F178*G178</f>
        <v/>
      </c>
      <c r="I178" s="179">
        <f>MAX(C178-D178,0)*G178-H178</f>
        <v/>
      </c>
      <c r="J178" s="179">
        <f>(1-$B$11)*E178</f>
        <v/>
      </c>
      <c r="K178" s="174">
        <f>B178+C178-D178-H178-J178</f>
        <v/>
      </c>
    </row>
    <row r="179" hidden="1" outlineLevel="1">
      <c r="A179" s="178" t="n">
        <v>19</v>
      </c>
      <c r="B179" s="179">
        <f>K178</f>
        <v/>
      </c>
      <c r="C179" s="179">
        <f>(MIN(B179,$B$15)*$B$6+MAX(B179-$B$15,0)*$B$16*$B$7/12)</f>
        <v/>
      </c>
      <c r="D179" s="179">
        <f>$B$9</f>
        <v/>
      </c>
      <c r="E179" s="179">
        <f>IF(AND($B$159&gt;0,$B$8&gt;0),MIN($B$159*$B$17,$B$13*MAX(C179-D179,0)),0)</f>
        <v/>
      </c>
      <c r="F179" s="179">
        <f>MAX(C179-D179-E179,0)</f>
        <v/>
      </c>
      <c r="G179" s="182">
        <f>$B$8</f>
        <v/>
      </c>
      <c r="H179" s="179">
        <f>F179*G179</f>
        <v/>
      </c>
      <c r="I179" s="179">
        <f>MAX(C179-D179,0)*G179-H179</f>
        <v/>
      </c>
      <c r="J179" s="179">
        <f>(1-$B$11)*E179</f>
        <v/>
      </c>
      <c r="K179" s="174">
        <f>B179+C179-D179-H179-J179</f>
        <v/>
      </c>
    </row>
    <row r="180" hidden="1" outlineLevel="1">
      <c r="A180" s="178" t="n">
        <v>20</v>
      </c>
      <c r="B180" s="179">
        <f>K179</f>
        <v/>
      </c>
      <c r="C180" s="179">
        <f>(MIN(B180,$B$15)*$B$6+MAX(B180-$B$15,0)*$B$16*$B$7/12)</f>
        <v/>
      </c>
      <c r="D180" s="179">
        <f>$B$9</f>
        <v/>
      </c>
      <c r="E180" s="179">
        <f>IF(AND($B$159&gt;0,$B$8&gt;0),MIN($B$159*$B$17,$B$13*MAX(C180-D180,0)),0)</f>
        <v/>
      </c>
      <c r="F180" s="179">
        <f>MAX(C180-D180-E180,0)</f>
        <v/>
      </c>
      <c r="G180" s="182">
        <f>$B$8</f>
        <v/>
      </c>
      <c r="H180" s="179">
        <f>F180*G180</f>
        <v/>
      </c>
      <c r="I180" s="179">
        <f>MAX(C180-D180,0)*G180-H180</f>
        <v/>
      </c>
      <c r="J180" s="179">
        <f>(1-$B$11)*E180</f>
        <v/>
      </c>
      <c r="K180" s="174">
        <f>B180+C180-D180-H180-J180</f>
        <v/>
      </c>
    </row>
    <row r="181" hidden="1" outlineLevel="1"/>
    <row r="182" hidden="1" outlineLevel="1"/>
    <row r="183" hidden="1" outlineLevel="1" ht="20" customHeight="1">
      <c r="A183" s="154" t="inlineStr">
        <is>
          <t>COMPANY + 2 MEMBERS</t>
        </is>
      </c>
      <c r="B183" s="155" t="n"/>
      <c r="C183" s="155" t="n"/>
      <c r="D183" s="155" t="n"/>
      <c r="E183" s="155" t="n"/>
      <c r="F183" s="155" t="n"/>
      <c r="G183" s="155" t="n"/>
      <c r="H183" s="155" t="n"/>
      <c r="I183" s="155" t="n"/>
      <c r="J183" s="155" t="n"/>
      <c r="K183" s="155" t="n"/>
      <c r="L183" s="155" t="n"/>
      <c r="M183" s="155" t="n"/>
      <c r="N183" s="155" t="n"/>
      <c r="O183" s="155" t="n"/>
      <c r="P183" s="155" t="n"/>
      <c r="Q183" s="155" t="n"/>
      <c r="R183" s="155" t="n"/>
      <c r="S183" s="155" t="n"/>
    </row>
    <row r="184" hidden="1" outlineLevel="1">
      <c r="A184" s="164" t="inlineStr">
        <is>
          <t>Members</t>
        </is>
      </c>
      <c r="B184" s="178" t="n">
        <v>2</v>
      </c>
    </row>
    <row r="185" hidden="1" outlineLevel="1" ht="32" customHeight="1">
      <c r="A185" s="156" t="inlineStr">
        <is>
          <t>Cycle</t>
        </is>
      </c>
      <c r="B185" s="156" t="inlineStr">
        <is>
          <t>Start ₹ Cr</t>
        </is>
      </c>
      <c r="C185" s="156" t="inlineStr">
        <is>
          <t>Gross gain ₹ Cr</t>
        </is>
      </c>
      <c r="D185" s="156" t="inlineStr">
        <is>
          <t>Running cost ₹ Cr</t>
        </is>
      </c>
      <c r="E185" s="156" t="inlineStr">
        <is>
          <t>Salary ₹ Cr</t>
        </is>
      </c>
      <c r="F185" s="156" t="inlineStr">
        <is>
          <t>Taxable ₹ Cr</t>
        </is>
      </c>
      <c r="G185" s="156" t="inlineStr">
        <is>
          <t>Tax rate</t>
        </is>
      </c>
      <c r="H185" s="156" t="inlineStr">
        <is>
          <t>Tax ₹ Cr</t>
        </is>
      </c>
      <c r="I185" s="156" t="inlineStr">
        <is>
          <t>Tax saved by payroll ₹ Cr</t>
        </is>
      </c>
      <c r="J185" s="156" t="inlineStr">
        <is>
          <t>Net leakage ₹ Cr</t>
        </is>
      </c>
      <c r="K185" s="156" t="inlineStr">
        <is>
          <t>End ₹ Cr</t>
        </is>
      </c>
    </row>
    <row r="186" hidden="1" outlineLevel="1">
      <c r="A186" s="178" t="n">
        <v>1</v>
      </c>
      <c r="B186" s="179">
        <f>$B$5</f>
        <v/>
      </c>
      <c r="C186" s="179">
        <f>(MIN(B186,$B$15)*$B$6+MAX(B186-$B$15,0)*$B$16*$B$7/12)</f>
        <v/>
      </c>
      <c r="D186" s="179">
        <f>$B$9</f>
        <v/>
      </c>
      <c r="E186" s="179">
        <f>IF(AND($B$184&gt;0,$B$8&gt;0),MIN($B$184*$B$17,$B$13*MAX(C186-D186,0)),0)</f>
        <v/>
      </c>
      <c r="F186" s="179">
        <f>MAX(C186-D186-E186,0)</f>
        <v/>
      </c>
      <c r="G186" s="182">
        <f>$B$8</f>
        <v/>
      </c>
      <c r="H186" s="179">
        <f>F186*G186</f>
        <v/>
      </c>
      <c r="I186" s="179">
        <f>MAX(C186-D186,0)*G186-H186</f>
        <v/>
      </c>
      <c r="J186" s="179">
        <f>(1-$B$11)*E186</f>
        <v/>
      </c>
      <c r="K186" s="174">
        <f>B186+C186-D186-H186-J186</f>
        <v/>
      </c>
    </row>
    <row r="187" hidden="1" outlineLevel="1">
      <c r="A187" s="178" t="n">
        <v>2</v>
      </c>
      <c r="B187" s="179">
        <f>K186</f>
        <v/>
      </c>
      <c r="C187" s="179">
        <f>(MIN(B187,$B$15)*$B$6+MAX(B187-$B$15,0)*$B$16*$B$7/12)</f>
        <v/>
      </c>
      <c r="D187" s="179">
        <f>$B$9</f>
        <v/>
      </c>
      <c r="E187" s="179">
        <f>IF(AND($B$184&gt;0,$B$8&gt;0),MIN($B$184*$B$17,$B$13*MAX(C187-D187,0)),0)</f>
        <v/>
      </c>
      <c r="F187" s="179">
        <f>MAX(C187-D187-E187,0)</f>
        <v/>
      </c>
      <c r="G187" s="182">
        <f>$B$8</f>
        <v/>
      </c>
      <c r="H187" s="179">
        <f>F187*G187</f>
        <v/>
      </c>
      <c r="I187" s="179">
        <f>MAX(C187-D187,0)*G187-H187</f>
        <v/>
      </c>
      <c r="J187" s="179">
        <f>(1-$B$11)*E187</f>
        <v/>
      </c>
      <c r="K187" s="174">
        <f>B187+C187-D187-H187-J187</f>
        <v/>
      </c>
    </row>
    <row r="188" hidden="1" outlineLevel="1">
      <c r="A188" s="178" t="n">
        <v>3</v>
      </c>
      <c r="B188" s="179">
        <f>K187</f>
        <v/>
      </c>
      <c r="C188" s="179">
        <f>(MIN(B188,$B$15)*$B$6+MAX(B188-$B$15,0)*$B$16*$B$7/12)</f>
        <v/>
      </c>
      <c r="D188" s="179">
        <f>$B$9</f>
        <v/>
      </c>
      <c r="E188" s="179">
        <f>IF(AND($B$184&gt;0,$B$8&gt;0),MIN($B$184*$B$17,$B$13*MAX(C188-D188,0)),0)</f>
        <v/>
      </c>
      <c r="F188" s="179">
        <f>MAX(C188-D188-E188,0)</f>
        <v/>
      </c>
      <c r="G188" s="182">
        <f>$B$8</f>
        <v/>
      </c>
      <c r="H188" s="179">
        <f>F188*G188</f>
        <v/>
      </c>
      <c r="I188" s="179">
        <f>MAX(C188-D188,0)*G188-H188</f>
        <v/>
      </c>
      <c r="J188" s="179">
        <f>(1-$B$11)*E188</f>
        <v/>
      </c>
      <c r="K188" s="174">
        <f>B188+C188-D188-H188-J188</f>
        <v/>
      </c>
    </row>
    <row r="189" hidden="1" outlineLevel="1">
      <c r="A189" s="178" t="n">
        <v>4</v>
      </c>
      <c r="B189" s="179">
        <f>K188</f>
        <v/>
      </c>
      <c r="C189" s="179">
        <f>(MIN(B189,$B$15)*$B$6+MAX(B189-$B$15,0)*$B$16*$B$7/12)</f>
        <v/>
      </c>
      <c r="D189" s="179">
        <f>$B$9</f>
        <v/>
      </c>
      <c r="E189" s="179">
        <f>IF(AND($B$184&gt;0,$B$8&gt;0),MIN($B$184*$B$17,$B$13*MAX(C189-D189,0)),0)</f>
        <v/>
      </c>
      <c r="F189" s="179">
        <f>MAX(C189-D189-E189,0)</f>
        <v/>
      </c>
      <c r="G189" s="182">
        <f>$B$8</f>
        <v/>
      </c>
      <c r="H189" s="179">
        <f>F189*G189</f>
        <v/>
      </c>
      <c r="I189" s="179">
        <f>MAX(C189-D189,0)*G189-H189</f>
        <v/>
      </c>
      <c r="J189" s="179">
        <f>(1-$B$11)*E189</f>
        <v/>
      </c>
      <c r="K189" s="174">
        <f>B189+C189-D189-H189-J189</f>
        <v/>
      </c>
    </row>
    <row r="190" hidden="1" outlineLevel="1">
      <c r="A190" s="178" t="n">
        <v>5</v>
      </c>
      <c r="B190" s="179">
        <f>K189</f>
        <v/>
      </c>
      <c r="C190" s="179">
        <f>(MIN(B190,$B$15)*$B$6+MAX(B190-$B$15,0)*$B$16*$B$7/12)</f>
        <v/>
      </c>
      <c r="D190" s="179">
        <f>$B$9</f>
        <v/>
      </c>
      <c r="E190" s="179">
        <f>IF(AND($B$184&gt;0,$B$8&gt;0),MIN($B$184*$B$17,$B$13*MAX(C190-D190,0)),0)</f>
        <v/>
      </c>
      <c r="F190" s="179">
        <f>MAX(C190-D190-E190,0)</f>
        <v/>
      </c>
      <c r="G190" s="182">
        <f>$B$8</f>
        <v/>
      </c>
      <c r="H190" s="179">
        <f>F190*G190</f>
        <v/>
      </c>
      <c r="I190" s="179">
        <f>MAX(C190-D190,0)*G190-H190</f>
        <v/>
      </c>
      <c r="J190" s="179">
        <f>(1-$B$11)*E190</f>
        <v/>
      </c>
      <c r="K190" s="174">
        <f>B190+C190-D190-H190-J190</f>
        <v/>
      </c>
    </row>
    <row r="191" hidden="1" outlineLevel="1">
      <c r="A191" s="178" t="n">
        <v>6</v>
      </c>
      <c r="B191" s="179">
        <f>K190</f>
        <v/>
      </c>
      <c r="C191" s="179">
        <f>(MIN(B191,$B$15)*$B$6+MAX(B191-$B$15,0)*$B$16*$B$7/12)</f>
        <v/>
      </c>
      <c r="D191" s="179">
        <f>$B$9</f>
        <v/>
      </c>
      <c r="E191" s="179">
        <f>IF(AND($B$184&gt;0,$B$8&gt;0),MIN($B$184*$B$17,$B$13*MAX(C191-D191,0)),0)</f>
        <v/>
      </c>
      <c r="F191" s="179">
        <f>MAX(C191-D191-E191,0)</f>
        <v/>
      </c>
      <c r="G191" s="182">
        <f>$B$8</f>
        <v/>
      </c>
      <c r="H191" s="179">
        <f>F191*G191</f>
        <v/>
      </c>
      <c r="I191" s="179">
        <f>MAX(C191-D191,0)*G191-H191</f>
        <v/>
      </c>
      <c r="J191" s="179">
        <f>(1-$B$11)*E191</f>
        <v/>
      </c>
      <c r="K191" s="174">
        <f>B191+C191-D191-H191-J191</f>
        <v/>
      </c>
    </row>
    <row r="192" hidden="1" outlineLevel="1">
      <c r="A192" s="178" t="n">
        <v>7</v>
      </c>
      <c r="B192" s="179">
        <f>K191</f>
        <v/>
      </c>
      <c r="C192" s="179">
        <f>(MIN(B192,$B$15)*$B$6+MAX(B192-$B$15,0)*$B$16*$B$7/12)</f>
        <v/>
      </c>
      <c r="D192" s="179">
        <f>$B$9</f>
        <v/>
      </c>
      <c r="E192" s="179">
        <f>IF(AND($B$184&gt;0,$B$8&gt;0),MIN($B$184*$B$17,$B$13*MAX(C192-D192,0)),0)</f>
        <v/>
      </c>
      <c r="F192" s="179">
        <f>MAX(C192-D192-E192,0)</f>
        <v/>
      </c>
      <c r="G192" s="182">
        <f>$B$8</f>
        <v/>
      </c>
      <c r="H192" s="179">
        <f>F192*G192</f>
        <v/>
      </c>
      <c r="I192" s="179">
        <f>MAX(C192-D192,0)*G192-H192</f>
        <v/>
      </c>
      <c r="J192" s="179">
        <f>(1-$B$11)*E192</f>
        <v/>
      </c>
      <c r="K192" s="174">
        <f>B192+C192-D192-H192-J192</f>
        <v/>
      </c>
    </row>
    <row r="193" hidden="1" outlineLevel="1">
      <c r="A193" s="178" t="n">
        <v>8</v>
      </c>
      <c r="B193" s="179">
        <f>K192</f>
        <v/>
      </c>
      <c r="C193" s="179">
        <f>(MIN(B193,$B$15)*$B$6+MAX(B193-$B$15,0)*$B$16*$B$7/12)</f>
        <v/>
      </c>
      <c r="D193" s="179">
        <f>$B$9</f>
        <v/>
      </c>
      <c r="E193" s="179">
        <f>IF(AND($B$184&gt;0,$B$8&gt;0),MIN($B$184*$B$17,$B$13*MAX(C193-D193,0)),0)</f>
        <v/>
      </c>
      <c r="F193" s="179">
        <f>MAX(C193-D193-E193,0)</f>
        <v/>
      </c>
      <c r="G193" s="182">
        <f>$B$8</f>
        <v/>
      </c>
      <c r="H193" s="179">
        <f>F193*G193</f>
        <v/>
      </c>
      <c r="I193" s="179">
        <f>MAX(C193-D193,0)*G193-H193</f>
        <v/>
      </c>
      <c r="J193" s="179">
        <f>(1-$B$11)*E193</f>
        <v/>
      </c>
      <c r="K193" s="174">
        <f>B193+C193-D193-H193-J193</f>
        <v/>
      </c>
    </row>
    <row r="194" hidden="1" outlineLevel="1">
      <c r="A194" s="178" t="n">
        <v>9</v>
      </c>
      <c r="B194" s="179">
        <f>K193</f>
        <v/>
      </c>
      <c r="C194" s="179">
        <f>(MIN(B194,$B$15)*$B$6+MAX(B194-$B$15,0)*$B$16*$B$7/12)</f>
        <v/>
      </c>
      <c r="D194" s="179">
        <f>$B$9</f>
        <v/>
      </c>
      <c r="E194" s="179">
        <f>IF(AND($B$184&gt;0,$B$8&gt;0),MIN($B$184*$B$17,$B$13*MAX(C194-D194,0)),0)</f>
        <v/>
      </c>
      <c r="F194" s="179">
        <f>MAX(C194-D194-E194,0)</f>
        <v/>
      </c>
      <c r="G194" s="182">
        <f>$B$8</f>
        <v/>
      </c>
      <c r="H194" s="179">
        <f>F194*G194</f>
        <v/>
      </c>
      <c r="I194" s="179">
        <f>MAX(C194-D194,0)*G194-H194</f>
        <v/>
      </c>
      <c r="J194" s="179">
        <f>(1-$B$11)*E194</f>
        <v/>
      </c>
      <c r="K194" s="174">
        <f>B194+C194-D194-H194-J194</f>
        <v/>
      </c>
    </row>
    <row r="195" hidden="1" outlineLevel="1">
      <c r="A195" s="178" t="n">
        <v>10</v>
      </c>
      <c r="B195" s="179">
        <f>K194</f>
        <v/>
      </c>
      <c r="C195" s="179">
        <f>(MIN(B195,$B$15)*$B$6+MAX(B195-$B$15,0)*$B$16*$B$7/12)</f>
        <v/>
      </c>
      <c r="D195" s="179">
        <f>$B$9</f>
        <v/>
      </c>
      <c r="E195" s="179">
        <f>IF(AND($B$184&gt;0,$B$8&gt;0),MIN($B$184*$B$17,$B$13*MAX(C195-D195,0)),0)</f>
        <v/>
      </c>
      <c r="F195" s="179">
        <f>MAX(C195-D195-E195,0)</f>
        <v/>
      </c>
      <c r="G195" s="182">
        <f>$B$8</f>
        <v/>
      </c>
      <c r="H195" s="179">
        <f>F195*G195</f>
        <v/>
      </c>
      <c r="I195" s="179">
        <f>MAX(C195-D195,0)*G195-H195</f>
        <v/>
      </c>
      <c r="J195" s="179">
        <f>(1-$B$11)*E195</f>
        <v/>
      </c>
      <c r="K195" s="174">
        <f>B195+C195-D195-H195-J195</f>
        <v/>
      </c>
    </row>
    <row r="196" hidden="1" outlineLevel="1">
      <c r="A196" s="178" t="n">
        <v>11</v>
      </c>
      <c r="B196" s="179">
        <f>K195</f>
        <v/>
      </c>
      <c r="C196" s="179">
        <f>(MIN(B196,$B$15)*$B$6+MAX(B196-$B$15,0)*$B$16*$B$7/12)</f>
        <v/>
      </c>
      <c r="D196" s="179">
        <f>$B$9</f>
        <v/>
      </c>
      <c r="E196" s="179">
        <f>IF(AND($B$184&gt;0,$B$8&gt;0),MIN($B$184*$B$17,$B$13*MAX(C196-D196,0)),0)</f>
        <v/>
      </c>
      <c r="F196" s="179">
        <f>MAX(C196-D196-E196,0)</f>
        <v/>
      </c>
      <c r="G196" s="182">
        <f>$B$8</f>
        <v/>
      </c>
      <c r="H196" s="179">
        <f>F196*G196</f>
        <v/>
      </c>
      <c r="I196" s="179">
        <f>MAX(C196-D196,0)*G196-H196</f>
        <v/>
      </c>
      <c r="J196" s="179">
        <f>(1-$B$11)*E196</f>
        <v/>
      </c>
      <c r="K196" s="174">
        <f>B196+C196-D196-H196-J196</f>
        <v/>
      </c>
    </row>
    <row r="197" hidden="1" outlineLevel="1">
      <c r="A197" s="178" t="n">
        <v>12</v>
      </c>
      <c r="B197" s="179">
        <f>K196</f>
        <v/>
      </c>
      <c r="C197" s="179">
        <f>(MIN(B197,$B$15)*$B$6+MAX(B197-$B$15,0)*$B$16*$B$7/12)</f>
        <v/>
      </c>
      <c r="D197" s="179">
        <f>$B$9</f>
        <v/>
      </c>
      <c r="E197" s="179">
        <f>IF(AND($B$184&gt;0,$B$8&gt;0),MIN($B$184*$B$17,$B$13*MAX(C197-D197,0)),0)</f>
        <v/>
      </c>
      <c r="F197" s="179">
        <f>MAX(C197-D197-E197,0)</f>
        <v/>
      </c>
      <c r="G197" s="182">
        <f>$B$8</f>
        <v/>
      </c>
      <c r="H197" s="179">
        <f>F197*G197</f>
        <v/>
      </c>
      <c r="I197" s="179">
        <f>MAX(C197-D197,0)*G197-H197</f>
        <v/>
      </c>
      <c r="J197" s="179">
        <f>(1-$B$11)*E197</f>
        <v/>
      </c>
      <c r="K197" s="174">
        <f>B197+C197-D197-H197-J197</f>
        <v/>
      </c>
    </row>
    <row r="198" hidden="1" outlineLevel="1">
      <c r="A198" s="178" t="n">
        <v>13</v>
      </c>
      <c r="B198" s="179">
        <f>K197</f>
        <v/>
      </c>
      <c r="C198" s="179">
        <f>(MIN(B198,$B$15)*$B$6+MAX(B198-$B$15,0)*$B$16*$B$7/12)</f>
        <v/>
      </c>
      <c r="D198" s="179">
        <f>$B$9</f>
        <v/>
      </c>
      <c r="E198" s="179">
        <f>IF(AND($B$184&gt;0,$B$8&gt;0),MIN($B$184*$B$17,$B$13*MAX(C198-D198,0)),0)</f>
        <v/>
      </c>
      <c r="F198" s="179">
        <f>MAX(C198-D198-E198,0)</f>
        <v/>
      </c>
      <c r="G198" s="182">
        <f>$B$8</f>
        <v/>
      </c>
      <c r="H198" s="179">
        <f>F198*G198</f>
        <v/>
      </c>
      <c r="I198" s="179">
        <f>MAX(C198-D198,0)*G198-H198</f>
        <v/>
      </c>
      <c r="J198" s="179">
        <f>(1-$B$11)*E198</f>
        <v/>
      </c>
      <c r="K198" s="174">
        <f>B198+C198-D198-H198-J198</f>
        <v/>
      </c>
    </row>
    <row r="199" hidden="1" outlineLevel="1">
      <c r="A199" s="178" t="n">
        <v>14</v>
      </c>
      <c r="B199" s="179">
        <f>K198</f>
        <v/>
      </c>
      <c r="C199" s="179">
        <f>(MIN(B199,$B$15)*$B$6+MAX(B199-$B$15,0)*$B$16*$B$7/12)</f>
        <v/>
      </c>
      <c r="D199" s="179">
        <f>$B$9</f>
        <v/>
      </c>
      <c r="E199" s="179">
        <f>IF(AND($B$184&gt;0,$B$8&gt;0),MIN($B$184*$B$17,$B$13*MAX(C199-D199,0)),0)</f>
        <v/>
      </c>
      <c r="F199" s="179">
        <f>MAX(C199-D199-E199,0)</f>
        <v/>
      </c>
      <c r="G199" s="182">
        <f>$B$8</f>
        <v/>
      </c>
      <c r="H199" s="179">
        <f>F199*G199</f>
        <v/>
      </c>
      <c r="I199" s="179">
        <f>MAX(C199-D199,0)*G199-H199</f>
        <v/>
      </c>
      <c r="J199" s="179">
        <f>(1-$B$11)*E199</f>
        <v/>
      </c>
      <c r="K199" s="174">
        <f>B199+C199-D199-H199-J199</f>
        <v/>
      </c>
    </row>
    <row r="200" hidden="1" outlineLevel="1">
      <c r="A200" s="178" t="n">
        <v>15</v>
      </c>
      <c r="B200" s="179">
        <f>K199</f>
        <v/>
      </c>
      <c r="C200" s="179">
        <f>(MIN(B200,$B$15)*$B$6+MAX(B200-$B$15,0)*$B$16*$B$7/12)</f>
        <v/>
      </c>
      <c r="D200" s="179">
        <f>$B$9</f>
        <v/>
      </c>
      <c r="E200" s="179">
        <f>IF(AND($B$184&gt;0,$B$8&gt;0),MIN($B$184*$B$17,$B$13*MAX(C200-D200,0)),0)</f>
        <v/>
      </c>
      <c r="F200" s="179">
        <f>MAX(C200-D200-E200,0)</f>
        <v/>
      </c>
      <c r="G200" s="182">
        <f>$B$8</f>
        <v/>
      </c>
      <c r="H200" s="179">
        <f>F200*G200</f>
        <v/>
      </c>
      <c r="I200" s="179">
        <f>MAX(C200-D200,0)*G200-H200</f>
        <v/>
      </c>
      <c r="J200" s="179">
        <f>(1-$B$11)*E200</f>
        <v/>
      </c>
      <c r="K200" s="174">
        <f>B200+C200-D200-H200-J200</f>
        <v/>
      </c>
    </row>
    <row r="201" hidden="1" outlineLevel="1">
      <c r="A201" s="178" t="n">
        <v>16</v>
      </c>
      <c r="B201" s="179">
        <f>K200</f>
        <v/>
      </c>
      <c r="C201" s="179">
        <f>(MIN(B201,$B$15)*$B$6+MAX(B201-$B$15,0)*$B$16*$B$7/12)</f>
        <v/>
      </c>
      <c r="D201" s="179">
        <f>$B$9</f>
        <v/>
      </c>
      <c r="E201" s="179">
        <f>IF(AND($B$184&gt;0,$B$8&gt;0),MIN($B$184*$B$17,$B$13*MAX(C201-D201,0)),0)</f>
        <v/>
      </c>
      <c r="F201" s="179">
        <f>MAX(C201-D201-E201,0)</f>
        <v/>
      </c>
      <c r="G201" s="182">
        <f>$B$8</f>
        <v/>
      </c>
      <c r="H201" s="179">
        <f>F201*G201</f>
        <v/>
      </c>
      <c r="I201" s="179">
        <f>MAX(C201-D201,0)*G201-H201</f>
        <v/>
      </c>
      <c r="J201" s="179">
        <f>(1-$B$11)*E201</f>
        <v/>
      </c>
      <c r="K201" s="174">
        <f>B201+C201-D201-H201-J201</f>
        <v/>
      </c>
    </row>
    <row r="202" hidden="1" outlineLevel="1">
      <c r="A202" s="178" t="n">
        <v>17</v>
      </c>
      <c r="B202" s="179">
        <f>K201</f>
        <v/>
      </c>
      <c r="C202" s="179">
        <f>(MIN(B202,$B$15)*$B$6+MAX(B202-$B$15,0)*$B$16*$B$7/12)</f>
        <v/>
      </c>
      <c r="D202" s="179">
        <f>$B$9</f>
        <v/>
      </c>
      <c r="E202" s="179">
        <f>IF(AND($B$184&gt;0,$B$8&gt;0),MIN($B$184*$B$17,$B$13*MAX(C202-D202,0)),0)</f>
        <v/>
      </c>
      <c r="F202" s="179">
        <f>MAX(C202-D202-E202,0)</f>
        <v/>
      </c>
      <c r="G202" s="182">
        <f>$B$8</f>
        <v/>
      </c>
      <c r="H202" s="179">
        <f>F202*G202</f>
        <v/>
      </c>
      <c r="I202" s="179">
        <f>MAX(C202-D202,0)*G202-H202</f>
        <v/>
      </c>
      <c r="J202" s="179">
        <f>(1-$B$11)*E202</f>
        <v/>
      </c>
      <c r="K202" s="174">
        <f>B202+C202-D202-H202-J202</f>
        <v/>
      </c>
    </row>
    <row r="203" hidden="1" outlineLevel="1">
      <c r="A203" s="178" t="n">
        <v>18</v>
      </c>
      <c r="B203" s="179">
        <f>K202</f>
        <v/>
      </c>
      <c r="C203" s="179">
        <f>(MIN(B203,$B$15)*$B$6+MAX(B203-$B$15,0)*$B$16*$B$7/12)</f>
        <v/>
      </c>
      <c r="D203" s="179">
        <f>$B$9</f>
        <v/>
      </c>
      <c r="E203" s="179">
        <f>IF(AND($B$184&gt;0,$B$8&gt;0),MIN($B$184*$B$17,$B$13*MAX(C203-D203,0)),0)</f>
        <v/>
      </c>
      <c r="F203" s="179">
        <f>MAX(C203-D203-E203,0)</f>
        <v/>
      </c>
      <c r="G203" s="182">
        <f>$B$8</f>
        <v/>
      </c>
      <c r="H203" s="179">
        <f>F203*G203</f>
        <v/>
      </c>
      <c r="I203" s="179">
        <f>MAX(C203-D203,0)*G203-H203</f>
        <v/>
      </c>
      <c r="J203" s="179">
        <f>(1-$B$11)*E203</f>
        <v/>
      </c>
      <c r="K203" s="174">
        <f>B203+C203-D203-H203-J203</f>
        <v/>
      </c>
    </row>
    <row r="204" hidden="1" outlineLevel="1">
      <c r="A204" s="178" t="n">
        <v>19</v>
      </c>
      <c r="B204" s="179">
        <f>K203</f>
        <v/>
      </c>
      <c r="C204" s="179">
        <f>(MIN(B204,$B$15)*$B$6+MAX(B204-$B$15,0)*$B$16*$B$7/12)</f>
        <v/>
      </c>
      <c r="D204" s="179">
        <f>$B$9</f>
        <v/>
      </c>
      <c r="E204" s="179">
        <f>IF(AND($B$184&gt;0,$B$8&gt;0),MIN($B$184*$B$17,$B$13*MAX(C204-D204,0)),0)</f>
        <v/>
      </c>
      <c r="F204" s="179">
        <f>MAX(C204-D204-E204,0)</f>
        <v/>
      </c>
      <c r="G204" s="182">
        <f>$B$8</f>
        <v/>
      </c>
      <c r="H204" s="179">
        <f>F204*G204</f>
        <v/>
      </c>
      <c r="I204" s="179">
        <f>MAX(C204-D204,0)*G204-H204</f>
        <v/>
      </c>
      <c r="J204" s="179">
        <f>(1-$B$11)*E204</f>
        <v/>
      </c>
      <c r="K204" s="174">
        <f>B204+C204-D204-H204-J204</f>
        <v/>
      </c>
    </row>
    <row r="205" hidden="1" outlineLevel="1">
      <c r="A205" s="178" t="n">
        <v>20</v>
      </c>
      <c r="B205" s="179">
        <f>K204</f>
        <v/>
      </c>
      <c r="C205" s="179">
        <f>(MIN(B205,$B$15)*$B$6+MAX(B205-$B$15,0)*$B$16*$B$7/12)</f>
        <v/>
      </c>
      <c r="D205" s="179">
        <f>$B$9</f>
        <v/>
      </c>
      <c r="E205" s="179">
        <f>IF(AND($B$184&gt;0,$B$8&gt;0),MIN($B$184*$B$17,$B$13*MAX(C205-D205,0)),0)</f>
        <v/>
      </c>
      <c r="F205" s="179">
        <f>MAX(C205-D205-E205,0)</f>
        <v/>
      </c>
      <c r="G205" s="182">
        <f>$B$8</f>
        <v/>
      </c>
      <c r="H205" s="179">
        <f>F205*G205</f>
        <v/>
      </c>
      <c r="I205" s="179">
        <f>MAX(C205-D205,0)*G205-H205</f>
        <v/>
      </c>
      <c r="J205" s="179">
        <f>(1-$B$11)*E205</f>
        <v/>
      </c>
      <c r="K205" s="174">
        <f>B205+C205-D205-H205-J205</f>
        <v/>
      </c>
    </row>
    <row r="206" hidden="1" outlineLevel="1"/>
    <row r="207" hidden="1" outlineLevel="1"/>
    <row r="208" hidden="1" outlineLevel="1" ht="20" customHeight="1">
      <c r="A208" s="154" t="inlineStr">
        <is>
          <t>COMPANY + 3 MEMBERS</t>
        </is>
      </c>
      <c r="B208" s="155" t="n"/>
      <c r="C208" s="155" t="n"/>
      <c r="D208" s="155" t="n"/>
      <c r="E208" s="155" t="n"/>
      <c r="F208" s="155" t="n"/>
      <c r="G208" s="155" t="n"/>
      <c r="H208" s="155" t="n"/>
      <c r="I208" s="155" t="n"/>
      <c r="J208" s="155" t="n"/>
      <c r="K208" s="155" t="n"/>
      <c r="L208" s="155" t="n"/>
      <c r="M208" s="155" t="n"/>
      <c r="N208" s="155" t="n"/>
      <c r="O208" s="155" t="n"/>
      <c r="P208" s="155" t="n"/>
      <c r="Q208" s="155" t="n"/>
      <c r="R208" s="155" t="n"/>
      <c r="S208" s="155" t="n"/>
    </row>
    <row r="209" hidden="1" outlineLevel="1">
      <c r="A209" s="164" t="inlineStr">
        <is>
          <t>Members</t>
        </is>
      </c>
      <c r="B209" s="178" t="n">
        <v>3</v>
      </c>
    </row>
    <row r="210" hidden="1" outlineLevel="1" ht="32" customHeight="1">
      <c r="A210" s="156" t="inlineStr">
        <is>
          <t>Cycle</t>
        </is>
      </c>
      <c r="B210" s="156" t="inlineStr">
        <is>
          <t>Start ₹ Cr</t>
        </is>
      </c>
      <c r="C210" s="156" t="inlineStr">
        <is>
          <t>Gross gain ₹ Cr</t>
        </is>
      </c>
      <c r="D210" s="156" t="inlineStr">
        <is>
          <t>Running cost ₹ Cr</t>
        </is>
      </c>
      <c r="E210" s="156" t="inlineStr">
        <is>
          <t>Salary ₹ Cr</t>
        </is>
      </c>
      <c r="F210" s="156" t="inlineStr">
        <is>
          <t>Taxable ₹ Cr</t>
        </is>
      </c>
      <c r="G210" s="156" t="inlineStr">
        <is>
          <t>Tax rate</t>
        </is>
      </c>
      <c r="H210" s="156" t="inlineStr">
        <is>
          <t>Tax ₹ Cr</t>
        </is>
      </c>
      <c r="I210" s="156" t="inlineStr">
        <is>
          <t>Tax saved by payroll ₹ Cr</t>
        </is>
      </c>
      <c r="J210" s="156" t="inlineStr">
        <is>
          <t>Net leakage ₹ Cr</t>
        </is>
      </c>
      <c r="K210" s="156" t="inlineStr">
        <is>
          <t>End ₹ Cr</t>
        </is>
      </c>
    </row>
    <row r="211" hidden="1" outlineLevel="1">
      <c r="A211" s="178" t="n">
        <v>1</v>
      </c>
      <c r="B211" s="179">
        <f>$B$5</f>
        <v/>
      </c>
      <c r="C211" s="179">
        <f>(MIN(B211,$B$15)*$B$6+MAX(B211-$B$15,0)*$B$16*$B$7/12)</f>
        <v/>
      </c>
      <c r="D211" s="179">
        <f>$B$9</f>
        <v/>
      </c>
      <c r="E211" s="179">
        <f>IF(AND($B$209&gt;0,$B$8&gt;0),MIN($B$209*$B$17,$B$13*MAX(C211-D211,0)),0)</f>
        <v/>
      </c>
      <c r="F211" s="179">
        <f>MAX(C211-D211-E211,0)</f>
        <v/>
      </c>
      <c r="G211" s="182">
        <f>$B$8</f>
        <v/>
      </c>
      <c r="H211" s="179">
        <f>F211*G211</f>
        <v/>
      </c>
      <c r="I211" s="179">
        <f>MAX(C211-D211,0)*G211-H211</f>
        <v/>
      </c>
      <c r="J211" s="179">
        <f>(1-$B$11)*E211</f>
        <v/>
      </c>
      <c r="K211" s="174">
        <f>B211+C211-D211-H211-J211</f>
        <v/>
      </c>
    </row>
    <row r="212" hidden="1" outlineLevel="1">
      <c r="A212" s="178" t="n">
        <v>2</v>
      </c>
      <c r="B212" s="179">
        <f>K211</f>
        <v/>
      </c>
      <c r="C212" s="179">
        <f>(MIN(B212,$B$15)*$B$6+MAX(B212-$B$15,0)*$B$16*$B$7/12)</f>
        <v/>
      </c>
      <c r="D212" s="179">
        <f>$B$9</f>
        <v/>
      </c>
      <c r="E212" s="179">
        <f>IF(AND($B$209&gt;0,$B$8&gt;0),MIN($B$209*$B$17,$B$13*MAX(C212-D212,0)),0)</f>
        <v/>
      </c>
      <c r="F212" s="179">
        <f>MAX(C212-D212-E212,0)</f>
        <v/>
      </c>
      <c r="G212" s="182">
        <f>$B$8</f>
        <v/>
      </c>
      <c r="H212" s="179">
        <f>F212*G212</f>
        <v/>
      </c>
      <c r="I212" s="179">
        <f>MAX(C212-D212,0)*G212-H212</f>
        <v/>
      </c>
      <c r="J212" s="179">
        <f>(1-$B$11)*E212</f>
        <v/>
      </c>
      <c r="K212" s="174">
        <f>B212+C212-D212-H212-J212</f>
        <v/>
      </c>
    </row>
    <row r="213" hidden="1" outlineLevel="1">
      <c r="A213" s="178" t="n">
        <v>3</v>
      </c>
      <c r="B213" s="179">
        <f>K212</f>
        <v/>
      </c>
      <c r="C213" s="179">
        <f>(MIN(B213,$B$15)*$B$6+MAX(B213-$B$15,0)*$B$16*$B$7/12)</f>
        <v/>
      </c>
      <c r="D213" s="179">
        <f>$B$9</f>
        <v/>
      </c>
      <c r="E213" s="179">
        <f>IF(AND($B$209&gt;0,$B$8&gt;0),MIN($B$209*$B$17,$B$13*MAX(C213-D213,0)),0)</f>
        <v/>
      </c>
      <c r="F213" s="179">
        <f>MAX(C213-D213-E213,0)</f>
        <v/>
      </c>
      <c r="G213" s="182">
        <f>$B$8</f>
        <v/>
      </c>
      <c r="H213" s="179">
        <f>F213*G213</f>
        <v/>
      </c>
      <c r="I213" s="179">
        <f>MAX(C213-D213,0)*G213-H213</f>
        <v/>
      </c>
      <c r="J213" s="179">
        <f>(1-$B$11)*E213</f>
        <v/>
      </c>
      <c r="K213" s="174">
        <f>B213+C213-D213-H213-J213</f>
        <v/>
      </c>
    </row>
    <row r="214" hidden="1" outlineLevel="1">
      <c r="A214" s="178" t="n">
        <v>4</v>
      </c>
      <c r="B214" s="179">
        <f>K213</f>
        <v/>
      </c>
      <c r="C214" s="179">
        <f>(MIN(B214,$B$15)*$B$6+MAX(B214-$B$15,0)*$B$16*$B$7/12)</f>
        <v/>
      </c>
      <c r="D214" s="179">
        <f>$B$9</f>
        <v/>
      </c>
      <c r="E214" s="179">
        <f>IF(AND($B$209&gt;0,$B$8&gt;0),MIN($B$209*$B$17,$B$13*MAX(C214-D214,0)),0)</f>
        <v/>
      </c>
      <c r="F214" s="179">
        <f>MAX(C214-D214-E214,0)</f>
        <v/>
      </c>
      <c r="G214" s="182">
        <f>$B$8</f>
        <v/>
      </c>
      <c r="H214" s="179">
        <f>F214*G214</f>
        <v/>
      </c>
      <c r="I214" s="179">
        <f>MAX(C214-D214,0)*G214-H214</f>
        <v/>
      </c>
      <c r="J214" s="179">
        <f>(1-$B$11)*E214</f>
        <v/>
      </c>
      <c r="K214" s="174">
        <f>B214+C214-D214-H214-J214</f>
        <v/>
      </c>
    </row>
    <row r="215" hidden="1" outlineLevel="1">
      <c r="A215" s="178" t="n">
        <v>5</v>
      </c>
      <c r="B215" s="179">
        <f>K214</f>
        <v/>
      </c>
      <c r="C215" s="179">
        <f>(MIN(B215,$B$15)*$B$6+MAX(B215-$B$15,0)*$B$16*$B$7/12)</f>
        <v/>
      </c>
      <c r="D215" s="179">
        <f>$B$9</f>
        <v/>
      </c>
      <c r="E215" s="179">
        <f>IF(AND($B$209&gt;0,$B$8&gt;0),MIN($B$209*$B$17,$B$13*MAX(C215-D215,0)),0)</f>
        <v/>
      </c>
      <c r="F215" s="179">
        <f>MAX(C215-D215-E215,0)</f>
        <v/>
      </c>
      <c r="G215" s="182">
        <f>$B$8</f>
        <v/>
      </c>
      <c r="H215" s="179">
        <f>F215*G215</f>
        <v/>
      </c>
      <c r="I215" s="179">
        <f>MAX(C215-D215,0)*G215-H215</f>
        <v/>
      </c>
      <c r="J215" s="179">
        <f>(1-$B$11)*E215</f>
        <v/>
      </c>
      <c r="K215" s="174">
        <f>B215+C215-D215-H215-J215</f>
        <v/>
      </c>
    </row>
    <row r="216" hidden="1" outlineLevel="1">
      <c r="A216" s="178" t="n">
        <v>6</v>
      </c>
      <c r="B216" s="179">
        <f>K215</f>
        <v/>
      </c>
      <c r="C216" s="179">
        <f>(MIN(B216,$B$15)*$B$6+MAX(B216-$B$15,0)*$B$16*$B$7/12)</f>
        <v/>
      </c>
      <c r="D216" s="179">
        <f>$B$9</f>
        <v/>
      </c>
      <c r="E216" s="179">
        <f>IF(AND($B$209&gt;0,$B$8&gt;0),MIN($B$209*$B$17,$B$13*MAX(C216-D216,0)),0)</f>
        <v/>
      </c>
      <c r="F216" s="179">
        <f>MAX(C216-D216-E216,0)</f>
        <v/>
      </c>
      <c r="G216" s="182">
        <f>$B$8</f>
        <v/>
      </c>
      <c r="H216" s="179">
        <f>F216*G216</f>
        <v/>
      </c>
      <c r="I216" s="179">
        <f>MAX(C216-D216,0)*G216-H216</f>
        <v/>
      </c>
      <c r="J216" s="179">
        <f>(1-$B$11)*E216</f>
        <v/>
      </c>
      <c r="K216" s="174">
        <f>B216+C216-D216-H216-J216</f>
        <v/>
      </c>
    </row>
    <row r="217" hidden="1" outlineLevel="1">
      <c r="A217" s="178" t="n">
        <v>7</v>
      </c>
      <c r="B217" s="179">
        <f>K216</f>
        <v/>
      </c>
      <c r="C217" s="179">
        <f>(MIN(B217,$B$15)*$B$6+MAX(B217-$B$15,0)*$B$16*$B$7/12)</f>
        <v/>
      </c>
      <c r="D217" s="179">
        <f>$B$9</f>
        <v/>
      </c>
      <c r="E217" s="179">
        <f>IF(AND($B$209&gt;0,$B$8&gt;0),MIN($B$209*$B$17,$B$13*MAX(C217-D217,0)),0)</f>
        <v/>
      </c>
      <c r="F217" s="179">
        <f>MAX(C217-D217-E217,0)</f>
        <v/>
      </c>
      <c r="G217" s="182">
        <f>$B$8</f>
        <v/>
      </c>
      <c r="H217" s="179">
        <f>F217*G217</f>
        <v/>
      </c>
      <c r="I217" s="179">
        <f>MAX(C217-D217,0)*G217-H217</f>
        <v/>
      </c>
      <c r="J217" s="179">
        <f>(1-$B$11)*E217</f>
        <v/>
      </c>
      <c r="K217" s="174">
        <f>B217+C217-D217-H217-J217</f>
        <v/>
      </c>
    </row>
    <row r="218" hidden="1" outlineLevel="1">
      <c r="A218" s="178" t="n">
        <v>8</v>
      </c>
      <c r="B218" s="179">
        <f>K217</f>
        <v/>
      </c>
      <c r="C218" s="179">
        <f>(MIN(B218,$B$15)*$B$6+MAX(B218-$B$15,0)*$B$16*$B$7/12)</f>
        <v/>
      </c>
      <c r="D218" s="179">
        <f>$B$9</f>
        <v/>
      </c>
      <c r="E218" s="179">
        <f>IF(AND($B$209&gt;0,$B$8&gt;0),MIN($B$209*$B$17,$B$13*MAX(C218-D218,0)),0)</f>
        <v/>
      </c>
      <c r="F218" s="179">
        <f>MAX(C218-D218-E218,0)</f>
        <v/>
      </c>
      <c r="G218" s="182">
        <f>$B$8</f>
        <v/>
      </c>
      <c r="H218" s="179">
        <f>F218*G218</f>
        <v/>
      </c>
      <c r="I218" s="179">
        <f>MAX(C218-D218,0)*G218-H218</f>
        <v/>
      </c>
      <c r="J218" s="179">
        <f>(1-$B$11)*E218</f>
        <v/>
      </c>
      <c r="K218" s="174">
        <f>B218+C218-D218-H218-J218</f>
        <v/>
      </c>
    </row>
    <row r="219" hidden="1" outlineLevel="1">
      <c r="A219" s="178" t="n">
        <v>9</v>
      </c>
      <c r="B219" s="179">
        <f>K218</f>
        <v/>
      </c>
      <c r="C219" s="179">
        <f>(MIN(B219,$B$15)*$B$6+MAX(B219-$B$15,0)*$B$16*$B$7/12)</f>
        <v/>
      </c>
      <c r="D219" s="179">
        <f>$B$9</f>
        <v/>
      </c>
      <c r="E219" s="179">
        <f>IF(AND($B$209&gt;0,$B$8&gt;0),MIN($B$209*$B$17,$B$13*MAX(C219-D219,0)),0)</f>
        <v/>
      </c>
      <c r="F219" s="179">
        <f>MAX(C219-D219-E219,0)</f>
        <v/>
      </c>
      <c r="G219" s="182">
        <f>$B$8</f>
        <v/>
      </c>
      <c r="H219" s="179">
        <f>F219*G219</f>
        <v/>
      </c>
      <c r="I219" s="179">
        <f>MAX(C219-D219,0)*G219-H219</f>
        <v/>
      </c>
      <c r="J219" s="179">
        <f>(1-$B$11)*E219</f>
        <v/>
      </c>
      <c r="K219" s="174">
        <f>B219+C219-D219-H219-J219</f>
        <v/>
      </c>
    </row>
    <row r="220" hidden="1" outlineLevel="1">
      <c r="A220" s="178" t="n">
        <v>10</v>
      </c>
      <c r="B220" s="179">
        <f>K219</f>
        <v/>
      </c>
      <c r="C220" s="179">
        <f>(MIN(B220,$B$15)*$B$6+MAX(B220-$B$15,0)*$B$16*$B$7/12)</f>
        <v/>
      </c>
      <c r="D220" s="179">
        <f>$B$9</f>
        <v/>
      </c>
      <c r="E220" s="179">
        <f>IF(AND($B$209&gt;0,$B$8&gt;0),MIN($B$209*$B$17,$B$13*MAX(C220-D220,0)),0)</f>
        <v/>
      </c>
      <c r="F220" s="179">
        <f>MAX(C220-D220-E220,0)</f>
        <v/>
      </c>
      <c r="G220" s="182">
        <f>$B$8</f>
        <v/>
      </c>
      <c r="H220" s="179">
        <f>F220*G220</f>
        <v/>
      </c>
      <c r="I220" s="179">
        <f>MAX(C220-D220,0)*G220-H220</f>
        <v/>
      </c>
      <c r="J220" s="179">
        <f>(1-$B$11)*E220</f>
        <v/>
      </c>
      <c r="K220" s="174">
        <f>B220+C220-D220-H220-J220</f>
        <v/>
      </c>
    </row>
    <row r="221" hidden="1" outlineLevel="1">
      <c r="A221" s="178" t="n">
        <v>11</v>
      </c>
      <c r="B221" s="179">
        <f>K220</f>
        <v/>
      </c>
      <c r="C221" s="179">
        <f>(MIN(B221,$B$15)*$B$6+MAX(B221-$B$15,0)*$B$16*$B$7/12)</f>
        <v/>
      </c>
      <c r="D221" s="179">
        <f>$B$9</f>
        <v/>
      </c>
      <c r="E221" s="179">
        <f>IF(AND($B$209&gt;0,$B$8&gt;0),MIN($B$209*$B$17,$B$13*MAX(C221-D221,0)),0)</f>
        <v/>
      </c>
      <c r="F221" s="179">
        <f>MAX(C221-D221-E221,0)</f>
        <v/>
      </c>
      <c r="G221" s="182">
        <f>$B$8</f>
        <v/>
      </c>
      <c r="H221" s="179">
        <f>F221*G221</f>
        <v/>
      </c>
      <c r="I221" s="179">
        <f>MAX(C221-D221,0)*G221-H221</f>
        <v/>
      </c>
      <c r="J221" s="179">
        <f>(1-$B$11)*E221</f>
        <v/>
      </c>
      <c r="K221" s="174">
        <f>B221+C221-D221-H221-J221</f>
        <v/>
      </c>
    </row>
    <row r="222" hidden="1" outlineLevel="1">
      <c r="A222" s="178" t="n">
        <v>12</v>
      </c>
      <c r="B222" s="179">
        <f>K221</f>
        <v/>
      </c>
      <c r="C222" s="179">
        <f>(MIN(B222,$B$15)*$B$6+MAX(B222-$B$15,0)*$B$16*$B$7/12)</f>
        <v/>
      </c>
      <c r="D222" s="179">
        <f>$B$9</f>
        <v/>
      </c>
      <c r="E222" s="179">
        <f>IF(AND($B$209&gt;0,$B$8&gt;0),MIN($B$209*$B$17,$B$13*MAX(C222-D222,0)),0)</f>
        <v/>
      </c>
      <c r="F222" s="179">
        <f>MAX(C222-D222-E222,0)</f>
        <v/>
      </c>
      <c r="G222" s="182">
        <f>$B$8</f>
        <v/>
      </c>
      <c r="H222" s="179">
        <f>F222*G222</f>
        <v/>
      </c>
      <c r="I222" s="179">
        <f>MAX(C222-D222,0)*G222-H222</f>
        <v/>
      </c>
      <c r="J222" s="179">
        <f>(1-$B$11)*E222</f>
        <v/>
      </c>
      <c r="K222" s="174">
        <f>B222+C222-D222-H222-J222</f>
        <v/>
      </c>
    </row>
    <row r="223" hidden="1" outlineLevel="1">
      <c r="A223" s="178" t="n">
        <v>13</v>
      </c>
      <c r="B223" s="179">
        <f>K222</f>
        <v/>
      </c>
      <c r="C223" s="179">
        <f>(MIN(B223,$B$15)*$B$6+MAX(B223-$B$15,0)*$B$16*$B$7/12)</f>
        <v/>
      </c>
      <c r="D223" s="179">
        <f>$B$9</f>
        <v/>
      </c>
      <c r="E223" s="179">
        <f>IF(AND($B$209&gt;0,$B$8&gt;0),MIN($B$209*$B$17,$B$13*MAX(C223-D223,0)),0)</f>
        <v/>
      </c>
      <c r="F223" s="179">
        <f>MAX(C223-D223-E223,0)</f>
        <v/>
      </c>
      <c r="G223" s="182">
        <f>$B$8</f>
        <v/>
      </c>
      <c r="H223" s="179">
        <f>F223*G223</f>
        <v/>
      </c>
      <c r="I223" s="179">
        <f>MAX(C223-D223,0)*G223-H223</f>
        <v/>
      </c>
      <c r="J223" s="179">
        <f>(1-$B$11)*E223</f>
        <v/>
      </c>
      <c r="K223" s="174">
        <f>B223+C223-D223-H223-J223</f>
        <v/>
      </c>
    </row>
    <row r="224" hidden="1" outlineLevel="1">
      <c r="A224" s="178" t="n">
        <v>14</v>
      </c>
      <c r="B224" s="179">
        <f>K223</f>
        <v/>
      </c>
      <c r="C224" s="179">
        <f>(MIN(B224,$B$15)*$B$6+MAX(B224-$B$15,0)*$B$16*$B$7/12)</f>
        <v/>
      </c>
      <c r="D224" s="179">
        <f>$B$9</f>
        <v/>
      </c>
      <c r="E224" s="179">
        <f>IF(AND($B$209&gt;0,$B$8&gt;0),MIN($B$209*$B$17,$B$13*MAX(C224-D224,0)),0)</f>
        <v/>
      </c>
      <c r="F224" s="179">
        <f>MAX(C224-D224-E224,0)</f>
        <v/>
      </c>
      <c r="G224" s="182">
        <f>$B$8</f>
        <v/>
      </c>
      <c r="H224" s="179">
        <f>F224*G224</f>
        <v/>
      </c>
      <c r="I224" s="179">
        <f>MAX(C224-D224,0)*G224-H224</f>
        <v/>
      </c>
      <c r="J224" s="179">
        <f>(1-$B$11)*E224</f>
        <v/>
      </c>
      <c r="K224" s="174">
        <f>B224+C224-D224-H224-J224</f>
        <v/>
      </c>
    </row>
    <row r="225" hidden="1" outlineLevel="1">
      <c r="A225" s="178" t="n">
        <v>15</v>
      </c>
      <c r="B225" s="179">
        <f>K224</f>
        <v/>
      </c>
      <c r="C225" s="179">
        <f>(MIN(B225,$B$15)*$B$6+MAX(B225-$B$15,0)*$B$16*$B$7/12)</f>
        <v/>
      </c>
      <c r="D225" s="179">
        <f>$B$9</f>
        <v/>
      </c>
      <c r="E225" s="179">
        <f>IF(AND($B$209&gt;0,$B$8&gt;0),MIN($B$209*$B$17,$B$13*MAX(C225-D225,0)),0)</f>
        <v/>
      </c>
      <c r="F225" s="179">
        <f>MAX(C225-D225-E225,0)</f>
        <v/>
      </c>
      <c r="G225" s="182">
        <f>$B$8</f>
        <v/>
      </c>
      <c r="H225" s="179">
        <f>F225*G225</f>
        <v/>
      </c>
      <c r="I225" s="179">
        <f>MAX(C225-D225,0)*G225-H225</f>
        <v/>
      </c>
      <c r="J225" s="179">
        <f>(1-$B$11)*E225</f>
        <v/>
      </c>
      <c r="K225" s="174">
        <f>B225+C225-D225-H225-J225</f>
        <v/>
      </c>
    </row>
    <row r="226" hidden="1" outlineLevel="1">
      <c r="A226" s="178" t="n">
        <v>16</v>
      </c>
      <c r="B226" s="179">
        <f>K225</f>
        <v/>
      </c>
      <c r="C226" s="179">
        <f>(MIN(B226,$B$15)*$B$6+MAX(B226-$B$15,0)*$B$16*$B$7/12)</f>
        <v/>
      </c>
      <c r="D226" s="179">
        <f>$B$9</f>
        <v/>
      </c>
      <c r="E226" s="179">
        <f>IF(AND($B$209&gt;0,$B$8&gt;0),MIN($B$209*$B$17,$B$13*MAX(C226-D226,0)),0)</f>
        <v/>
      </c>
      <c r="F226" s="179">
        <f>MAX(C226-D226-E226,0)</f>
        <v/>
      </c>
      <c r="G226" s="182">
        <f>$B$8</f>
        <v/>
      </c>
      <c r="H226" s="179">
        <f>F226*G226</f>
        <v/>
      </c>
      <c r="I226" s="179">
        <f>MAX(C226-D226,0)*G226-H226</f>
        <v/>
      </c>
      <c r="J226" s="179">
        <f>(1-$B$11)*E226</f>
        <v/>
      </c>
      <c r="K226" s="174">
        <f>B226+C226-D226-H226-J226</f>
        <v/>
      </c>
    </row>
    <row r="227" hidden="1" outlineLevel="1">
      <c r="A227" s="178" t="n">
        <v>17</v>
      </c>
      <c r="B227" s="179">
        <f>K226</f>
        <v/>
      </c>
      <c r="C227" s="179">
        <f>(MIN(B227,$B$15)*$B$6+MAX(B227-$B$15,0)*$B$16*$B$7/12)</f>
        <v/>
      </c>
      <c r="D227" s="179">
        <f>$B$9</f>
        <v/>
      </c>
      <c r="E227" s="179">
        <f>IF(AND($B$209&gt;0,$B$8&gt;0),MIN($B$209*$B$17,$B$13*MAX(C227-D227,0)),0)</f>
        <v/>
      </c>
      <c r="F227" s="179">
        <f>MAX(C227-D227-E227,0)</f>
        <v/>
      </c>
      <c r="G227" s="182">
        <f>$B$8</f>
        <v/>
      </c>
      <c r="H227" s="179">
        <f>F227*G227</f>
        <v/>
      </c>
      <c r="I227" s="179">
        <f>MAX(C227-D227,0)*G227-H227</f>
        <v/>
      </c>
      <c r="J227" s="179">
        <f>(1-$B$11)*E227</f>
        <v/>
      </c>
      <c r="K227" s="174">
        <f>B227+C227-D227-H227-J227</f>
        <v/>
      </c>
    </row>
    <row r="228" hidden="1" outlineLevel="1">
      <c r="A228" s="178" t="n">
        <v>18</v>
      </c>
      <c r="B228" s="179">
        <f>K227</f>
        <v/>
      </c>
      <c r="C228" s="179">
        <f>(MIN(B228,$B$15)*$B$6+MAX(B228-$B$15,0)*$B$16*$B$7/12)</f>
        <v/>
      </c>
      <c r="D228" s="179">
        <f>$B$9</f>
        <v/>
      </c>
      <c r="E228" s="179">
        <f>IF(AND($B$209&gt;0,$B$8&gt;0),MIN($B$209*$B$17,$B$13*MAX(C228-D228,0)),0)</f>
        <v/>
      </c>
      <c r="F228" s="179">
        <f>MAX(C228-D228-E228,0)</f>
        <v/>
      </c>
      <c r="G228" s="182">
        <f>$B$8</f>
        <v/>
      </c>
      <c r="H228" s="179">
        <f>F228*G228</f>
        <v/>
      </c>
      <c r="I228" s="179">
        <f>MAX(C228-D228,0)*G228-H228</f>
        <v/>
      </c>
      <c r="J228" s="179">
        <f>(1-$B$11)*E228</f>
        <v/>
      </c>
      <c r="K228" s="174">
        <f>B228+C228-D228-H228-J228</f>
        <v/>
      </c>
    </row>
    <row r="229" hidden="1" outlineLevel="1">
      <c r="A229" s="178" t="n">
        <v>19</v>
      </c>
      <c r="B229" s="179">
        <f>K228</f>
        <v/>
      </c>
      <c r="C229" s="179">
        <f>(MIN(B229,$B$15)*$B$6+MAX(B229-$B$15,0)*$B$16*$B$7/12)</f>
        <v/>
      </c>
      <c r="D229" s="179">
        <f>$B$9</f>
        <v/>
      </c>
      <c r="E229" s="179">
        <f>IF(AND($B$209&gt;0,$B$8&gt;0),MIN($B$209*$B$17,$B$13*MAX(C229-D229,0)),0)</f>
        <v/>
      </c>
      <c r="F229" s="179">
        <f>MAX(C229-D229-E229,0)</f>
        <v/>
      </c>
      <c r="G229" s="182">
        <f>$B$8</f>
        <v/>
      </c>
      <c r="H229" s="179">
        <f>F229*G229</f>
        <v/>
      </c>
      <c r="I229" s="179">
        <f>MAX(C229-D229,0)*G229-H229</f>
        <v/>
      </c>
      <c r="J229" s="179">
        <f>(1-$B$11)*E229</f>
        <v/>
      </c>
      <c r="K229" s="174">
        <f>B229+C229-D229-H229-J229</f>
        <v/>
      </c>
    </row>
    <row r="230" hidden="1" outlineLevel="1">
      <c r="A230" s="178" t="n">
        <v>20</v>
      </c>
      <c r="B230" s="179">
        <f>K229</f>
        <v/>
      </c>
      <c r="C230" s="179">
        <f>(MIN(B230,$B$15)*$B$6+MAX(B230-$B$15,0)*$B$16*$B$7/12)</f>
        <v/>
      </c>
      <c r="D230" s="179">
        <f>$B$9</f>
        <v/>
      </c>
      <c r="E230" s="179">
        <f>IF(AND($B$209&gt;0,$B$8&gt;0),MIN($B$209*$B$17,$B$13*MAX(C230-D230,0)),0)</f>
        <v/>
      </c>
      <c r="F230" s="179">
        <f>MAX(C230-D230-E230,0)</f>
        <v/>
      </c>
      <c r="G230" s="182">
        <f>$B$8</f>
        <v/>
      </c>
      <c r="H230" s="179">
        <f>F230*G230</f>
        <v/>
      </c>
      <c r="I230" s="179">
        <f>MAX(C230-D230,0)*G230-H230</f>
        <v/>
      </c>
      <c r="J230" s="179">
        <f>(1-$B$11)*E230</f>
        <v/>
      </c>
      <c r="K230" s="174">
        <f>B230+C230-D230-H230-J230</f>
        <v/>
      </c>
    </row>
    <row r="231" hidden="1" outlineLevel="1"/>
    <row r="232" hidden="1" outlineLevel="1"/>
    <row r="233" hidden="1" outlineLevel="1" ht="20" customHeight="1">
      <c r="A233" s="154" t="inlineStr">
        <is>
          <t>COMPANY + 4 MEMBERS</t>
        </is>
      </c>
      <c r="B233" s="155" t="n"/>
      <c r="C233" s="155" t="n"/>
      <c r="D233" s="155" t="n"/>
      <c r="E233" s="155" t="n"/>
      <c r="F233" s="155" t="n"/>
      <c r="G233" s="155" t="n"/>
      <c r="H233" s="155" t="n"/>
      <c r="I233" s="155" t="n"/>
      <c r="J233" s="155" t="n"/>
      <c r="K233" s="155" t="n"/>
      <c r="L233" s="155" t="n"/>
      <c r="M233" s="155" t="n"/>
      <c r="N233" s="155" t="n"/>
      <c r="O233" s="155" t="n"/>
      <c r="P233" s="155" t="n"/>
      <c r="Q233" s="155" t="n"/>
      <c r="R233" s="155" t="n"/>
      <c r="S233" s="155" t="n"/>
    </row>
    <row r="234" hidden="1" outlineLevel="1">
      <c r="A234" s="164" t="inlineStr">
        <is>
          <t>Members</t>
        </is>
      </c>
      <c r="B234" s="178" t="n">
        <v>4</v>
      </c>
    </row>
    <row r="235" hidden="1" outlineLevel="1" ht="32" customHeight="1">
      <c r="A235" s="156" t="inlineStr">
        <is>
          <t>Cycle</t>
        </is>
      </c>
      <c r="B235" s="156" t="inlineStr">
        <is>
          <t>Start ₹ Cr</t>
        </is>
      </c>
      <c r="C235" s="156" t="inlineStr">
        <is>
          <t>Gross gain ₹ Cr</t>
        </is>
      </c>
      <c r="D235" s="156" t="inlineStr">
        <is>
          <t>Running cost ₹ Cr</t>
        </is>
      </c>
      <c r="E235" s="156" t="inlineStr">
        <is>
          <t>Salary ₹ Cr</t>
        </is>
      </c>
      <c r="F235" s="156" t="inlineStr">
        <is>
          <t>Taxable ₹ Cr</t>
        </is>
      </c>
      <c r="G235" s="156" t="inlineStr">
        <is>
          <t>Tax rate</t>
        </is>
      </c>
      <c r="H235" s="156" t="inlineStr">
        <is>
          <t>Tax ₹ Cr</t>
        </is>
      </c>
      <c r="I235" s="156" t="inlineStr">
        <is>
          <t>Tax saved by payroll ₹ Cr</t>
        </is>
      </c>
      <c r="J235" s="156" t="inlineStr">
        <is>
          <t>Net leakage ₹ Cr</t>
        </is>
      </c>
      <c r="K235" s="156" t="inlineStr">
        <is>
          <t>End ₹ Cr</t>
        </is>
      </c>
    </row>
    <row r="236" hidden="1" outlineLevel="1">
      <c r="A236" s="178" t="n">
        <v>1</v>
      </c>
      <c r="B236" s="179">
        <f>$B$5</f>
        <v/>
      </c>
      <c r="C236" s="179">
        <f>(MIN(B236,$B$15)*$B$6+MAX(B236-$B$15,0)*$B$16*$B$7/12)</f>
        <v/>
      </c>
      <c r="D236" s="179">
        <f>$B$9</f>
        <v/>
      </c>
      <c r="E236" s="179">
        <f>IF(AND($B$234&gt;0,$B$8&gt;0),MIN($B$234*$B$17,$B$13*MAX(C236-D236,0)),0)</f>
        <v/>
      </c>
      <c r="F236" s="179">
        <f>MAX(C236-D236-E236,0)</f>
        <v/>
      </c>
      <c r="G236" s="182">
        <f>$B$8</f>
        <v/>
      </c>
      <c r="H236" s="179">
        <f>F236*G236</f>
        <v/>
      </c>
      <c r="I236" s="179">
        <f>MAX(C236-D236,0)*G236-H236</f>
        <v/>
      </c>
      <c r="J236" s="179">
        <f>(1-$B$11)*E236</f>
        <v/>
      </c>
      <c r="K236" s="174">
        <f>B236+C236-D236-H236-J236</f>
        <v/>
      </c>
    </row>
    <row r="237" hidden="1" outlineLevel="1">
      <c r="A237" s="178" t="n">
        <v>2</v>
      </c>
      <c r="B237" s="179">
        <f>K236</f>
        <v/>
      </c>
      <c r="C237" s="179">
        <f>(MIN(B237,$B$15)*$B$6+MAX(B237-$B$15,0)*$B$16*$B$7/12)</f>
        <v/>
      </c>
      <c r="D237" s="179">
        <f>$B$9</f>
        <v/>
      </c>
      <c r="E237" s="179">
        <f>IF(AND($B$234&gt;0,$B$8&gt;0),MIN($B$234*$B$17,$B$13*MAX(C237-D237,0)),0)</f>
        <v/>
      </c>
      <c r="F237" s="179">
        <f>MAX(C237-D237-E237,0)</f>
        <v/>
      </c>
      <c r="G237" s="182">
        <f>$B$8</f>
        <v/>
      </c>
      <c r="H237" s="179">
        <f>F237*G237</f>
        <v/>
      </c>
      <c r="I237" s="179">
        <f>MAX(C237-D237,0)*G237-H237</f>
        <v/>
      </c>
      <c r="J237" s="179">
        <f>(1-$B$11)*E237</f>
        <v/>
      </c>
      <c r="K237" s="174">
        <f>B237+C237-D237-H237-J237</f>
        <v/>
      </c>
    </row>
    <row r="238" hidden="1" outlineLevel="1">
      <c r="A238" s="178" t="n">
        <v>3</v>
      </c>
      <c r="B238" s="179">
        <f>K237</f>
        <v/>
      </c>
      <c r="C238" s="179">
        <f>(MIN(B238,$B$15)*$B$6+MAX(B238-$B$15,0)*$B$16*$B$7/12)</f>
        <v/>
      </c>
      <c r="D238" s="179">
        <f>$B$9</f>
        <v/>
      </c>
      <c r="E238" s="179">
        <f>IF(AND($B$234&gt;0,$B$8&gt;0),MIN($B$234*$B$17,$B$13*MAX(C238-D238,0)),0)</f>
        <v/>
      </c>
      <c r="F238" s="179">
        <f>MAX(C238-D238-E238,0)</f>
        <v/>
      </c>
      <c r="G238" s="182">
        <f>$B$8</f>
        <v/>
      </c>
      <c r="H238" s="179">
        <f>F238*G238</f>
        <v/>
      </c>
      <c r="I238" s="179">
        <f>MAX(C238-D238,0)*G238-H238</f>
        <v/>
      </c>
      <c r="J238" s="179">
        <f>(1-$B$11)*E238</f>
        <v/>
      </c>
      <c r="K238" s="174">
        <f>B238+C238-D238-H238-J238</f>
        <v/>
      </c>
    </row>
    <row r="239" hidden="1" outlineLevel="1">
      <c r="A239" s="178" t="n">
        <v>4</v>
      </c>
      <c r="B239" s="179">
        <f>K238</f>
        <v/>
      </c>
      <c r="C239" s="179">
        <f>(MIN(B239,$B$15)*$B$6+MAX(B239-$B$15,0)*$B$16*$B$7/12)</f>
        <v/>
      </c>
      <c r="D239" s="179">
        <f>$B$9</f>
        <v/>
      </c>
      <c r="E239" s="179">
        <f>IF(AND($B$234&gt;0,$B$8&gt;0),MIN($B$234*$B$17,$B$13*MAX(C239-D239,0)),0)</f>
        <v/>
      </c>
      <c r="F239" s="179">
        <f>MAX(C239-D239-E239,0)</f>
        <v/>
      </c>
      <c r="G239" s="182">
        <f>$B$8</f>
        <v/>
      </c>
      <c r="H239" s="179">
        <f>F239*G239</f>
        <v/>
      </c>
      <c r="I239" s="179">
        <f>MAX(C239-D239,0)*G239-H239</f>
        <v/>
      </c>
      <c r="J239" s="179">
        <f>(1-$B$11)*E239</f>
        <v/>
      </c>
      <c r="K239" s="174">
        <f>B239+C239-D239-H239-J239</f>
        <v/>
      </c>
    </row>
    <row r="240" hidden="1" outlineLevel="1">
      <c r="A240" s="178" t="n">
        <v>5</v>
      </c>
      <c r="B240" s="179">
        <f>K239</f>
        <v/>
      </c>
      <c r="C240" s="179">
        <f>(MIN(B240,$B$15)*$B$6+MAX(B240-$B$15,0)*$B$16*$B$7/12)</f>
        <v/>
      </c>
      <c r="D240" s="179">
        <f>$B$9</f>
        <v/>
      </c>
      <c r="E240" s="179">
        <f>IF(AND($B$234&gt;0,$B$8&gt;0),MIN($B$234*$B$17,$B$13*MAX(C240-D240,0)),0)</f>
        <v/>
      </c>
      <c r="F240" s="179">
        <f>MAX(C240-D240-E240,0)</f>
        <v/>
      </c>
      <c r="G240" s="182">
        <f>$B$8</f>
        <v/>
      </c>
      <c r="H240" s="179">
        <f>F240*G240</f>
        <v/>
      </c>
      <c r="I240" s="179">
        <f>MAX(C240-D240,0)*G240-H240</f>
        <v/>
      </c>
      <c r="J240" s="179">
        <f>(1-$B$11)*E240</f>
        <v/>
      </c>
      <c r="K240" s="174">
        <f>B240+C240-D240-H240-J240</f>
        <v/>
      </c>
    </row>
    <row r="241" hidden="1" outlineLevel="1">
      <c r="A241" s="178" t="n">
        <v>6</v>
      </c>
      <c r="B241" s="179">
        <f>K240</f>
        <v/>
      </c>
      <c r="C241" s="179">
        <f>(MIN(B241,$B$15)*$B$6+MAX(B241-$B$15,0)*$B$16*$B$7/12)</f>
        <v/>
      </c>
      <c r="D241" s="179">
        <f>$B$9</f>
        <v/>
      </c>
      <c r="E241" s="179">
        <f>IF(AND($B$234&gt;0,$B$8&gt;0),MIN($B$234*$B$17,$B$13*MAX(C241-D241,0)),0)</f>
        <v/>
      </c>
      <c r="F241" s="179">
        <f>MAX(C241-D241-E241,0)</f>
        <v/>
      </c>
      <c r="G241" s="182">
        <f>$B$8</f>
        <v/>
      </c>
      <c r="H241" s="179">
        <f>F241*G241</f>
        <v/>
      </c>
      <c r="I241" s="179">
        <f>MAX(C241-D241,0)*G241-H241</f>
        <v/>
      </c>
      <c r="J241" s="179">
        <f>(1-$B$11)*E241</f>
        <v/>
      </c>
      <c r="K241" s="174">
        <f>B241+C241-D241-H241-J241</f>
        <v/>
      </c>
    </row>
    <row r="242" hidden="1" outlineLevel="1">
      <c r="A242" s="178" t="n">
        <v>7</v>
      </c>
      <c r="B242" s="179">
        <f>K241</f>
        <v/>
      </c>
      <c r="C242" s="179">
        <f>(MIN(B242,$B$15)*$B$6+MAX(B242-$B$15,0)*$B$16*$B$7/12)</f>
        <v/>
      </c>
      <c r="D242" s="179">
        <f>$B$9</f>
        <v/>
      </c>
      <c r="E242" s="179">
        <f>IF(AND($B$234&gt;0,$B$8&gt;0),MIN($B$234*$B$17,$B$13*MAX(C242-D242,0)),0)</f>
        <v/>
      </c>
      <c r="F242" s="179">
        <f>MAX(C242-D242-E242,0)</f>
        <v/>
      </c>
      <c r="G242" s="182">
        <f>$B$8</f>
        <v/>
      </c>
      <c r="H242" s="179">
        <f>F242*G242</f>
        <v/>
      </c>
      <c r="I242" s="179">
        <f>MAX(C242-D242,0)*G242-H242</f>
        <v/>
      </c>
      <c r="J242" s="179">
        <f>(1-$B$11)*E242</f>
        <v/>
      </c>
      <c r="K242" s="174">
        <f>B242+C242-D242-H242-J242</f>
        <v/>
      </c>
    </row>
    <row r="243" hidden="1" outlineLevel="1">
      <c r="A243" s="178" t="n">
        <v>8</v>
      </c>
      <c r="B243" s="179">
        <f>K242</f>
        <v/>
      </c>
      <c r="C243" s="179">
        <f>(MIN(B243,$B$15)*$B$6+MAX(B243-$B$15,0)*$B$16*$B$7/12)</f>
        <v/>
      </c>
      <c r="D243" s="179">
        <f>$B$9</f>
        <v/>
      </c>
      <c r="E243" s="179">
        <f>IF(AND($B$234&gt;0,$B$8&gt;0),MIN($B$234*$B$17,$B$13*MAX(C243-D243,0)),0)</f>
        <v/>
      </c>
      <c r="F243" s="179">
        <f>MAX(C243-D243-E243,0)</f>
        <v/>
      </c>
      <c r="G243" s="182">
        <f>$B$8</f>
        <v/>
      </c>
      <c r="H243" s="179">
        <f>F243*G243</f>
        <v/>
      </c>
      <c r="I243" s="179">
        <f>MAX(C243-D243,0)*G243-H243</f>
        <v/>
      </c>
      <c r="J243" s="179">
        <f>(1-$B$11)*E243</f>
        <v/>
      </c>
      <c r="K243" s="174">
        <f>B243+C243-D243-H243-J243</f>
        <v/>
      </c>
    </row>
    <row r="244" hidden="1" outlineLevel="1">
      <c r="A244" s="178" t="n">
        <v>9</v>
      </c>
      <c r="B244" s="179">
        <f>K243</f>
        <v/>
      </c>
      <c r="C244" s="179">
        <f>(MIN(B244,$B$15)*$B$6+MAX(B244-$B$15,0)*$B$16*$B$7/12)</f>
        <v/>
      </c>
      <c r="D244" s="179">
        <f>$B$9</f>
        <v/>
      </c>
      <c r="E244" s="179">
        <f>IF(AND($B$234&gt;0,$B$8&gt;0),MIN($B$234*$B$17,$B$13*MAX(C244-D244,0)),0)</f>
        <v/>
      </c>
      <c r="F244" s="179">
        <f>MAX(C244-D244-E244,0)</f>
        <v/>
      </c>
      <c r="G244" s="182">
        <f>$B$8</f>
        <v/>
      </c>
      <c r="H244" s="179">
        <f>F244*G244</f>
        <v/>
      </c>
      <c r="I244" s="179">
        <f>MAX(C244-D244,0)*G244-H244</f>
        <v/>
      </c>
      <c r="J244" s="179">
        <f>(1-$B$11)*E244</f>
        <v/>
      </c>
      <c r="K244" s="174">
        <f>B244+C244-D244-H244-J244</f>
        <v/>
      </c>
    </row>
    <row r="245" hidden="1" outlineLevel="1">
      <c r="A245" s="178" t="n">
        <v>10</v>
      </c>
      <c r="B245" s="179">
        <f>K244</f>
        <v/>
      </c>
      <c r="C245" s="179">
        <f>(MIN(B245,$B$15)*$B$6+MAX(B245-$B$15,0)*$B$16*$B$7/12)</f>
        <v/>
      </c>
      <c r="D245" s="179">
        <f>$B$9</f>
        <v/>
      </c>
      <c r="E245" s="179">
        <f>IF(AND($B$234&gt;0,$B$8&gt;0),MIN($B$234*$B$17,$B$13*MAX(C245-D245,0)),0)</f>
        <v/>
      </c>
      <c r="F245" s="179">
        <f>MAX(C245-D245-E245,0)</f>
        <v/>
      </c>
      <c r="G245" s="182">
        <f>$B$8</f>
        <v/>
      </c>
      <c r="H245" s="179">
        <f>F245*G245</f>
        <v/>
      </c>
      <c r="I245" s="179">
        <f>MAX(C245-D245,0)*G245-H245</f>
        <v/>
      </c>
      <c r="J245" s="179">
        <f>(1-$B$11)*E245</f>
        <v/>
      </c>
      <c r="K245" s="174">
        <f>B245+C245-D245-H245-J245</f>
        <v/>
      </c>
    </row>
    <row r="246" hidden="1" outlineLevel="1">
      <c r="A246" s="178" t="n">
        <v>11</v>
      </c>
      <c r="B246" s="179">
        <f>K245</f>
        <v/>
      </c>
      <c r="C246" s="179">
        <f>(MIN(B246,$B$15)*$B$6+MAX(B246-$B$15,0)*$B$16*$B$7/12)</f>
        <v/>
      </c>
      <c r="D246" s="179">
        <f>$B$9</f>
        <v/>
      </c>
      <c r="E246" s="179">
        <f>IF(AND($B$234&gt;0,$B$8&gt;0),MIN($B$234*$B$17,$B$13*MAX(C246-D246,0)),0)</f>
        <v/>
      </c>
      <c r="F246" s="179">
        <f>MAX(C246-D246-E246,0)</f>
        <v/>
      </c>
      <c r="G246" s="182">
        <f>$B$8</f>
        <v/>
      </c>
      <c r="H246" s="179">
        <f>F246*G246</f>
        <v/>
      </c>
      <c r="I246" s="179">
        <f>MAX(C246-D246,0)*G246-H246</f>
        <v/>
      </c>
      <c r="J246" s="179">
        <f>(1-$B$11)*E246</f>
        <v/>
      </c>
      <c r="K246" s="174">
        <f>B246+C246-D246-H246-J246</f>
        <v/>
      </c>
    </row>
    <row r="247" hidden="1" outlineLevel="1">
      <c r="A247" s="178" t="n">
        <v>12</v>
      </c>
      <c r="B247" s="179">
        <f>K246</f>
        <v/>
      </c>
      <c r="C247" s="179">
        <f>(MIN(B247,$B$15)*$B$6+MAX(B247-$B$15,0)*$B$16*$B$7/12)</f>
        <v/>
      </c>
      <c r="D247" s="179">
        <f>$B$9</f>
        <v/>
      </c>
      <c r="E247" s="179">
        <f>IF(AND($B$234&gt;0,$B$8&gt;0),MIN($B$234*$B$17,$B$13*MAX(C247-D247,0)),0)</f>
        <v/>
      </c>
      <c r="F247" s="179">
        <f>MAX(C247-D247-E247,0)</f>
        <v/>
      </c>
      <c r="G247" s="182">
        <f>$B$8</f>
        <v/>
      </c>
      <c r="H247" s="179">
        <f>F247*G247</f>
        <v/>
      </c>
      <c r="I247" s="179">
        <f>MAX(C247-D247,0)*G247-H247</f>
        <v/>
      </c>
      <c r="J247" s="179">
        <f>(1-$B$11)*E247</f>
        <v/>
      </c>
      <c r="K247" s="174">
        <f>B247+C247-D247-H247-J247</f>
        <v/>
      </c>
    </row>
    <row r="248" hidden="1" outlineLevel="1">
      <c r="A248" s="178" t="n">
        <v>13</v>
      </c>
      <c r="B248" s="179">
        <f>K247</f>
        <v/>
      </c>
      <c r="C248" s="179">
        <f>(MIN(B248,$B$15)*$B$6+MAX(B248-$B$15,0)*$B$16*$B$7/12)</f>
        <v/>
      </c>
      <c r="D248" s="179">
        <f>$B$9</f>
        <v/>
      </c>
      <c r="E248" s="179">
        <f>IF(AND($B$234&gt;0,$B$8&gt;0),MIN($B$234*$B$17,$B$13*MAX(C248-D248,0)),0)</f>
        <v/>
      </c>
      <c r="F248" s="179">
        <f>MAX(C248-D248-E248,0)</f>
        <v/>
      </c>
      <c r="G248" s="182">
        <f>$B$8</f>
        <v/>
      </c>
      <c r="H248" s="179">
        <f>F248*G248</f>
        <v/>
      </c>
      <c r="I248" s="179">
        <f>MAX(C248-D248,0)*G248-H248</f>
        <v/>
      </c>
      <c r="J248" s="179">
        <f>(1-$B$11)*E248</f>
        <v/>
      </c>
      <c r="K248" s="174">
        <f>B248+C248-D248-H248-J248</f>
        <v/>
      </c>
    </row>
    <row r="249" hidden="1" outlineLevel="1">
      <c r="A249" s="178" t="n">
        <v>14</v>
      </c>
      <c r="B249" s="179">
        <f>K248</f>
        <v/>
      </c>
      <c r="C249" s="179">
        <f>(MIN(B249,$B$15)*$B$6+MAX(B249-$B$15,0)*$B$16*$B$7/12)</f>
        <v/>
      </c>
      <c r="D249" s="179">
        <f>$B$9</f>
        <v/>
      </c>
      <c r="E249" s="179">
        <f>IF(AND($B$234&gt;0,$B$8&gt;0),MIN($B$234*$B$17,$B$13*MAX(C249-D249,0)),0)</f>
        <v/>
      </c>
      <c r="F249" s="179">
        <f>MAX(C249-D249-E249,0)</f>
        <v/>
      </c>
      <c r="G249" s="182">
        <f>$B$8</f>
        <v/>
      </c>
      <c r="H249" s="179">
        <f>F249*G249</f>
        <v/>
      </c>
      <c r="I249" s="179">
        <f>MAX(C249-D249,0)*G249-H249</f>
        <v/>
      </c>
      <c r="J249" s="179">
        <f>(1-$B$11)*E249</f>
        <v/>
      </c>
      <c r="K249" s="174">
        <f>B249+C249-D249-H249-J249</f>
        <v/>
      </c>
    </row>
    <row r="250" hidden="1" outlineLevel="1">
      <c r="A250" s="178" t="n">
        <v>15</v>
      </c>
      <c r="B250" s="179">
        <f>K249</f>
        <v/>
      </c>
      <c r="C250" s="179">
        <f>(MIN(B250,$B$15)*$B$6+MAX(B250-$B$15,0)*$B$16*$B$7/12)</f>
        <v/>
      </c>
      <c r="D250" s="179">
        <f>$B$9</f>
        <v/>
      </c>
      <c r="E250" s="179">
        <f>IF(AND($B$234&gt;0,$B$8&gt;0),MIN($B$234*$B$17,$B$13*MAX(C250-D250,0)),0)</f>
        <v/>
      </c>
      <c r="F250" s="179">
        <f>MAX(C250-D250-E250,0)</f>
        <v/>
      </c>
      <c r="G250" s="182">
        <f>$B$8</f>
        <v/>
      </c>
      <c r="H250" s="179">
        <f>F250*G250</f>
        <v/>
      </c>
      <c r="I250" s="179">
        <f>MAX(C250-D250,0)*G250-H250</f>
        <v/>
      </c>
      <c r="J250" s="179">
        <f>(1-$B$11)*E250</f>
        <v/>
      </c>
      <c r="K250" s="174">
        <f>B250+C250-D250-H250-J250</f>
        <v/>
      </c>
    </row>
    <row r="251" hidden="1" outlineLevel="1">
      <c r="A251" s="178" t="n">
        <v>16</v>
      </c>
      <c r="B251" s="179">
        <f>K250</f>
        <v/>
      </c>
      <c r="C251" s="179">
        <f>(MIN(B251,$B$15)*$B$6+MAX(B251-$B$15,0)*$B$16*$B$7/12)</f>
        <v/>
      </c>
      <c r="D251" s="179">
        <f>$B$9</f>
        <v/>
      </c>
      <c r="E251" s="179">
        <f>IF(AND($B$234&gt;0,$B$8&gt;0),MIN($B$234*$B$17,$B$13*MAX(C251-D251,0)),0)</f>
        <v/>
      </c>
      <c r="F251" s="179">
        <f>MAX(C251-D251-E251,0)</f>
        <v/>
      </c>
      <c r="G251" s="182">
        <f>$B$8</f>
        <v/>
      </c>
      <c r="H251" s="179">
        <f>F251*G251</f>
        <v/>
      </c>
      <c r="I251" s="179">
        <f>MAX(C251-D251,0)*G251-H251</f>
        <v/>
      </c>
      <c r="J251" s="179">
        <f>(1-$B$11)*E251</f>
        <v/>
      </c>
      <c r="K251" s="174">
        <f>B251+C251-D251-H251-J251</f>
        <v/>
      </c>
    </row>
    <row r="252" hidden="1" outlineLevel="1">
      <c r="A252" s="178" t="n">
        <v>17</v>
      </c>
      <c r="B252" s="179">
        <f>K251</f>
        <v/>
      </c>
      <c r="C252" s="179">
        <f>(MIN(B252,$B$15)*$B$6+MAX(B252-$B$15,0)*$B$16*$B$7/12)</f>
        <v/>
      </c>
      <c r="D252" s="179">
        <f>$B$9</f>
        <v/>
      </c>
      <c r="E252" s="179">
        <f>IF(AND($B$234&gt;0,$B$8&gt;0),MIN($B$234*$B$17,$B$13*MAX(C252-D252,0)),0)</f>
        <v/>
      </c>
      <c r="F252" s="179">
        <f>MAX(C252-D252-E252,0)</f>
        <v/>
      </c>
      <c r="G252" s="182">
        <f>$B$8</f>
        <v/>
      </c>
      <c r="H252" s="179">
        <f>F252*G252</f>
        <v/>
      </c>
      <c r="I252" s="179">
        <f>MAX(C252-D252,0)*G252-H252</f>
        <v/>
      </c>
      <c r="J252" s="179">
        <f>(1-$B$11)*E252</f>
        <v/>
      </c>
      <c r="K252" s="174">
        <f>B252+C252-D252-H252-J252</f>
        <v/>
      </c>
    </row>
    <row r="253" hidden="1" outlineLevel="1">
      <c r="A253" s="178" t="n">
        <v>18</v>
      </c>
      <c r="B253" s="179">
        <f>K252</f>
        <v/>
      </c>
      <c r="C253" s="179">
        <f>(MIN(B253,$B$15)*$B$6+MAX(B253-$B$15,0)*$B$16*$B$7/12)</f>
        <v/>
      </c>
      <c r="D253" s="179">
        <f>$B$9</f>
        <v/>
      </c>
      <c r="E253" s="179">
        <f>IF(AND($B$234&gt;0,$B$8&gt;0),MIN($B$234*$B$17,$B$13*MAX(C253-D253,0)),0)</f>
        <v/>
      </c>
      <c r="F253" s="179">
        <f>MAX(C253-D253-E253,0)</f>
        <v/>
      </c>
      <c r="G253" s="182">
        <f>$B$8</f>
        <v/>
      </c>
      <c r="H253" s="179">
        <f>F253*G253</f>
        <v/>
      </c>
      <c r="I253" s="179">
        <f>MAX(C253-D253,0)*G253-H253</f>
        <v/>
      </c>
      <c r="J253" s="179">
        <f>(1-$B$11)*E253</f>
        <v/>
      </c>
      <c r="K253" s="174">
        <f>B253+C253-D253-H253-J253</f>
        <v/>
      </c>
    </row>
    <row r="254" hidden="1" outlineLevel="1">
      <c r="A254" s="178" t="n">
        <v>19</v>
      </c>
      <c r="B254" s="179">
        <f>K253</f>
        <v/>
      </c>
      <c r="C254" s="179">
        <f>(MIN(B254,$B$15)*$B$6+MAX(B254-$B$15,0)*$B$16*$B$7/12)</f>
        <v/>
      </c>
      <c r="D254" s="179">
        <f>$B$9</f>
        <v/>
      </c>
      <c r="E254" s="179">
        <f>IF(AND($B$234&gt;0,$B$8&gt;0),MIN($B$234*$B$17,$B$13*MAX(C254-D254,0)),0)</f>
        <v/>
      </c>
      <c r="F254" s="179">
        <f>MAX(C254-D254-E254,0)</f>
        <v/>
      </c>
      <c r="G254" s="182">
        <f>$B$8</f>
        <v/>
      </c>
      <c r="H254" s="179">
        <f>F254*G254</f>
        <v/>
      </c>
      <c r="I254" s="179">
        <f>MAX(C254-D254,0)*G254-H254</f>
        <v/>
      </c>
      <c r="J254" s="179">
        <f>(1-$B$11)*E254</f>
        <v/>
      </c>
      <c r="K254" s="174">
        <f>B254+C254-D254-H254-J254</f>
        <v/>
      </c>
    </row>
    <row r="255" hidden="1" outlineLevel="1">
      <c r="A255" s="178" t="n">
        <v>20</v>
      </c>
      <c r="B255" s="179">
        <f>K254</f>
        <v/>
      </c>
      <c r="C255" s="179">
        <f>(MIN(B255,$B$15)*$B$6+MAX(B255-$B$15,0)*$B$16*$B$7/12)</f>
        <v/>
      </c>
      <c r="D255" s="179">
        <f>$B$9</f>
        <v/>
      </c>
      <c r="E255" s="179">
        <f>IF(AND($B$234&gt;0,$B$8&gt;0),MIN($B$234*$B$17,$B$13*MAX(C255-D255,0)),0)</f>
        <v/>
      </c>
      <c r="F255" s="179">
        <f>MAX(C255-D255-E255,0)</f>
        <v/>
      </c>
      <c r="G255" s="182">
        <f>$B$8</f>
        <v/>
      </c>
      <c r="H255" s="179">
        <f>F255*G255</f>
        <v/>
      </c>
      <c r="I255" s="179">
        <f>MAX(C255-D255,0)*G255-H255</f>
        <v/>
      </c>
      <c r="J255" s="179">
        <f>(1-$B$11)*E255</f>
        <v/>
      </c>
      <c r="K255" s="174">
        <f>B255+C255-D255-H255-J255</f>
        <v/>
      </c>
    </row>
    <row r="256" hidden="1" outlineLevel="1"/>
    <row r="257" hidden="1" outlineLevel="1"/>
    <row r="258" hidden="1" outlineLevel="1" ht="20" customHeight="1">
      <c r="A258" s="154" t="inlineStr">
        <is>
          <t>COMPANY + 5 MEMBERS</t>
        </is>
      </c>
      <c r="B258" s="155" t="n"/>
      <c r="C258" s="155" t="n"/>
      <c r="D258" s="155" t="n"/>
      <c r="E258" s="155" t="n"/>
      <c r="F258" s="155" t="n"/>
      <c r="G258" s="155" t="n"/>
      <c r="H258" s="155" t="n"/>
      <c r="I258" s="155" t="n"/>
      <c r="J258" s="155" t="n"/>
      <c r="K258" s="155" t="n"/>
      <c r="L258" s="155" t="n"/>
      <c r="M258" s="155" t="n"/>
      <c r="N258" s="155" t="n"/>
      <c r="O258" s="155" t="n"/>
      <c r="P258" s="155" t="n"/>
      <c r="Q258" s="155" t="n"/>
      <c r="R258" s="155" t="n"/>
      <c r="S258" s="155" t="n"/>
    </row>
    <row r="259" hidden="1" outlineLevel="1">
      <c r="A259" s="164" t="inlineStr">
        <is>
          <t>Members</t>
        </is>
      </c>
      <c r="B259" s="178" t="n">
        <v>5</v>
      </c>
    </row>
    <row r="260" hidden="1" outlineLevel="1" ht="32" customHeight="1">
      <c r="A260" s="156" t="inlineStr">
        <is>
          <t>Cycle</t>
        </is>
      </c>
      <c r="B260" s="156" t="inlineStr">
        <is>
          <t>Start ₹ Cr</t>
        </is>
      </c>
      <c r="C260" s="156" t="inlineStr">
        <is>
          <t>Gross gain ₹ Cr</t>
        </is>
      </c>
      <c r="D260" s="156" t="inlineStr">
        <is>
          <t>Running cost ₹ Cr</t>
        </is>
      </c>
      <c r="E260" s="156" t="inlineStr">
        <is>
          <t>Salary ₹ Cr</t>
        </is>
      </c>
      <c r="F260" s="156" t="inlineStr">
        <is>
          <t>Taxable ₹ Cr</t>
        </is>
      </c>
      <c r="G260" s="156" t="inlineStr">
        <is>
          <t>Tax rate</t>
        </is>
      </c>
      <c r="H260" s="156" t="inlineStr">
        <is>
          <t>Tax ₹ Cr</t>
        </is>
      </c>
      <c r="I260" s="156" t="inlineStr">
        <is>
          <t>Tax saved by payroll ₹ Cr</t>
        </is>
      </c>
      <c r="J260" s="156" t="inlineStr">
        <is>
          <t>Net leakage ₹ Cr</t>
        </is>
      </c>
      <c r="K260" s="156" t="inlineStr">
        <is>
          <t>End ₹ Cr</t>
        </is>
      </c>
    </row>
    <row r="261" hidden="1" outlineLevel="1">
      <c r="A261" s="178" t="n">
        <v>1</v>
      </c>
      <c r="B261" s="179">
        <f>$B$5</f>
        <v/>
      </c>
      <c r="C261" s="179">
        <f>(MIN(B261,$B$15)*$B$6+MAX(B261-$B$15,0)*$B$16*$B$7/12)</f>
        <v/>
      </c>
      <c r="D261" s="179">
        <f>$B$9</f>
        <v/>
      </c>
      <c r="E261" s="179">
        <f>IF(AND($B$259&gt;0,$B$8&gt;0),MIN($B$259*$B$17,$B$13*MAX(C261-D261,0)),0)</f>
        <v/>
      </c>
      <c r="F261" s="179">
        <f>MAX(C261-D261-E261,0)</f>
        <v/>
      </c>
      <c r="G261" s="182">
        <f>$B$8</f>
        <v/>
      </c>
      <c r="H261" s="179">
        <f>F261*G261</f>
        <v/>
      </c>
      <c r="I261" s="179">
        <f>MAX(C261-D261,0)*G261-H261</f>
        <v/>
      </c>
      <c r="J261" s="179">
        <f>(1-$B$11)*E261</f>
        <v/>
      </c>
      <c r="K261" s="174">
        <f>B261+C261-D261-H261-J261</f>
        <v/>
      </c>
    </row>
    <row r="262" hidden="1" outlineLevel="1">
      <c r="A262" s="178" t="n">
        <v>2</v>
      </c>
      <c r="B262" s="179">
        <f>K261</f>
        <v/>
      </c>
      <c r="C262" s="179">
        <f>(MIN(B262,$B$15)*$B$6+MAX(B262-$B$15,0)*$B$16*$B$7/12)</f>
        <v/>
      </c>
      <c r="D262" s="179">
        <f>$B$9</f>
        <v/>
      </c>
      <c r="E262" s="179">
        <f>IF(AND($B$259&gt;0,$B$8&gt;0),MIN($B$259*$B$17,$B$13*MAX(C262-D262,0)),0)</f>
        <v/>
      </c>
      <c r="F262" s="179">
        <f>MAX(C262-D262-E262,0)</f>
        <v/>
      </c>
      <c r="G262" s="182">
        <f>$B$8</f>
        <v/>
      </c>
      <c r="H262" s="179">
        <f>F262*G262</f>
        <v/>
      </c>
      <c r="I262" s="179">
        <f>MAX(C262-D262,0)*G262-H262</f>
        <v/>
      </c>
      <c r="J262" s="179">
        <f>(1-$B$11)*E262</f>
        <v/>
      </c>
      <c r="K262" s="174">
        <f>B262+C262-D262-H262-J262</f>
        <v/>
      </c>
    </row>
    <row r="263" hidden="1" outlineLevel="1">
      <c r="A263" s="178" t="n">
        <v>3</v>
      </c>
      <c r="B263" s="179">
        <f>K262</f>
        <v/>
      </c>
      <c r="C263" s="179">
        <f>(MIN(B263,$B$15)*$B$6+MAX(B263-$B$15,0)*$B$16*$B$7/12)</f>
        <v/>
      </c>
      <c r="D263" s="179">
        <f>$B$9</f>
        <v/>
      </c>
      <c r="E263" s="179">
        <f>IF(AND($B$259&gt;0,$B$8&gt;0),MIN($B$259*$B$17,$B$13*MAX(C263-D263,0)),0)</f>
        <v/>
      </c>
      <c r="F263" s="179">
        <f>MAX(C263-D263-E263,0)</f>
        <v/>
      </c>
      <c r="G263" s="182">
        <f>$B$8</f>
        <v/>
      </c>
      <c r="H263" s="179">
        <f>F263*G263</f>
        <v/>
      </c>
      <c r="I263" s="179">
        <f>MAX(C263-D263,0)*G263-H263</f>
        <v/>
      </c>
      <c r="J263" s="179">
        <f>(1-$B$11)*E263</f>
        <v/>
      </c>
      <c r="K263" s="174">
        <f>B263+C263-D263-H263-J263</f>
        <v/>
      </c>
    </row>
    <row r="264" hidden="1" outlineLevel="1">
      <c r="A264" s="178" t="n">
        <v>4</v>
      </c>
      <c r="B264" s="179">
        <f>K263</f>
        <v/>
      </c>
      <c r="C264" s="179">
        <f>(MIN(B264,$B$15)*$B$6+MAX(B264-$B$15,0)*$B$16*$B$7/12)</f>
        <v/>
      </c>
      <c r="D264" s="179">
        <f>$B$9</f>
        <v/>
      </c>
      <c r="E264" s="179">
        <f>IF(AND($B$259&gt;0,$B$8&gt;0),MIN($B$259*$B$17,$B$13*MAX(C264-D264,0)),0)</f>
        <v/>
      </c>
      <c r="F264" s="179">
        <f>MAX(C264-D264-E264,0)</f>
        <v/>
      </c>
      <c r="G264" s="182">
        <f>$B$8</f>
        <v/>
      </c>
      <c r="H264" s="179">
        <f>F264*G264</f>
        <v/>
      </c>
      <c r="I264" s="179">
        <f>MAX(C264-D264,0)*G264-H264</f>
        <v/>
      </c>
      <c r="J264" s="179">
        <f>(1-$B$11)*E264</f>
        <v/>
      </c>
      <c r="K264" s="174">
        <f>B264+C264-D264-H264-J264</f>
        <v/>
      </c>
    </row>
    <row r="265" hidden="1" outlineLevel="1">
      <c r="A265" s="178" t="n">
        <v>5</v>
      </c>
      <c r="B265" s="179">
        <f>K264</f>
        <v/>
      </c>
      <c r="C265" s="179">
        <f>(MIN(B265,$B$15)*$B$6+MAX(B265-$B$15,0)*$B$16*$B$7/12)</f>
        <v/>
      </c>
      <c r="D265" s="179">
        <f>$B$9</f>
        <v/>
      </c>
      <c r="E265" s="179">
        <f>IF(AND($B$259&gt;0,$B$8&gt;0),MIN($B$259*$B$17,$B$13*MAX(C265-D265,0)),0)</f>
        <v/>
      </c>
      <c r="F265" s="179">
        <f>MAX(C265-D265-E265,0)</f>
        <v/>
      </c>
      <c r="G265" s="182">
        <f>$B$8</f>
        <v/>
      </c>
      <c r="H265" s="179">
        <f>F265*G265</f>
        <v/>
      </c>
      <c r="I265" s="179">
        <f>MAX(C265-D265,0)*G265-H265</f>
        <v/>
      </c>
      <c r="J265" s="179">
        <f>(1-$B$11)*E265</f>
        <v/>
      </c>
      <c r="K265" s="174">
        <f>B265+C265-D265-H265-J265</f>
        <v/>
      </c>
    </row>
    <row r="266" hidden="1" outlineLevel="1">
      <c r="A266" s="178" t="n">
        <v>6</v>
      </c>
      <c r="B266" s="179">
        <f>K265</f>
        <v/>
      </c>
      <c r="C266" s="179">
        <f>(MIN(B266,$B$15)*$B$6+MAX(B266-$B$15,0)*$B$16*$B$7/12)</f>
        <v/>
      </c>
      <c r="D266" s="179">
        <f>$B$9</f>
        <v/>
      </c>
      <c r="E266" s="179">
        <f>IF(AND($B$259&gt;0,$B$8&gt;0),MIN($B$259*$B$17,$B$13*MAX(C266-D266,0)),0)</f>
        <v/>
      </c>
      <c r="F266" s="179">
        <f>MAX(C266-D266-E266,0)</f>
        <v/>
      </c>
      <c r="G266" s="182">
        <f>$B$8</f>
        <v/>
      </c>
      <c r="H266" s="179">
        <f>F266*G266</f>
        <v/>
      </c>
      <c r="I266" s="179">
        <f>MAX(C266-D266,0)*G266-H266</f>
        <v/>
      </c>
      <c r="J266" s="179">
        <f>(1-$B$11)*E266</f>
        <v/>
      </c>
      <c r="K266" s="174">
        <f>B266+C266-D266-H266-J266</f>
        <v/>
      </c>
    </row>
    <row r="267" hidden="1" outlineLevel="1">
      <c r="A267" s="178" t="n">
        <v>7</v>
      </c>
      <c r="B267" s="179">
        <f>K266</f>
        <v/>
      </c>
      <c r="C267" s="179">
        <f>(MIN(B267,$B$15)*$B$6+MAX(B267-$B$15,0)*$B$16*$B$7/12)</f>
        <v/>
      </c>
      <c r="D267" s="179">
        <f>$B$9</f>
        <v/>
      </c>
      <c r="E267" s="179">
        <f>IF(AND($B$259&gt;0,$B$8&gt;0),MIN($B$259*$B$17,$B$13*MAX(C267-D267,0)),0)</f>
        <v/>
      </c>
      <c r="F267" s="179">
        <f>MAX(C267-D267-E267,0)</f>
        <v/>
      </c>
      <c r="G267" s="182">
        <f>$B$8</f>
        <v/>
      </c>
      <c r="H267" s="179">
        <f>F267*G267</f>
        <v/>
      </c>
      <c r="I267" s="179">
        <f>MAX(C267-D267,0)*G267-H267</f>
        <v/>
      </c>
      <c r="J267" s="179">
        <f>(1-$B$11)*E267</f>
        <v/>
      </c>
      <c r="K267" s="174">
        <f>B267+C267-D267-H267-J267</f>
        <v/>
      </c>
    </row>
    <row r="268" hidden="1" outlineLevel="1">
      <c r="A268" s="178" t="n">
        <v>8</v>
      </c>
      <c r="B268" s="179">
        <f>K267</f>
        <v/>
      </c>
      <c r="C268" s="179">
        <f>(MIN(B268,$B$15)*$B$6+MAX(B268-$B$15,0)*$B$16*$B$7/12)</f>
        <v/>
      </c>
      <c r="D268" s="179">
        <f>$B$9</f>
        <v/>
      </c>
      <c r="E268" s="179">
        <f>IF(AND($B$259&gt;0,$B$8&gt;0),MIN($B$259*$B$17,$B$13*MAX(C268-D268,0)),0)</f>
        <v/>
      </c>
      <c r="F268" s="179">
        <f>MAX(C268-D268-E268,0)</f>
        <v/>
      </c>
      <c r="G268" s="182">
        <f>$B$8</f>
        <v/>
      </c>
      <c r="H268" s="179">
        <f>F268*G268</f>
        <v/>
      </c>
      <c r="I268" s="179">
        <f>MAX(C268-D268,0)*G268-H268</f>
        <v/>
      </c>
      <c r="J268" s="179">
        <f>(1-$B$11)*E268</f>
        <v/>
      </c>
      <c r="K268" s="174">
        <f>B268+C268-D268-H268-J268</f>
        <v/>
      </c>
    </row>
    <row r="269" hidden="1" outlineLevel="1">
      <c r="A269" s="178" t="n">
        <v>9</v>
      </c>
      <c r="B269" s="179">
        <f>K268</f>
        <v/>
      </c>
      <c r="C269" s="179">
        <f>(MIN(B269,$B$15)*$B$6+MAX(B269-$B$15,0)*$B$16*$B$7/12)</f>
        <v/>
      </c>
      <c r="D269" s="179">
        <f>$B$9</f>
        <v/>
      </c>
      <c r="E269" s="179">
        <f>IF(AND($B$259&gt;0,$B$8&gt;0),MIN($B$259*$B$17,$B$13*MAX(C269-D269,0)),0)</f>
        <v/>
      </c>
      <c r="F269" s="179">
        <f>MAX(C269-D269-E269,0)</f>
        <v/>
      </c>
      <c r="G269" s="182">
        <f>$B$8</f>
        <v/>
      </c>
      <c r="H269" s="179">
        <f>F269*G269</f>
        <v/>
      </c>
      <c r="I269" s="179">
        <f>MAX(C269-D269,0)*G269-H269</f>
        <v/>
      </c>
      <c r="J269" s="179">
        <f>(1-$B$11)*E269</f>
        <v/>
      </c>
      <c r="K269" s="174">
        <f>B269+C269-D269-H269-J269</f>
        <v/>
      </c>
    </row>
    <row r="270" hidden="1" outlineLevel="1">
      <c r="A270" s="178" t="n">
        <v>10</v>
      </c>
      <c r="B270" s="179">
        <f>K269</f>
        <v/>
      </c>
      <c r="C270" s="179">
        <f>(MIN(B270,$B$15)*$B$6+MAX(B270-$B$15,0)*$B$16*$B$7/12)</f>
        <v/>
      </c>
      <c r="D270" s="179">
        <f>$B$9</f>
        <v/>
      </c>
      <c r="E270" s="179">
        <f>IF(AND($B$259&gt;0,$B$8&gt;0),MIN($B$259*$B$17,$B$13*MAX(C270-D270,0)),0)</f>
        <v/>
      </c>
      <c r="F270" s="179">
        <f>MAX(C270-D270-E270,0)</f>
        <v/>
      </c>
      <c r="G270" s="182">
        <f>$B$8</f>
        <v/>
      </c>
      <c r="H270" s="179">
        <f>F270*G270</f>
        <v/>
      </c>
      <c r="I270" s="179">
        <f>MAX(C270-D270,0)*G270-H270</f>
        <v/>
      </c>
      <c r="J270" s="179">
        <f>(1-$B$11)*E270</f>
        <v/>
      </c>
      <c r="K270" s="174">
        <f>B270+C270-D270-H270-J270</f>
        <v/>
      </c>
    </row>
    <row r="271" hidden="1" outlineLevel="1">
      <c r="A271" s="178" t="n">
        <v>11</v>
      </c>
      <c r="B271" s="179">
        <f>K270</f>
        <v/>
      </c>
      <c r="C271" s="179">
        <f>(MIN(B271,$B$15)*$B$6+MAX(B271-$B$15,0)*$B$16*$B$7/12)</f>
        <v/>
      </c>
      <c r="D271" s="179">
        <f>$B$9</f>
        <v/>
      </c>
      <c r="E271" s="179">
        <f>IF(AND($B$259&gt;0,$B$8&gt;0),MIN($B$259*$B$17,$B$13*MAX(C271-D271,0)),0)</f>
        <v/>
      </c>
      <c r="F271" s="179">
        <f>MAX(C271-D271-E271,0)</f>
        <v/>
      </c>
      <c r="G271" s="182">
        <f>$B$8</f>
        <v/>
      </c>
      <c r="H271" s="179">
        <f>F271*G271</f>
        <v/>
      </c>
      <c r="I271" s="179">
        <f>MAX(C271-D271,0)*G271-H271</f>
        <v/>
      </c>
      <c r="J271" s="179">
        <f>(1-$B$11)*E271</f>
        <v/>
      </c>
      <c r="K271" s="174">
        <f>B271+C271-D271-H271-J271</f>
        <v/>
      </c>
    </row>
    <row r="272" hidden="1" outlineLevel="1">
      <c r="A272" s="178" t="n">
        <v>12</v>
      </c>
      <c r="B272" s="179">
        <f>K271</f>
        <v/>
      </c>
      <c r="C272" s="179">
        <f>(MIN(B272,$B$15)*$B$6+MAX(B272-$B$15,0)*$B$16*$B$7/12)</f>
        <v/>
      </c>
      <c r="D272" s="179">
        <f>$B$9</f>
        <v/>
      </c>
      <c r="E272" s="179">
        <f>IF(AND($B$259&gt;0,$B$8&gt;0),MIN($B$259*$B$17,$B$13*MAX(C272-D272,0)),0)</f>
        <v/>
      </c>
      <c r="F272" s="179">
        <f>MAX(C272-D272-E272,0)</f>
        <v/>
      </c>
      <c r="G272" s="182">
        <f>$B$8</f>
        <v/>
      </c>
      <c r="H272" s="179">
        <f>F272*G272</f>
        <v/>
      </c>
      <c r="I272" s="179">
        <f>MAX(C272-D272,0)*G272-H272</f>
        <v/>
      </c>
      <c r="J272" s="179">
        <f>(1-$B$11)*E272</f>
        <v/>
      </c>
      <c r="K272" s="174">
        <f>B272+C272-D272-H272-J272</f>
        <v/>
      </c>
    </row>
    <row r="273" hidden="1" outlineLevel="1">
      <c r="A273" s="178" t="n">
        <v>13</v>
      </c>
      <c r="B273" s="179">
        <f>K272</f>
        <v/>
      </c>
      <c r="C273" s="179">
        <f>(MIN(B273,$B$15)*$B$6+MAX(B273-$B$15,0)*$B$16*$B$7/12)</f>
        <v/>
      </c>
      <c r="D273" s="179">
        <f>$B$9</f>
        <v/>
      </c>
      <c r="E273" s="179">
        <f>IF(AND($B$259&gt;0,$B$8&gt;0),MIN($B$259*$B$17,$B$13*MAX(C273-D273,0)),0)</f>
        <v/>
      </c>
      <c r="F273" s="179">
        <f>MAX(C273-D273-E273,0)</f>
        <v/>
      </c>
      <c r="G273" s="182">
        <f>$B$8</f>
        <v/>
      </c>
      <c r="H273" s="179">
        <f>F273*G273</f>
        <v/>
      </c>
      <c r="I273" s="179">
        <f>MAX(C273-D273,0)*G273-H273</f>
        <v/>
      </c>
      <c r="J273" s="179">
        <f>(1-$B$11)*E273</f>
        <v/>
      </c>
      <c r="K273" s="174">
        <f>B273+C273-D273-H273-J273</f>
        <v/>
      </c>
    </row>
    <row r="274" hidden="1" outlineLevel="1">
      <c r="A274" s="178" t="n">
        <v>14</v>
      </c>
      <c r="B274" s="179">
        <f>K273</f>
        <v/>
      </c>
      <c r="C274" s="179">
        <f>(MIN(B274,$B$15)*$B$6+MAX(B274-$B$15,0)*$B$16*$B$7/12)</f>
        <v/>
      </c>
      <c r="D274" s="179">
        <f>$B$9</f>
        <v/>
      </c>
      <c r="E274" s="179">
        <f>IF(AND($B$259&gt;0,$B$8&gt;0),MIN($B$259*$B$17,$B$13*MAX(C274-D274,0)),0)</f>
        <v/>
      </c>
      <c r="F274" s="179">
        <f>MAX(C274-D274-E274,0)</f>
        <v/>
      </c>
      <c r="G274" s="182">
        <f>$B$8</f>
        <v/>
      </c>
      <c r="H274" s="179">
        <f>F274*G274</f>
        <v/>
      </c>
      <c r="I274" s="179">
        <f>MAX(C274-D274,0)*G274-H274</f>
        <v/>
      </c>
      <c r="J274" s="179">
        <f>(1-$B$11)*E274</f>
        <v/>
      </c>
      <c r="K274" s="174">
        <f>B274+C274-D274-H274-J274</f>
        <v/>
      </c>
    </row>
    <row r="275" hidden="1" outlineLevel="1">
      <c r="A275" s="178" t="n">
        <v>15</v>
      </c>
      <c r="B275" s="179">
        <f>K274</f>
        <v/>
      </c>
      <c r="C275" s="179">
        <f>(MIN(B275,$B$15)*$B$6+MAX(B275-$B$15,0)*$B$16*$B$7/12)</f>
        <v/>
      </c>
      <c r="D275" s="179">
        <f>$B$9</f>
        <v/>
      </c>
      <c r="E275" s="179">
        <f>IF(AND($B$259&gt;0,$B$8&gt;0),MIN($B$259*$B$17,$B$13*MAX(C275-D275,0)),0)</f>
        <v/>
      </c>
      <c r="F275" s="179">
        <f>MAX(C275-D275-E275,0)</f>
        <v/>
      </c>
      <c r="G275" s="182">
        <f>$B$8</f>
        <v/>
      </c>
      <c r="H275" s="179">
        <f>F275*G275</f>
        <v/>
      </c>
      <c r="I275" s="179">
        <f>MAX(C275-D275,0)*G275-H275</f>
        <v/>
      </c>
      <c r="J275" s="179">
        <f>(1-$B$11)*E275</f>
        <v/>
      </c>
      <c r="K275" s="174">
        <f>B275+C275-D275-H275-J275</f>
        <v/>
      </c>
    </row>
    <row r="276" hidden="1" outlineLevel="1">
      <c r="A276" s="178" t="n">
        <v>16</v>
      </c>
      <c r="B276" s="179">
        <f>K275</f>
        <v/>
      </c>
      <c r="C276" s="179">
        <f>(MIN(B276,$B$15)*$B$6+MAX(B276-$B$15,0)*$B$16*$B$7/12)</f>
        <v/>
      </c>
      <c r="D276" s="179">
        <f>$B$9</f>
        <v/>
      </c>
      <c r="E276" s="179">
        <f>IF(AND($B$259&gt;0,$B$8&gt;0),MIN($B$259*$B$17,$B$13*MAX(C276-D276,0)),0)</f>
        <v/>
      </c>
      <c r="F276" s="179">
        <f>MAX(C276-D276-E276,0)</f>
        <v/>
      </c>
      <c r="G276" s="182">
        <f>$B$8</f>
        <v/>
      </c>
      <c r="H276" s="179">
        <f>F276*G276</f>
        <v/>
      </c>
      <c r="I276" s="179">
        <f>MAX(C276-D276,0)*G276-H276</f>
        <v/>
      </c>
      <c r="J276" s="179">
        <f>(1-$B$11)*E276</f>
        <v/>
      </c>
      <c r="K276" s="174">
        <f>B276+C276-D276-H276-J276</f>
        <v/>
      </c>
    </row>
    <row r="277" hidden="1" outlineLevel="1">
      <c r="A277" s="178" t="n">
        <v>17</v>
      </c>
      <c r="B277" s="179">
        <f>K276</f>
        <v/>
      </c>
      <c r="C277" s="179">
        <f>(MIN(B277,$B$15)*$B$6+MAX(B277-$B$15,0)*$B$16*$B$7/12)</f>
        <v/>
      </c>
      <c r="D277" s="179">
        <f>$B$9</f>
        <v/>
      </c>
      <c r="E277" s="179">
        <f>IF(AND($B$259&gt;0,$B$8&gt;0),MIN($B$259*$B$17,$B$13*MAX(C277-D277,0)),0)</f>
        <v/>
      </c>
      <c r="F277" s="179">
        <f>MAX(C277-D277-E277,0)</f>
        <v/>
      </c>
      <c r="G277" s="182">
        <f>$B$8</f>
        <v/>
      </c>
      <c r="H277" s="179">
        <f>F277*G277</f>
        <v/>
      </c>
      <c r="I277" s="179">
        <f>MAX(C277-D277,0)*G277-H277</f>
        <v/>
      </c>
      <c r="J277" s="179">
        <f>(1-$B$11)*E277</f>
        <v/>
      </c>
      <c r="K277" s="174">
        <f>B277+C277-D277-H277-J277</f>
        <v/>
      </c>
    </row>
    <row r="278" hidden="1" outlineLevel="1">
      <c r="A278" s="178" t="n">
        <v>18</v>
      </c>
      <c r="B278" s="179">
        <f>K277</f>
        <v/>
      </c>
      <c r="C278" s="179">
        <f>(MIN(B278,$B$15)*$B$6+MAX(B278-$B$15,0)*$B$16*$B$7/12)</f>
        <v/>
      </c>
      <c r="D278" s="179">
        <f>$B$9</f>
        <v/>
      </c>
      <c r="E278" s="179">
        <f>IF(AND($B$259&gt;0,$B$8&gt;0),MIN($B$259*$B$17,$B$13*MAX(C278-D278,0)),0)</f>
        <v/>
      </c>
      <c r="F278" s="179">
        <f>MAX(C278-D278-E278,0)</f>
        <v/>
      </c>
      <c r="G278" s="182">
        <f>$B$8</f>
        <v/>
      </c>
      <c r="H278" s="179">
        <f>F278*G278</f>
        <v/>
      </c>
      <c r="I278" s="179">
        <f>MAX(C278-D278,0)*G278-H278</f>
        <v/>
      </c>
      <c r="J278" s="179">
        <f>(1-$B$11)*E278</f>
        <v/>
      </c>
      <c r="K278" s="174">
        <f>B278+C278-D278-H278-J278</f>
        <v/>
      </c>
    </row>
    <row r="279" hidden="1" outlineLevel="1">
      <c r="A279" s="178" t="n">
        <v>19</v>
      </c>
      <c r="B279" s="179">
        <f>K278</f>
        <v/>
      </c>
      <c r="C279" s="179">
        <f>(MIN(B279,$B$15)*$B$6+MAX(B279-$B$15,0)*$B$16*$B$7/12)</f>
        <v/>
      </c>
      <c r="D279" s="179">
        <f>$B$9</f>
        <v/>
      </c>
      <c r="E279" s="179">
        <f>IF(AND($B$259&gt;0,$B$8&gt;0),MIN($B$259*$B$17,$B$13*MAX(C279-D279,0)),0)</f>
        <v/>
      </c>
      <c r="F279" s="179">
        <f>MAX(C279-D279-E279,0)</f>
        <v/>
      </c>
      <c r="G279" s="182">
        <f>$B$8</f>
        <v/>
      </c>
      <c r="H279" s="179">
        <f>F279*G279</f>
        <v/>
      </c>
      <c r="I279" s="179">
        <f>MAX(C279-D279,0)*G279-H279</f>
        <v/>
      </c>
      <c r="J279" s="179">
        <f>(1-$B$11)*E279</f>
        <v/>
      </c>
      <c r="K279" s="174">
        <f>B279+C279-D279-H279-J279</f>
        <v/>
      </c>
    </row>
    <row r="280" hidden="1" outlineLevel="1">
      <c r="A280" s="178" t="n">
        <v>20</v>
      </c>
      <c r="B280" s="179">
        <f>K279</f>
        <v/>
      </c>
      <c r="C280" s="179">
        <f>(MIN(B280,$B$15)*$B$6+MAX(B280-$B$15,0)*$B$16*$B$7/12)</f>
        <v/>
      </c>
      <c r="D280" s="179">
        <f>$B$9</f>
        <v/>
      </c>
      <c r="E280" s="179">
        <f>IF(AND($B$259&gt;0,$B$8&gt;0),MIN($B$259*$B$17,$B$13*MAX(C280-D280,0)),0)</f>
        <v/>
      </c>
      <c r="F280" s="179">
        <f>MAX(C280-D280-E280,0)</f>
        <v/>
      </c>
      <c r="G280" s="182">
        <f>$B$8</f>
        <v/>
      </c>
      <c r="H280" s="179">
        <f>F280*G280</f>
        <v/>
      </c>
      <c r="I280" s="179">
        <f>MAX(C280-D280,0)*G280-H280</f>
        <v/>
      </c>
      <c r="J280" s="179">
        <f>(1-$B$11)*E280</f>
        <v/>
      </c>
      <c r="K280" s="174">
        <f>B280+C280-D280-H280-J280</f>
        <v/>
      </c>
    </row>
    <row r="281" hidden="1" outlineLevel="1"/>
    <row r="282" hidden="1" outlineLevel="1"/>
    <row r="283" hidden="1" outlineLevel="1" ht="20" customHeight="1">
      <c r="A283" s="154" t="inlineStr">
        <is>
          <t>COMPANY + 6 MEMBERS</t>
        </is>
      </c>
      <c r="B283" s="155" t="n"/>
      <c r="C283" s="155" t="n"/>
      <c r="D283" s="155" t="n"/>
      <c r="E283" s="155" t="n"/>
      <c r="F283" s="155" t="n"/>
      <c r="G283" s="155" t="n"/>
      <c r="H283" s="155" t="n"/>
      <c r="I283" s="155" t="n"/>
      <c r="J283" s="155" t="n"/>
      <c r="K283" s="155" t="n"/>
      <c r="L283" s="155" t="n"/>
      <c r="M283" s="155" t="n"/>
      <c r="N283" s="155" t="n"/>
      <c r="O283" s="155" t="n"/>
      <c r="P283" s="155" t="n"/>
      <c r="Q283" s="155" t="n"/>
      <c r="R283" s="155" t="n"/>
      <c r="S283" s="155" t="n"/>
    </row>
    <row r="284" hidden="1" outlineLevel="1">
      <c r="A284" s="164" t="inlineStr">
        <is>
          <t>Members</t>
        </is>
      </c>
      <c r="B284" s="178" t="n">
        <v>6</v>
      </c>
    </row>
    <row r="285" hidden="1" outlineLevel="1" ht="32" customHeight="1">
      <c r="A285" s="156" t="inlineStr">
        <is>
          <t>Cycle</t>
        </is>
      </c>
      <c r="B285" s="156" t="inlineStr">
        <is>
          <t>Start ₹ Cr</t>
        </is>
      </c>
      <c r="C285" s="156" t="inlineStr">
        <is>
          <t>Gross gain ₹ Cr</t>
        </is>
      </c>
      <c r="D285" s="156" t="inlineStr">
        <is>
          <t>Running cost ₹ Cr</t>
        </is>
      </c>
      <c r="E285" s="156" t="inlineStr">
        <is>
          <t>Salary ₹ Cr</t>
        </is>
      </c>
      <c r="F285" s="156" t="inlineStr">
        <is>
          <t>Taxable ₹ Cr</t>
        </is>
      </c>
      <c r="G285" s="156" t="inlineStr">
        <is>
          <t>Tax rate</t>
        </is>
      </c>
      <c r="H285" s="156" t="inlineStr">
        <is>
          <t>Tax ₹ Cr</t>
        </is>
      </c>
      <c r="I285" s="156" t="inlineStr">
        <is>
          <t>Tax saved by payroll ₹ Cr</t>
        </is>
      </c>
      <c r="J285" s="156" t="inlineStr">
        <is>
          <t>Net leakage ₹ Cr</t>
        </is>
      </c>
      <c r="K285" s="156" t="inlineStr">
        <is>
          <t>End ₹ Cr</t>
        </is>
      </c>
    </row>
    <row r="286" hidden="1" outlineLevel="1">
      <c r="A286" s="178" t="n">
        <v>1</v>
      </c>
      <c r="B286" s="179">
        <f>$B$5</f>
        <v/>
      </c>
      <c r="C286" s="179">
        <f>(MIN(B286,$B$15)*$B$6+MAX(B286-$B$15,0)*$B$16*$B$7/12)</f>
        <v/>
      </c>
      <c r="D286" s="179">
        <f>$B$9</f>
        <v/>
      </c>
      <c r="E286" s="179">
        <f>IF(AND($B$284&gt;0,$B$8&gt;0),MIN($B$284*$B$17,$B$13*MAX(C286-D286,0)),0)</f>
        <v/>
      </c>
      <c r="F286" s="179">
        <f>MAX(C286-D286-E286,0)</f>
        <v/>
      </c>
      <c r="G286" s="182">
        <f>$B$8</f>
        <v/>
      </c>
      <c r="H286" s="179">
        <f>F286*G286</f>
        <v/>
      </c>
      <c r="I286" s="179">
        <f>MAX(C286-D286,0)*G286-H286</f>
        <v/>
      </c>
      <c r="J286" s="179">
        <f>(1-$B$11)*E286</f>
        <v/>
      </c>
      <c r="K286" s="174">
        <f>B286+C286-D286-H286-J286</f>
        <v/>
      </c>
    </row>
    <row r="287" hidden="1" outlineLevel="1">
      <c r="A287" s="178" t="n">
        <v>2</v>
      </c>
      <c r="B287" s="179">
        <f>K286</f>
        <v/>
      </c>
      <c r="C287" s="179">
        <f>(MIN(B287,$B$15)*$B$6+MAX(B287-$B$15,0)*$B$16*$B$7/12)</f>
        <v/>
      </c>
      <c r="D287" s="179">
        <f>$B$9</f>
        <v/>
      </c>
      <c r="E287" s="179">
        <f>IF(AND($B$284&gt;0,$B$8&gt;0),MIN($B$284*$B$17,$B$13*MAX(C287-D287,0)),0)</f>
        <v/>
      </c>
      <c r="F287" s="179">
        <f>MAX(C287-D287-E287,0)</f>
        <v/>
      </c>
      <c r="G287" s="182">
        <f>$B$8</f>
        <v/>
      </c>
      <c r="H287" s="179">
        <f>F287*G287</f>
        <v/>
      </c>
      <c r="I287" s="179">
        <f>MAX(C287-D287,0)*G287-H287</f>
        <v/>
      </c>
      <c r="J287" s="179">
        <f>(1-$B$11)*E287</f>
        <v/>
      </c>
      <c r="K287" s="174">
        <f>B287+C287-D287-H287-J287</f>
        <v/>
      </c>
    </row>
    <row r="288" hidden="1" outlineLevel="1">
      <c r="A288" s="178" t="n">
        <v>3</v>
      </c>
      <c r="B288" s="179">
        <f>K287</f>
        <v/>
      </c>
      <c r="C288" s="179">
        <f>(MIN(B288,$B$15)*$B$6+MAX(B288-$B$15,0)*$B$16*$B$7/12)</f>
        <v/>
      </c>
      <c r="D288" s="179">
        <f>$B$9</f>
        <v/>
      </c>
      <c r="E288" s="179">
        <f>IF(AND($B$284&gt;0,$B$8&gt;0),MIN($B$284*$B$17,$B$13*MAX(C288-D288,0)),0)</f>
        <v/>
      </c>
      <c r="F288" s="179">
        <f>MAX(C288-D288-E288,0)</f>
        <v/>
      </c>
      <c r="G288" s="182">
        <f>$B$8</f>
        <v/>
      </c>
      <c r="H288" s="179">
        <f>F288*G288</f>
        <v/>
      </c>
      <c r="I288" s="179">
        <f>MAX(C288-D288,0)*G288-H288</f>
        <v/>
      </c>
      <c r="J288" s="179">
        <f>(1-$B$11)*E288</f>
        <v/>
      </c>
      <c r="K288" s="174">
        <f>B288+C288-D288-H288-J288</f>
        <v/>
      </c>
    </row>
    <row r="289" hidden="1" outlineLevel="1">
      <c r="A289" s="178" t="n">
        <v>4</v>
      </c>
      <c r="B289" s="179">
        <f>K288</f>
        <v/>
      </c>
      <c r="C289" s="179">
        <f>(MIN(B289,$B$15)*$B$6+MAX(B289-$B$15,0)*$B$16*$B$7/12)</f>
        <v/>
      </c>
      <c r="D289" s="179">
        <f>$B$9</f>
        <v/>
      </c>
      <c r="E289" s="179">
        <f>IF(AND($B$284&gt;0,$B$8&gt;0),MIN($B$284*$B$17,$B$13*MAX(C289-D289,0)),0)</f>
        <v/>
      </c>
      <c r="F289" s="179">
        <f>MAX(C289-D289-E289,0)</f>
        <v/>
      </c>
      <c r="G289" s="182">
        <f>$B$8</f>
        <v/>
      </c>
      <c r="H289" s="179">
        <f>F289*G289</f>
        <v/>
      </c>
      <c r="I289" s="179">
        <f>MAX(C289-D289,0)*G289-H289</f>
        <v/>
      </c>
      <c r="J289" s="179">
        <f>(1-$B$11)*E289</f>
        <v/>
      </c>
      <c r="K289" s="174">
        <f>B289+C289-D289-H289-J289</f>
        <v/>
      </c>
    </row>
    <row r="290" hidden="1" outlineLevel="1">
      <c r="A290" s="178" t="n">
        <v>5</v>
      </c>
      <c r="B290" s="179">
        <f>K289</f>
        <v/>
      </c>
      <c r="C290" s="179">
        <f>(MIN(B290,$B$15)*$B$6+MAX(B290-$B$15,0)*$B$16*$B$7/12)</f>
        <v/>
      </c>
      <c r="D290" s="179">
        <f>$B$9</f>
        <v/>
      </c>
      <c r="E290" s="179">
        <f>IF(AND($B$284&gt;0,$B$8&gt;0),MIN($B$284*$B$17,$B$13*MAX(C290-D290,0)),0)</f>
        <v/>
      </c>
      <c r="F290" s="179">
        <f>MAX(C290-D290-E290,0)</f>
        <v/>
      </c>
      <c r="G290" s="182">
        <f>$B$8</f>
        <v/>
      </c>
      <c r="H290" s="179">
        <f>F290*G290</f>
        <v/>
      </c>
      <c r="I290" s="179">
        <f>MAX(C290-D290,0)*G290-H290</f>
        <v/>
      </c>
      <c r="J290" s="179">
        <f>(1-$B$11)*E290</f>
        <v/>
      </c>
      <c r="K290" s="174">
        <f>B290+C290-D290-H290-J290</f>
        <v/>
      </c>
    </row>
    <row r="291" hidden="1" outlineLevel="1">
      <c r="A291" s="178" t="n">
        <v>6</v>
      </c>
      <c r="B291" s="179">
        <f>K290</f>
        <v/>
      </c>
      <c r="C291" s="179">
        <f>(MIN(B291,$B$15)*$B$6+MAX(B291-$B$15,0)*$B$16*$B$7/12)</f>
        <v/>
      </c>
      <c r="D291" s="179">
        <f>$B$9</f>
        <v/>
      </c>
      <c r="E291" s="179">
        <f>IF(AND($B$284&gt;0,$B$8&gt;0),MIN($B$284*$B$17,$B$13*MAX(C291-D291,0)),0)</f>
        <v/>
      </c>
      <c r="F291" s="179">
        <f>MAX(C291-D291-E291,0)</f>
        <v/>
      </c>
      <c r="G291" s="182">
        <f>$B$8</f>
        <v/>
      </c>
      <c r="H291" s="179">
        <f>F291*G291</f>
        <v/>
      </c>
      <c r="I291" s="179">
        <f>MAX(C291-D291,0)*G291-H291</f>
        <v/>
      </c>
      <c r="J291" s="179">
        <f>(1-$B$11)*E291</f>
        <v/>
      </c>
      <c r="K291" s="174">
        <f>B291+C291-D291-H291-J291</f>
        <v/>
      </c>
    </row>
    <row r="292" hidden="1" outlineLevel="1">
      <c r="A292" s="178" t="n">
        <v>7</v>
      </c>
      <c r="B292" s="179">
        <f>K291</f>
        <v/>
      </c>
      <c r="C292" s="179">
        <f>(MIN(B292,$B$15)*$B$6+MAX(B292-$B$15,0)*$B$16*$B$7/12)</f>
        <v/>
      </c>
      <c r="D292" s="179">
        <f>$B$9</f>
        <v/>
      </c>
      <c r="E292" s="179">
        <f>IF(AND($B$284&gt;0,$B$8&gt;0),MIN($B$284*$B$17,$B$13*MAX(C292-D292,0)),0)</f>
        <v/>
      </c>
      <c r="F292" s="179">
        <f>MAX(C292-D292-E292,0)</f>
        <v/>
      </c>
      <c r="G292" s="182">
        <f>$B$8</f>
        <v/>
      </c>
      <c r="H292" s="179">
        <f>F292*G292</f>
        <v/>
      </c>
      <c r="I292" s="179">
        <f>MAX(C292-D292,0)*G292-H292</f>
        <v/>
      </c>
      <c r="J292" s="179">
        <f>(1-$B$11)*E292</f>
        <v/>
      </c>
      <c r="K292" s="174">
        <f>B292+C292-D292-H292-J292</f>
        <v/>
      </c>
    </row>
    <row r="293" hidden="1" outlineLevel="1">
      <c r="A293" s="178" t="n">
        <v>8</v>
      </c>
      <c r="B293" s="179">
        <f>K292</f>
        <v/>
      </c>
      <c r="C293" s="179">
        <f>(MIN(B293,$B$15)*$B$6+MAX(B293-$B$15,0)*$B$16*$B$7/12)</f>
        <v/>
      </c>
      <c r="D293" s="179">
        <f>$B$9</f>
        <v/>
      </c>
      <c r="E293" s="179">
        <f>IF(AND($B$284&gt;0,$B$8&gt;0),MIN($B$284*$B$17,$B$13*MAX(C293-D293,0)),0)</f>
        <v/>
      </c>
      <c r="F293" s="179">
        <f>MAX(C293-D293-E293,0)</f>
        <v/>
      </c>
      <c r="G293" s="182">
        <f>$B$8</f>
        <v/>
      </c>
      <c r="H293" s="179">
        <f>F293*G293</f>
        <v/>
      </c>
      <c r="I293" s="179">
        <f>MAX(C293-D293,0)*G293-H293</f>
        <v/>
      </c>
      <c r="J293" s="179">
        <f>(1-$B$11)*E293</f>
        <v/>
      </c>
      <c r="K293" s="174">
        <f>B293+C293-D293-H293-J293</f>
        <v/>
      </c>
    </row>
    <row r="294" hidden="1" outlineLevel="1">
      <c r="A294" s="178" t="n">
        <v>9</v>
      </c>
      <c r="B294" s="179">
        <f>K293</f>
        <v/>
      </c>
      <c r="C294" s="179">
        <f>(MIN(B294,$B$15)*$B$6+MAX(B294-$B$15,0)*$B$16*$B$7/12)</f>
        <v/>
      </c>
      <c r="D294" s="179">
        <f>$B$9</f>
        <v/>
      </c>
      <c r="E294" s="179">
        <f>IF(AND($B$284&gt;0,$B$8&gt;0),MIN($B$284*$B$17,$B$13*MAX(C294-D294,0)),0)</f>
        <v/>
      </c>
      <c r="F294" s="179">
        <f>MAX(C294-D294-E294,0)</f>
        <v/>
      </c>
      <c r="G294" s="182">
        <f>$B$8</f>
        <v/>
      </c>
      <c r="H294" s="179">
        <f>F294*G294</f>
        <v/>
      </c>
      <c r="I294" s="179">
        <f>MAX(C294-D294,0)*G294-H294</f>
        <v/>
      </c>
      <c r="J294" s="179">
        <f>(1-$B$11)*E294</f>
        <v/>
      </c>
      <c r="K294" s="174">
        <f>B294+C294-D294-H294-J294</f>
        <v/>
      </c>
    </row>
    <row r="295" hidden="1" outlineLevel="1">
      <c r="A295" s="178" t="n">
        <v>10</v>
      </c>
      <c r="B295" s="179">
        <f>K294</f>
        <v/>
      </c>
      <c r="C295" s="179">
        <f>(MIN(B295,$B$15)*$B$6+MAX(B295-$B$15,0)*$B$16*$B$7/12)</f>
        <v/>
      </c>
      <c r="D295" s="179">
        <f>$B$9</f>
        <v/>
      </c>
      <c r="E295" s="179">
        <f>IF(AND($B$284&gt;0,$B$8&gt;0),MIN($B$284*$B$17,$B$13*MAX(C295-D295,0)),0)</f>
        <v/>
      </c>
      <c r="F295" s="179">
        <f>MAX(C295-D295-E295,0)</f>
        <v/>
      </c>
      <c r="G295" s="182">
        <f>$B$8</f>
        <v/>
      </c>
      <c r="H295" s="179">
        <f>F295*G295</f>
        <v/>
      </c>
      <c r="I295" s="179">
        <f>MAX(C295-D295,0)*G295-H295</f>
        <v/>
      </c>
      <c r="J295" s="179">
        <f>(1-$B$11)*E295</f>
        <v/>
      </c>
      <c r="K295" s="174">
        <f>B295+C295-D295-H295-J295</f>
        <v/>
      </c>
    </row>
    <row r="296" hidden="1" outlineLevel="1">
      <c r="A296" s="178" t="n">
        <v>11</v>
      </c>
      <c r="B296" s="179">
        <f>K295</f>
        <v/>
      </c>
      <c r="C296" s="179">
        <f>(MIN(B296,$B$15)*$B$6+MAX(B296-$B$15,0)*$B$16*$B$7/12)</f>
        <v/>
      </c>
      <c r="D296" s="179">
        <f>$B$9</f>
        <v/>
      </c>
      <c r="E296" s="179">
        <f>IF(AND($B$284&gt;0,$B$8&gt;0),MIN($B$284*$B$17,$B$13*MAX(C296-D296,0)),0)</f>
        <v/>
      </c>
      <c r="F296" s="179">
        <f>MAX(C296-D296-E296,0)</f>
        <v/>
      </c>
      <c r="G296" s="182">
        <f>$B$8</f>
        <v/>
      </c>
      <c r="H296" s="179">
        <f>F296*G296</f>
        <v/>
      </c>
      <c r="I296" s="179">
        <f>MAX(C296-D296,0)*G296-H296</f>
        <v/>
      </c>
      <c r="J296" s="179">
        <f>(1-$B$11)*E296</f>
        <v/>
      </c>
      <c r="K296" s="174">
        <f>B296+C296-D296-H296-J296</f>
        <v/>
      </c>
    </row>
    <row r="297" hidden="1" outlineLevel="1">
      <c r="A297" s="178" t="n">
        <v>12</v>
      </c>
      <c r="B297" s="179">
        <f>K296</f>
        <v/>
      </c>
      <c r="C297" s="179">
        <f>(MIN(B297,$B$15)*$B$6+MAX(B297-$B$15,0)*$B$16*$B$7/12)</f>
        <v/>
      </c>
      <c r="D297" s="179">
        <f>$B$9</f>
        <v/>
      </c>
      <c r="E297" s="179">
        <f>IF(AND($B$284&gt;0,$B$8&gt;0),MIN($B$284*$B$17,$B$13*MAX(C297-D297,0)),0)</f>
        <v/>
      </c>
      <c r="F297" s="179">
        <f>MAX(C297-D297-E297,0)</f>
        <v/>
      </c>
      <c r="G297" s="182">
        <f>$B$8</f>
        <v/>
      </c>
      <c r="H297" s="179">
        <f>F297*G297</f>
        <v/>
      </c>
      <c r="I297" s="179">
        <f>MAX(C297-D297,0)*G297-H297</f>
        <v/>
      </c>
      <c r="J297" s="179">
        <f>(1-$B$11)*E297</f>
        <v/>
      </c>
      <c r="K297" s="174">
        <f>B297+C297-D297-H297-J297</f>
        <v/>
      </c>
    </row>
    <row r="298" hidden="1" outlineLevel="1">
      <c r="A298" s="178" t="n">
        <v>13</v>
      </c>
      <c r="B298" s="179">
        <f>K297</f>
        <v/>
      </c>
      <c r="C298" s="179">
        <f>(MIN(B298,$B$15)*$B$6+MAX(B298-$B$15,0)*$B$16*$B$7/12)</f>
        <v/>
      </c>
      <c r="D298" s="179">
        <f>$B$9</f>
        <v/>
      </c>
      <c r="E298" s="179">
        <f>IF(AND($B$284&gt;0,$B$8&gt;0),MIN($B$284*$B$17,$B$13*MAX(C298-D298,0)),0)</f>
        <v/>
      </c>
      <c r="F298" s="179">
        <f>MAX(C298-D298-E298,0)</f>
        <v/>
      </c>
      <c r="G298" s="182">
        <f>$B$8</f>
        <v/>
      </c>
      <c r="H298" s="179">
        <f>F298*G298</f>
        <v/>
      </c>
      <c r="I298" s="179">
        <f>MAX(C298-D298,0)*G298-H298</f>
        <v/>
      </c>
      <c r="J298" s="179">
        <f>(1-$B$11)*E298</f>
        <v/>
      </c>
      <c r="K298" s="174">
        <f>B298+C298-D298-H298-J298</f>
        <v/>
      </c>
    </row>
    <row r="299" hidden="1" outlineLevel="1">
      <c r="A299" s="178" t="n">
        <v>14</v>
      </c>
      <c r="B299" s="179">
        <f>K298</f>
        <v/>
      </c>
      <c r="C299" s="179">
        <f>(MIN(B299,$B$15)*$B$6+MAX(B299-$B$15,0)*$B$16*$B$7/12)</f>
        <v/>
      </c>
      <c r="D299" s="179">
        <f>$B$9</f>
        <v/>
      </c>
      <c r="E299" s="179">
        <f>IF(AND($B$284&gt;0,$B$8&gt;0),MIN($B$284*$B$17,$B$13*MAX(C299-D299,0)),0)</f>
        <v/>
      </c>
      <c r="F299" s="179">
        <f>MAX(C299-D299-E299,0)</f>
        <v/>
      </c>
      <c r="G299" s="182">
        <f>$B$8</f>
        <v/>
      </c>
      <c r="H299" s="179">
        <f>F299*G299</f>
        <v/>
      </c>
      <c r="I299" s="179">
        <f>MAX(C299-D299,0)*G299-H299</f>
        <v/>
      </c>
      <c r="J299" s="179">
        <f>(1-$B$11)*E299</f>
        <v/>
      </c>
      <c r="K299" s="174">
        <f>B299+C299-D299-H299-J299</f>
        <v/>
      </c>
    </row>
    <row r="300" hidden="1" outlineLevel="1">
      <c r="A300" s="178" t="n">
        <v>15</v>
      </c>
      <c r="B300" s="179">
        <f>K299</f>
        <v/>
      </c>
      <c r="C300" s="179">
        <f>(MIN(B300,$B$15)*$B$6+MAX(B300-$B$15,0)*$B$16*$B$7/12)</f>
        <v/>
      </c>
      <c r="D300" s="179">
        <f>$B$9</f>
        <v/>
      </c>
      <c r="E300" s="179">
        <f>IF(AND($B$284&gt;0,$B$8&gt;0),MIN($B$284*$B$17,$B$13*MAX(C300-D300,0)),0)</f>
        <v/>
      </c>
      <c r="F300" s="179">
        <f>MAX(C300-D300-E300,0)</f>
        <v/>
      </c>
      <c r="G300" s="182">
        <f>$B$8</f>
        <v/>
      </c>
      <c r="H300" s="179">
        <f>F300*G300</f>
        <v/>
      </c>
      <c r="I300" s="179">
        <f>MAX(C300-D300,0)*G300-H300</f>
        <v/>
      </c>
      <c r="J300" s="179">
        <f>(1-$B$11)*E300</f>
        <v/>
      </c>
      <c r="K300" s="174">
        <f>B300+C300-D300-H300-J300</f>
        <v/>
      </c>
    </row>
    <row r="301" hidden="1" outlineLevel="1">
      <c r="A301" s="178" t="n">
        <v>16</v>
      </c>
      <c r="B301" s="179">
        <f>K300</f>
        <v/>
      </c>
      <c r="C301" s="179">
        <f>(MIN(B301,$B$15)*$B$6+MAX(B301-$B$15,0)*$B$16*$B$7/12)</f>
        <v/>
      </c>
      <c r="D301" s="179">
        <f>$B$9</f>
        <v/>
      </c>
      <c r="E301" s="179">
        <f>IF(AND($B$284&gt;0,$B$8&gt;0),MIN($B$284*$B$17,$B$13*MAX(C301-D301,0)),0)</f>
        <v/>
      </c>
      <c r="F301" s="179">
        <f>MAX(C301-D301-E301,0)</f>
        <v/>
      </c>
      <c r="G301" s="182">
        <f>$B$8</f>
        <v/>
      </c>
      <c r="H301" s="179">
        <f>F301*G301</f>
        <v/>
      </c>
      <c r="I301" s="179">
        <f>MAX(C301-D301,0)*G301-H301</f>
        <v/>
      </c>
      <c r="J301" s="179">
        <f>(1-$B$11)*E301</f>
        <v/>
      </c>
      <c r="K301" s="174">
        <f>B301+C301-D301-H301-J301</f>
        <v/>
      </c>
    </row>
    <row r="302" hidden="1" outlineLevel="1">
      <c r="A302" s="178" t="n">
        <v>17</v>
      </c>
      <c r="B302" s="179">
        <f>K301</f>
        <v/>
      </c>
      <c r="C302" s="179">
        <f>(MIN(B302,$B$15)*$B$6+MAX(B302-$B$15,0)*$B$16*$B$7/12)</f>
        <v/>
      </c>
      <c r="D302" s="179">
        <f>$B$9</f>
        <v/>
      </c>
      <c r="E302" s="179">
        <f>IF(AND($B$284&gt;0,$B$8&gt;0),MIN($B$284*$B$17,$B$13*MAX(C302-D302,0)),0)</f>
        <v/>
      </c>
      <c r="F302" s="179">
        <f>MAX(C302-D302-E302,0)</f>
        <v/>
      </c>
      <c r="G302" s="182">
        <f>$B$8</f>
        <v/>
      </c>
      <c r="H302" s="179">
        <f>F302*G302</f>
        <v/>
      </c>
      <c r="I302" s="179">
        <f>MAX(C302-D302,0)*G302-H302</f>
        <v/>
      </c>
      <c r="J302" s="179">
        <f>(1-$B$11)*E302</f>
        <v/>
      </c>
      <c r="K302" s="174">
        <f>B302+C302-D302-H302-J302</f>
        <v/>
      </c>
    </row>
    <row r="303" hidden="1" outlineLevel="1">
      <c r="A303" s="178" t="n">
        <v>18</v>
      </c>
      <c r="B303" s="179">
        <f>K302</f>
        <v/>
      </c>
      <c r="C303" s="179">
        <f>(MIN(B303,$B$15)*$B$6+MAX(B303-$B$15,0)*$B$16*$B$7/12)</f>
        <v/>
      </c>
      <c r="D303" s="179">
        <f>$B$9</f>
        <v/>
      </c>
      <c r="E303" s="179">
        <f>IF(AND($B$284&gt;0,$B$8&gt;0),MIN($B$284*$B$17,$B$13*MAX(C303-D303,0)),0)</f>
        <v/>
      </c>
      <c r="F303" s="179">
        <f>MAX(C303-D303-E303,0)</f>
        <v/>
      </c>
      <c r="G303" s="182">
        <f>$B$8</f>
        <v/>
      </c>
      <c r="H303" s="179">
        <f>F303*G303</f>
        <v/>
      </c>
      <c r="I303" s="179">
        <f>MAX(C303-D303,0)*G303-H303</f>
        <v/>
      </c>
      <c r="J303" s="179">
        <f>(1-$B$11)*E303</f>
        <v/>
      </c>
      <c r="K303" s="174">
        <f>B303+C303-D303-H303-J303</f>
        <v/>
      </c>
    </row>
    <row r="304" hidden="1" outlineLevel="1">
      <c r="A304" s="178" t="n">
        <v>19</v>
      </c>
      <c r="B304" s="179">
        <f>K303</f>
        <v/>
      </c>
      <c r="C304" s="179">
        <f>(MIN(B304,$B$15)*$B$6+MAX(B304-$B$15,0)*$B$16*$B$7/12)</f>
        <v/>
      </c>
      <c r="D304" s="179">
        <f>$B$9</f>
        <v/>
      </c>
      <c r="E304" s="179">
        <f>IF(AND($B$284&gt;0,$B$8&gt;0),MIN($B$284*$B$17,$B$13*MAX(C304-D304,0)),0)</f>
        <v/>
      </c>
      <c r="F304" s="179">
        <f>MAX(C304-D304-E304,0)</f>
        <v/>
      </c>
      <c r="G304" s="182">
        <f>$B$8</f>
        <v/>
      </c>
      <c r="H304" s="179">
        <f>F304*G304</f>
        <v/>
      </c>
      <c r="I304" s="179">
        <f>MAX(C304-D304,0)*G304-H304</f>
        <v/>
      </c>
      <c r="J304" s="179">
        <f>(1-$B$11)*E304</f>
        <v/>
      </c>
      <c r="K304" s="174">
        <f>B304+C304-D304-H304-J304</f>
        <v/>
      </c>
    </row>
    <row r="305" hidden="1" outlineLevel="1">
      <c r="A305" s="178" t="n">
        <v>20</v>
      </c>
      <c r="B305" s="179">
        <f>K304</f>
        <v/>
      </c>
      <c r="C305" s="179">
        <f>(MIN(B305,$B$15)*$B$6+MAX(B305-$B$15,0)*$B$16*$B$7/12)</f>
        <v/>
      </c>
      <c r="D305" s="179">
        <f>$B$9</f>
        <v/>
      </c>
      <c r="E305" s="179">
        <f>IF(AND($B$284&gt;0,$B$8&gt;0),MIN($B$284*$B$17,$B$13*MAX(C305-D305,0)),0)</f>
        <v/>
      </c>
      <c r="F305" s="179">
        <f>MAX(C305-D305-E305,0)</f>
        <v/>
      </c>
      <c r="G305" s="182">
        <f>$B$8</f>
        <v/>
      </c>
      <c r="H305" s="179">
        <f>F305*G305</f>
        <v/>
      </c>
      <c r="I305" s="179">
        <f>MAX(C305-D305,0)*G305-H305</f>
        <v/>
      </c>
      <c r="J305" s="179">
        <f>(1-$B$11)*E305</f>
        <v/>
      </c>
      <c r="K305" s="174">
        <f>B305+C305-D305-H305-J305</f>
        <v/>
      </c>
    </row>
    <row r="306" hidden="1" outlineLevel="1"/>
    <row r="307" hidden="1" outlineLevel="1"/>
    <row r="308" hidden="1" outlineLevel="1" ht="20" customHeight="1">
      <c r="A308" s="154" t="inlineStr">
        <is>
          <t>GRID CALCULATIONS  —  one column per (members, recycle ratio) pair</t>
        </is>
      </c>
      <c r="B308" s="155" t="n"/>
      <c r="C308" s="155" t="n"/>
      <c r="D308" s="155" t="n"/>
      <c r="E308" s="155" t="n"/>
      <c r="F308" s="155" t="n"/>
      <c r="G308" s="155" t="n"/>
      <c r="H308" s="155" t="n"/>
      <c r="I308" s="155" t="n"/>
      <c r="J308" s="155" t="n"/>
      <c r="K308" s="155" t="n"/>
      <c r="L308" s="155" t="n"/>
      <c r="M308" s="155" t="n"/>
      <c r="N308" s="155" t="n"/>
      <c r="O308" s="155" t="n"/>
      <c r="P308" s="155" t="n"/>
      <c r="Q308" s="155" t="n"/>
      <c r="R308" s="155" t="n"/>
      <c r="S308" s="155" t="n"/>
    </row>
    <row r="309" hidden="1" outlineLevel="1">
      <c r="A309" s="164" t="inlineStr">
        <is>
          <t>Members</t>
        </is>
      </c>
      <c r="B309" s="178" t="n">
        <v>0</v>
      </c>
      <c r="C309" s="178" t="n">
        <v>0</v>
      </c>
      <c r="D309" s="178" t="n">
        <v>0</v>
      </c>
      <c r="E309" s="178" t="n">
        <v>0</v>
      </c>
      <c r="F309" s="178" t="n">
        <v>0</v>
      </c>
      <c r="G309" s="178" t="n">
        <v>0</v>
      </c>
      <c r="H309" s="178" t="n">
        <v>1</v>
      </c>
      <c r="I309" s="178" t="n">
        <v>1</v>
      </c>
      <c r="J309" s="178" t="n">
        <v>1</v>
      </c>
      <c r="K309" s="178" t="n">
        <v>1</v>
      </c>
      <c r="L309" s="178" t="n">
        <v>1</v>
      </c>
      <c r="M309" s="178" t="n">
        <v>1</v>
      </c>
      <c r="N309" s="178" t="n">
        <v>2</v>
      </c>
      <c r="O309" s="178" t="n">
        <v>2</v>
      </c>
      <c r="P309" s="178" t="n">
        <v>2</v>
      </c>
      <c r="Q309" s="178" t="n">
        <v>2</v>
      </c>
      <c r="R309" s="178" t="n">
        <v>2</v>
      </c>
      <c r="S309" s="178" t="n">
        <v>2</v>
      </c>
      <c r="T309" s="178" t="n">
        <v>3</v>
      </c>
      <c r="U309" s="178" t="n">
        <v>3</v>
      </c>
      <c r="V309" s="178" t="n">
        <v>3</v>
      </c>
      <c r="W309" s="178" t="n">
        <v>3</v>
      </c>
      <c r="X309" s="178" t="n">
        <v>3</v>
      </c>
      <c r="Y309" s="178" t="n">
        <v>3</v>
      </c>
      <c r="Z309" s="178" t="n">
        <v>4</v>
      </c>
      <c r="AA309" s="178" t="n">
        <v>4</v>
      </c>
      <c r="AB309" s="178" t="n">
        <v>4</v>
      </c>
      <c r="AC309" s="178" t="n">
        <v>4</v>
      </c>
      <c r="AD309" s="178" t="n">
        <v>4</v>
      </c>
      <c r="AE309" s="178" t="n">
        <v>4</v>
      </c>
      <c r="AF309" s="178" t="n">
        <v>5</v>
      </c>
      <c r="AG309" s="178" t="n">
        <v>5</v>
      </c>
      <c r="AH309" s="178" t="n">
        <v>5</v>
      </c>
      <c r="AI309" s="178" t="n">
        <v>5</v>
      </c>
      <c r="AJ309" s="178" t="n">
        <v>5</v>
      </c>
      <c r="AK309" s="178" t="n">
        <v>5</v>
      </c>
      <c r="AL309" s="178" t="n">
        <v>6</v>
      </c>
      <c r="AM309" s="178" t="n">
        <v>6</v>
      </c>
      <c r="AN309" s="178" t="n">
        <v>6</v>
      </c>
      <c r="AO309" s="178" t="n">
        <v>6</v>
      </c>
      <c r="AP309" s="178" t="n">
        <v>6</v>
      </c>
      <c r="AQ309" s="178" t="n">
        <v>6</v>
      </c>
    </row>
    <row r="310" hidden="1" outlineLevel="1">
      <c r="A310" s="164" t="inlineStr">
        <is>
          <t>Recycle ratio r</t>
        </is>
      </c>
      <c r="B310" s="189">
        <f>$B$85</f>
        <v/>
      </c>
      <c r="C310" s="189">
        <f>$C$85</f>
        <v/>
      </c>
      <c r="D310" s="189">
        <f>$D$85</f>
        <v/>
      </c>
      <c r="E310" s="189">
        <f>$E$85</f>
        <v/>
      </c>
      <c r="F310" s="189">
        <f>$F$85</f>
        <v/>
      </c>
      <c r="G310" s="189">
        <f>$G$85</f>
        <v/>
      </c>
      <c r="H310" s="189">
        <f>$B$85</f>
        <v/>
      </c>
      <c r="I310" s="189">
        <f>$C$85</f>
        <v/>
      </c>
      <c r="J310" s="189">
        <f>$D$85</f>
        <v/>
      </c>
      <c r="K310" s="189">
        <f>$E$85</f>
        <v/>
      </c>
      <c r="L310" s="189">
        <f>$F$85</f>
        <v/>
      </c>
      <c r="M310" s="189">
        <f>$G$85</f>
        <v/>
      </c>
      <c r="N310" s="189">
        <f>$B$85</f>
        <v/>
      </c>
      <c r="O310" s="189">
        <f>$C$85</f>
        <v/>
      </c>
      <c r="P310" s="189">
        <f>$D$85</f>
        <v/>
      </c>
      <c r="Q310" s="189">
        <f>$E$85</f>
        <v/>
      </c>
      <c r="R310" s="189">
        <f>$F$85</f>
        <v/>
      </c>
      <c r="S310" s="189">
        <f>$G$85</f>
        <v/>
      </c>
      <c r="T310" s="189">
        <f>$B$85</f>
        <v/>
      </c>
      <c r="U310" s="189">
        <f>$C$85</f>
        <v/>
      </c>
      <c r="V310" s="189">
        <f>$D$85</f>
        <v/>
      </c>
      <c r="W310" s="189">
        <f>$E$85</f>
        <v/>
      </c>
      <c r="X310" s="189">
        <f>$F$85</f>
        <v/>
      </c>
      <c r="Y310" s="189">
        <f>$G$85</f>
        <v/>
      </c>
      <c r="Z310" s="189">
        <f>$B$85</f>
        <v/>
      </c>
      <c r="AA310" s="189">
        <f>$C$85</f>
        <v/>
      </c>
      <c r="AB310" s="189">
        <f>$D$85</f>
        <v/>
      </c>
      <c r="AC310" s="189">
        <f>$E$85</f>
        <v/>
      </c>
      <c r="AD310" s="189">
        <f>$F$85</f>
        <v/>
      </c>
      <c r="AE310" s="189">
        <f>$G$85</f>
        <v/>
      </c>
      <c r="AF310" s="189">
        <f>$B$85</f>
        <v/>
      </c>
      <c r="AG310" s="189">
        <f>$C$85</f>
        <v/>
      </c>
      <c r="AH310" s="189">
        <f>$D$85</f>
        <v/>
      </c>
      <c r="AI310" s="189">
        <f>$E$85</f>
        <v/>
      </c>
      <c r="AJ310" s="189">
        <f>$F$85</f>
        <v/>
      </c>
      <c r="AK310" s="189">
        <f>$G$85</f>
        <v/>
      </c>
      <c r="AL310" s="189">
        <f>$B$85</f>
        <v/>
      </c>
      <c r="AM310" s="189">
        <f>$C$85</f>
        <v/>
      </c>
      <c r="AN310" s="189">
        <f>$D$85</f>
        <v/>
      </c>
      <c r="AO310" s="189">
        <f>$E$85</f>
        <v/>
      </c>
      <c r="AP310" s="189">
        <f>$F$85</f>
        <v/>
      </c>
      <c r="AQ310" s="189">
        <f>$G$85</f>
        <v/>
      </c>
    </row>
    <row r="311" hidden="1" outlineLevel="1">
      <c r="A311" s="164" t="inlineStr">
        <is>
          <t>Cycle 1</t>
        </is>
      </c>
      <c r="B311" s="179">
        <f>$B$5+(MIN($B$5,$B$15)*$B$6+MAX($B$5-$B$15,0)*$B$16*$B$7/12)-$B$9-MAX((MIN($B$5,$B$15)*$B$6+MAX($B$5-$B$15,0)*$B$16*$B$7/12)-$B$9-IF(AND(B$309&gt;0,$B$8&gt;0),MIN(B$309*$B$17,$B$13*MAX((MIN($B$5,$B$15)*$B$6+MAX($B$5-$B$15,0)*$B$16*$B$7/12)-$B$9,0)),0),0)*$B$8-(1-B$310)*IF(AND(B$309&gt;0,$B$8&gt;0),MIN(B$309*$B$17,$B$13*MAX((MIN($B$5,$B$15)*$B$6+MAX($B$5-$B$15,0)*$B$16*$B$7/12)-$B$9,0)),0)</f>
        <v/>
      </c>
      <c r="C311" s="179">
        <f>$B$5+(MIN($B$5,$B$15)*$B$6+MAX($B$5-$B$15,0)*$B$16*$B$7/12)-$B$9-MAX((MIN($B$5,$B$15)*$B$6+MAX($B$5-$B$15,0)*$B$16*$B$7/12)-$B$9-IF(AND(C$309&gt;0,$B$8&gt;0),MIN(C$309*$B$17,$B$13*MAX((MIN($B$5,$B$15)*$B$6+MAX($B$5-$B$15,0)*$B$16*$B$7/12)-$B$9,0)),0),0)*$B$8-(1-C$310)*IF(AND(C$309&gt;0,$B$8&gt;0),MIN(C$309*$B$17,$B$13*MAX((MIN($B$5,$B$15)*$B$6+MAX($B$5-$B$15,0)*$B$16*$B$7/12)-$B$9,0)),0)</f>
        <v/>
      </c>
      <c r="D311" s="179">
        <f>$B$5+(MIN($B$5,$B$15)*$B$6+MAX($B$5-$B$15,0)*$B$16*$B$7/12)-$B$9-MAX((MIN($B$5,$B$15)*$B$6+MAX($B$5-$B$15,0)*$B$16*$B$7/12)-$B$9-IF(AND(D$309&gt;0,$B$8&gt;0),MIN(D$309*$B$17,$B$13*MAX((MIN($B$5,$B$15)*$B$6+MAX($B$5-$B$15,0)*$B$16*$B$7/12)-$B$9,0)),0),0)*$B$8-(1-D$310)*IF(AND(D$309&gt;0,$B$8&gt;0),MIN(D$309*$B$17,$B$13*MAX((MIN($B$5,$B$15)*$B$6+MAX($B$5-$B$15,0)*$B$16*$B$7/12)-$B$9,0)),0)</f>
        <v/>
      </c>
      <c r="E311" s="179">
        <f>$B$5+(MIN($B$5,$B$15)*$B$6+MAX($B$5-$B$15,0)*$B$16*$B$7/12)-$B$9-MAX((MIN($B$5,$B$15)*$B$6+MAX($B$5-$B$15,0)*$B$16*$B$7/12)-$B$9-IF(AND(E$309&gt;0,$B$8&gt;0),MIN(E$309*$B$17,$B$13*MAX((MIN($B$5,$B$15)*$B$6+MAX($B$5-$B$15,0)*$B$16*$B$7/12)-$B$9,0)),0),0)*$B$8-(1-E$310)*IF(AND(E$309&gt;0,$B$8&gt;0),MIN(E$309*$B$17,$B$13*MAX((MIN($B$5,$B$15)*$B$6+MAX($B$5-$B$15,0)*$B$16*$B$7/12)-$B$9,0)),0)</f>
        <v/>
      </c>
      <c r="F311" s="179">
        <f>$B$5+(MIN($B$5,$B$15)*$B$6+MAX($B$5-$B$15,0)*$B$16*$B$7/12)-$B$9-MAX((MIN($B$5,$B$15)*$B$6+MAX($B$5-$B$15,0)*$B$16*$B$7/12)-$B$9-IF(AND(F$309&gt;0,$B$8&gt;0),MIN(F$309*$B$17,$B$13*MAX((MIN($B$5,$B$15)*$B$6+MAX($B$5-$B$15,0)*$B$16*$B$7/12)-$B$9,0)),0),0)*$B$8-(1-F$310)*IF(AND(F$309&gt;0,$B$8&gt;0),MIN(F$309*$B$17,$B$13*MAX((MIN($B$5,$B$15)*$B$6+MAX($B$5-$B$15,0)*$B$16*$B$7/12)-$B$9,0)),0)</f>
        <v/>
      </c>
      <c r="G311" s="179">
        <f>$B$5+(MIN($B$5,$B$15)*$B$6+MAX($B$5-$B$15,0)*$B$16*$B$7/12)-$B$9-MAX((MIN($B$5,$B$15)*$B$6+MAX($B$5-$B$15,0)*$B$16*$B$7/12)-$B$9-IF(AND(G$309&gt;0,$B$8&gt;0),MIN(G$309*$B$17,$B$13*MAX((MIN($B$5,$B$15)*$B$6+MAX($B$5-$B$15,0)*$B$16*$B$7/12)-$B$9,0)),0),0)*$B$8-(1-G$310)*IF(AND(G$309&gt;0,$B$8&gt;0),MIN(G$309*$B$17,$B$13*MAX((MIN($B$5,$B$15)*$B$6+MAX($B$5-$B$15,0)*$B$16*$B$7/12)-$B$9,0)),0)</f>
        <v/>
      </c>
      <c r="H311" s="179">
        <f>$B$5+(MIN($B$5,$B$15)*$B$6+MAX($B$5-$B$15,0)*$B$16*$B$7/12)-$B$9-MAX((MIN($B$5,$B$15)*$B$6+MAX($B$5-$B$15,0)*$B$16*$B$7/12)-$B$9-IF(AND(H$309&gt;0,$B$8&gt;0),MIN(H$309*$B$17,$B$13*MAX((MIN($B$5,$B$15)*$B$6+MAX($B$5-$B$15,0)*$B$16*$B$7/12)-$B$9,0)),0),0)*$B$8-(1-H$310)*IF(AND(H$309&gt;0,$B$8&gt;0),MIN(H$309*$B$17,$B$13*MAX((MIN($B$5,$B$15)*$B$6+MAX($B$5-$B$15,0)*$B$16*$B$7/12)-$B$9,0)),0)</f>
        <v/>
      </c>
      <c r="I311" s="179">
        <f>$B$5+(MIN($B$5,$B$15)*$B$6+MAX($B$5-$B$15,0)*$B$16*$B$7/12)-$B$9-MAX((MIN($B$5,$B$15)*$B$6+MAX($B$5-$B$15,0)*$B$16*$B$7/12)-$B$9-IF(AND(I$309&gt;0,$B$8&gt;0),MIN(I$309*$B$17,$B$13*MAX((MIN($B$5,$B$15)*$B$6+MAX($B$5-$B$15,0)*$B$16*$B$7/12)-$B$9,0)),0),0)*$B$8-(1-I$310)*IF(AND(I$309&gt;0,$B$8&gt;0),MIN(I$309*$B$17,$B$13*MAX((MIN($B$5,$B$15)*$B$6+MAX($B$5-$B$15,0)*$B$16*$B$7/12)-$B$9,0)),0)</f>
        <v/>
      </c>
      <c r="J311" s="179">
        <f>$B$5+(MIN($B$5,$B$15)*$B$6+MAX($B$5-$B$15,0)*$B$16*$B$7/12)-$B$9-MAX((MIN($B$5,$B$15)*$B$6+MAX($B$5-$B$15,0)*$B$16*$B$7/12)-$B$9-IF(AND(J$309&gt;0,$B$8&gt;0),MIN(J$309*$B$17,$B$13*MAX((MIN($B$5,$B$15)*$B$6+MAX($B$5-$B$15,0)*$B$16*$B$7/12)-$B$9,0)),0),0)*$B$8-(1-J$310)*IF(AND(J$309&gt;0,$B$8&gt;0),MIN(J$309*$B$17,$B$13*MAX((MIN($B$5,$B$15)*$B$6+MAX($B$5-$B$15,0)*$B$16*$B$7/12)-$B$9,0)),0)</f>
        <v/>
      </c>
      <c r="K311" s="179">
        <f>$B$5+(MIN($B$5,$B$15)*$B$6+MAX($B$5-$B$15,0)*$B$16*$B$7/12)-$B$9-MAX((MIN($B$5,$B$15)*$B$6+MAX($B$5-$B$15,0)*$B$16*$B$7/12)-$B$9-IF(AND(K$309&gt;0,$B$8&gt;0),MIN(K$309*$B$17,$B$13*MAX((MIN($B$5,$B$15)*$B$6+MAX($B$5-$B$15,0)*$B$16*$B$7/12)-$B$9,0)),0),0)*$B$8-(1-K$310)*IF(AND(K$309&gt;0,$B$8&gt;0),MIN(K$309*$B$17,$B$13*MAX((MIN($B$5,$B$15)*$B$6+MAX($B$5-$B$15,0)*$B$16*$B$7/12)-$B$9,0)),0)</f>
        <v/>
      </c>
      <c r="L311" s="179">
        <f>$B$5+(MIN($B$5,$B$15)*$B$6+MAX($B$5-$B$15,0)*$B$16*$B$7/12)-$B$9-MAX((MIN($B$5,$B$15)*$B$6+MAX($B$5-$B$15,0)*$B$16*$B$7/12)-$B$9-IF(AND(L$309&gt;0,$B$8&gt;0),MIN(L$309*$B$17,$B$13*MAX((MIN($B$5,$B$15)*$B$6+MAX($B$5-$B$15,0)*$B$16*$B$7/12)-$B$9,0)),0),0)*$B$8-(1-L$310)*IF(AND(L$309&gt;0,$B$8&gt;0),MIN(L$309*$B$17,$B$13*MAX((MIN($B$5,$B$15)*$B$6+MAX($B$5-$B$15,0)*$B$16*$B$7/12)-$B$9,0)),0)</f>
        <v/>
      </c>
      <c r="M311" s="179">
        <f>$B$5+(MIN($B$5,$B$15)*$B$6+MAX($B$5-$B$15,0)*$B$16*$B$7/12)-$B$9-MAX((MIN($B$5,$B$15)*$B$6+MAX($B$5-$B$15,0)*$B$16*$B$7/12)-$B$9-IF(AND(M$309&gt;0,$B$8&gt;0),MIN(M$309*$B$17,$B$13*MAX((MIN($B$5,$B$15)*$B$6+MAX($B$5-$B$15,0)*$B$16*$B$7/12)-$B$9,0)),0),0)*$B$8-(1-M$310)*IF(AND(M$309&gt;0,$B$8&gt;0),MIN(M$309*$B$17,$B$13*MAX((MIN($B$5,$B$15)*$B$6+MAX($B$5-$B$15,0)*$B$16*$B$7/12)-$B$9,0)),0)</f>
        <v/>
      </c>
      <c r="N311" s="179">
        <f>$B$5+(MIN($B$5,$B$15)*$B$6+MAX($B$5-$B$15,0)*$B$16*$B$7/12)-$B$9-MAX((MIN($B$5,$B$15)*$B$6+MAX($B$5-$B$15,0)*$B$16*$B$7/12)-$B$9-IF(AND(N$309&gt;0,$B$8&gt;0),MIN(N$309*$B$17,$B$13*MAX((MIN($B$5,$B$15)*$B$6+MAX($B$5-$B$15,0)*$B$16*$B$7/12)-$B$9,0)),0),0)*$B$8-(1-N$310)*IF(AND(N$309&gt;0,$B$8&gt;0),MIN(N$309*$B$17,$B$13*MAX((MIN($B$5,$B$15)*$B$6+MAX($B$5-$B$15,0)*$B$16*$B$7/12)-$B$9,0)),0)</f>
        <v/>
      </c>
      <c r="O311" s="179">
        <f>$B$5+(MIN($B$5,$B$15)*$B$6+MAX($B$5-$B$15,0)*$B$16*$B$7/12)-$B$9-MAX((MIN($B$5,$B$15)*$B$6+MAX($B$5-$B$15,0)*$B$16*$B$7/12)-$B$9-IF(AND(O$309&gt;0,$B$8&gt;0),MIN(O$309*$B$17,$B$13*MAX((MIN($B$5,$B$15)*$B$6+MAX($B$5-$B$15,0)*$B$16*$B$7/12)-$B$9,0)),0),0)*$B$8-(1-O$310)*IF(AND(O$309&gt;0,$B$8&gt;0),MIN(O$309*$B$17,$B$13*MAX((MIN($B$5,$B$15)*$B$6+MAX($B$5-$B$15,0)*$B$16*$B$7/12)-$B$9,0)),0)</f>
        <v/>
      </c>
      <c r="P311" s="179">
        <f>$B$5+(MIN($B$5,$B$15)*$B$6+MAX($B$5-$B$15,0)*$B$16*$B$7/12)-$B$9-MAX((MIN($B$5,$B$15)*$B$6+MAX($B$5-$B$15,0)*$B$16*$B$7/12)-$B$9-IF(AND(P$309&gt;0,$B$8&gt;0),MIN(P$309*$B$17,$B$13*MAX((MIN($B$5,$B$15)*$B$6+MAX($B$5-$B$15,0)*$B$16*$B$7/12)-$B$9,0)),0),0)*$B$8-(1-P$310)*IF(AND(P$309&gt;0,$B$8&gt;0),MIN(P$309*$B$17,$B$13*MAX((MIN($B$5,$B$15)*$B$6+MAX($B$5-$B$15,0)*$B$16*$B$7/12)-$B$9,0)),0)</f>
        <v/>
      </c>
      <c r="Q311" s="179">
        <f>$B$5+(MIN($B$5,$B$15)*$B$6+MAX($B$5-$B$15,0)*$B$16*$B$7/12)-$B$9-MAX((MIN($B$5,$B$15)*$B$6+MAX($B$5-$B$15,0)*$B$16*$B$7/12)-$B$9-IF(AND(Q$309&gt;0,$B$8&gt;0),MIN(Q$309*$B$17,$B$13*MAX((MIN($B$5,$B$15)*$B$6+MAX($B$5-$B$15,0)*$B$16*$B$7/12)-$B$9,0)),0),0)*$B$8-(1-Q$310)*IF(AND(Q$309&gt;0,$B$8&gt;0),MIN(Q$309*$B$17,$B$13*MAX((MIN($B$5,$B$15)*$B$6+MAX($B$5-$B$15,0)*$B$16*$B$7/12)-$B$9,0)),0)</f>
        <v/>
      </c>
      <c r="R311" s="179">
        <f>$B$5+(MIN($B$5,$B$15)*$B$6+MAX($B$5-$B$15,0)*$B$16*$B$7/12)-$B$9-MAX((MIN($B$5,$B$15)*$B$6+MAX($B$5-$B$15,0)*$B$16*$B$7/12)-$B$9-IF(AND(R$309&gt;0,$B$8&gt;0),MIN(R$309*$B$17,$B$13*MAX((MIN($B$5,$B$15)*$B$6+MAX($B$5-$B$15,0)*$B$16*$B$7/12)-$B$9,0)),0),0)*$B$8-(1-R$310)*IF(AND(R$309&gt;0,$B$8&gt;0),MIN(R$309*$B$17,$B$13*MAX((MIN($B$5,$B$15)*$B$6+MAX($B$5-$B$15,0)*$B$16*$B$7/12)-$B$9,0)),0)</f>
        <v/>
      </c>
      <c r="S311" s="179">
        <f>$B$5+(MIN($B$5,$B$15)*$B$6+MAX($B$5-$B$15,0)*$B$16*$B$7/12)-$B$9-MAX((MIN($B$5,$B$15)*$B$6+MAX($B$5-$B$15,0)*$B$16*$B$7/12)-$B$9-IF(AND(S$309&gt;0,$B$8&gt;0),MIN(S$309*$B$17,$B$13*MAX((MIN($B$5,$B$15)*$B$6+MAX($B$5-$B$15,0)*$B$16*$B$7/12)-$B$9,0)),0),0)*$B$8-(1-S$310)*IF(AND(S$309&gt;0,$B$8&gt;0),MIN(S$309*$B$17,$B$13*MAX((MIN($B$5,$B$15)*$B$6+MAX($B$5-$B$15,0)*$B$16*$B$7/12)-$B$9,0)),0)</f>
        <v/>
      </c>
      <c r="T311" s="179">
        <f>$B$5+(MIN($B$5,$B$15)*$B$6+MAX($B$5-$B$15,0)*$B$16*$B$7/12)-$B$9-MAX((MIN($B$5,$B$15)*$B$6+MAX($B$5-$B$15,0)*$B$16*$B$7/12)-$B$9-IF(AND(T$309&gt;0,$B$8&gt;0),MIN(T$309*$B$17,$B$13*MAX((MIN($B$5,$B$15)*$B$6+MAX($B$5-$B$15,0)*$B$16*$B$7/12)-$B$9,0)),0),0)*$B$8-(1-T$310)*IF(AND(T$309&gt;0,$B$8&gt;0),MIN(T$309*$B$17,$B$13*MAX((MIN($B$5,$B$15)*$B$6+MAX($B$5-$B$15,0)*$B$16*$B$7/12)-$B$9,0)),0)</f>
        <v/>
      </c>
      <c r="U311" s="179">
        <f>$B$5+(MIN($B$5,$B$15)*$B$6+MAX($B$5-$B$15,0)*$B$16*$B$7/12)-$B$9-MAX((MIN($B$5,$B$15)*$B$6+MAX($B$5-$B$15,0)*$B$16*$B$7/12)-$B$9-IF(AND(U$309&gt;0,$B$8&gt;0),MIN(U$309*$B$17,$B$13*MAX((MIN($B$5,$B$15)*$B$6+MAX($B$5-$B$15,0)*$B$16*$B$7/12)-$B$9,0)),0),0)*$B$8-(1-U$310)*IF(AND(U$309&gt;0,$B$8&gt;0),MIN(U$309*$B$17,$B$13*MAX((MIN($B$5,$B$15)*$B$6+MAX($B$5-$B$15,0)*$B$16*$B$7/12)-$B$9,0)),0)</f>
        <v/>
      </c>
      <c r="V311" s="179">
        <f>$B$5+(MIN($B$5,$B$15)*$B$6+MAX($B$5-$B$15,0)*$B$16*$B$7/12)-$B$9-MAX((MIN($B$5,$B$15)*$B$6+MAX($B$5-$B$15,0)*$B$16*$B$7/12)-$B$9-IF(AND(V$309&gt;0,$B$8&gt;0),MIN(V$309*$B$17,$B$13*MAX((MIN($B$5,$B$15)*$B$6+MAX($B$5-$B$15,0)*$B$16*$B$7/12)-$B$9,0)),0),0)*$B$8-(1-V$310)*IF(AND(V$309&gt;0,$B$8&gt;0),MIN(V$309*$B$17,$B$13*MAX((MIN($B$5,$B$15)*$B$6+MAX($B$5-$B$15,0)*$B$16*$B$7/12)-$B$9,0)),0)</f>
        <v/>
      </c>
      <c r="W311" s="179">
        <f>$B$5+(MIN($B$5,$B$15)*$B$6+MAX($B$5-$B$15,0)*$B$16*$B$7/12)-$B$9-MAX((MIN($B$5,$B$15)*$B$6+MAX($B$5-$B$15,0)*$B$16*$B$7/12)-$B$9-IF(AND(W$309&gt;0,$B$8&gt;0),MIN(W$309*$B$17,$B$13*MAX((MIN($B$5,$B$15)*$B$6+MAX($B$5-$B$15,0)*$B$16*$B$7/12)-$B$9,0)),0),0)*$B$8-(1-W$310)*IF(AND(W$309&gt;0,$B$8&gt;0),MIN(W$309*$B$17,$B$13*MAX((MIN($B$5,$B$15)*$B$6+MAX($B$5-$B$15,0)*$B$16*$B$7/12)-$B$9,0)),0)</f>
        <v/>
      </c>
      <c r="X311" s="179">
        <f>$B$5+(MIN($B$5,$B$15)*$B$6+MAX($B$5-$B$15,0)*$B$16*$B$7/12)-$B$9-MAX((MIN($B$5,$B$15)*$B$6+MAX($B$5-$B$15,0)*$B$16*$B$7/12)-$B$9-IF(AND(X$309&gt;0,$B$8&gt;0),MIN(X$309*$B$17,$B$13*MAX((MIN($B$5,$B$15)*$B$6+MAX($B$5-$B$15,0)*$B$16*$B$7/12)-$B$9,0)),0),0)*$B$8-(1-X$310)*IF(AND(X$309&gt;0,$B$8&gt;0),MIN(X$309*$B$17,$B$13*MAX((MIN($B$5,$B$15)*$B$6+MAX($B$5-$B$15,0)*$B$16*$B$7/12)-$B$9,0)),0)</f>
        <v/>
      </c>
      <c r="Y311" s="179">
        <f>$B$5+(MIN($B$5,$B$15)*$B$6+MAX($B$5-$B$15,0)*$B$16*$B$7/12)-$B$9-MAX((MIN($B$5,$B$15)*$B$6+MAX($B$5-$B$15,0)*$B$16*$B$7/12)-$B$9-IF(AND(Y$309&gt;0,$B$8&gt;0),MIN(Y$309*$B$17,$B$13*MAX((MIN($B$5,$B$15)*$B$6+MAX($B$5-$B$15,0)*$B$16*$B$7/12)-$B$9,0)),0),0)*$B$8-(1-Y$310)*IF(AND(Y$309&gt;0,$B$8&gt;0),MIN(Y$309*$B$17,$B$13*MAX((MIN($B$5,$B$15)*$B$6+MAX($B$5-$B$15,0)*$B$16*$B$7/12)-$B$9,0)),0)</f>
        <v/>
      </c>
      <c r="Z311" s="179">
        <f>$B$5+(MIN($B$5,$B$15)*$B$6+MAX($B$5-$B$15,0)*$B$16*$B$7/12)-$B$9-MAX((MIN($B$5,$B$15)*$B$6+MAX($B$5-$B$15,0)*$B$16*$B$7/12)-$B$9-IF(AND(Z$309&gt;0,$B$8&gt;0),MIN(Z$309*$B$17,$B$13*MAX((MIN($B$5,$B$15)*$B$6+MAX($B$5-$B$15,0)*$B$16*$B$7/12)-$B$9,0)),0),0)*$B$8-(1-Z$310)*IF(AND(Z$309&gt;0,$B$8&gt;0),MIN(Z$309*$B$17,$B$13*MAX((MIN($B$5,$B$15)*$B$6+MAX($B$5-$B$15,0)*$B$16*$B$7/12)-$B$9,0)),0)</f>
        <v/>
      </c>
      <c r="AA311" s="179">
        <f>$B$5+(MIN($B$5,$B$15)*$B$6+MAX($B$5-$B$15,0)*$B$16*$B$7/12)-$B$9-MAX((MIN($B$5,$B$15)*$B$6+MAX($B$5-$B$15,0)*$B$16*$B$7/12)-$B$9-IF(AND(AA$309&gt;0,$B$8&gt;0),MIN(AA$309*$B$17,$B$13*MAX((MIN($B$5,$B$15)*$B$6+MAX($B$5-$B$15,0)*$B$16*$B$7/12)-$B$9,0)),0),0)*$B$8-(1-AA$310)*IF(AND(AA$309&gt;0,$B$8&gt;0),MIN(AA$309*$B$17,$B$13*MAX((MIN($B$5,$B$15)*$B$6+MAX($B$5-$B$15,0)*$B$16*$B$7/12)-$B$9,0)),0)</f>
        <v/>
      </c>
      <c r="AB311" s="179">
        <f>$B$5+(MIN($B$5,$B$15)*$B$6+MAX($B$5-$B$15,0)*$B$16*$B$7/12)-$B$9-MAX((MIN($B$5,$B$15)*$B$6+MAX($B$5-$B$15,0)*$B$16*$B$7/12)-$B$9-IF(AND(AB$309&gt;0,$B$8&gt;0),MIN(AB$309*$B$17,$B$13*MAX((MIN($B$5,$B$15)*$B$6+MAX($B$5-$B$15,0)*$B$16*$B$7/12)-$B$9,0)),0),0)*$B$8-(1-AB$310)*IF(AND(AB$309&gt;0,$B$8&gt;0),MIN(AB$309*$B$17,$B$13*MAX((MIN($B$5,$B$15)*$B$6+MAX($B$5-$B$15,0)*$B$16*$B$7/12)-$B$9,0)),0)</f>
        <v/>
      </c>
      <c r="AC311" s="179">
        <f>$B$5+(MIN($B$5,$B$15)*$B$6+MAX($B$5-$B$15,0)*$B$16*$B$7/12)-$B$9-MAX((MIN($B$5,$B$15)*$B$6+MAX($B$5-$B$15,0)*$B$16*$B$7/12)-$B$9-IF(AND(AC$309&gt;0,$B$8&gt;0),MIN(AC$309*$B$17,$B$13*MAX((MIN($B$5,$B$15)*$B$6+MAX($B$5-$B$15,0)*$B$16*$B$7/12)-$B$9,0)),0),0)*$B$8-(1-AC$310)*IF(AND(AC$309&gt;0,$B$8&gt;0),MIN(AC$309*$B$17,$B$13*MAX((MIN($B$5,$B$15)*$B$6+MAX($B$5-$B$15,0)*$B$16*$B$7/12)-$B$9,0)),0)</f>
        <v/>
      </c>
      <c r="AD311" s="179">
        <f>$B$5+(MIN($B$5,$B$15)*$B$6+MAX($B$5-$B$15,0)*$B$16*$B$7/12)-$B$9-MAX((MIN($B$5,$B$15)*$B$6+MAX($B$5-$B$15,0)*$B$16*$B$7/12)-$B$9-IF(AND(AD$309&gt;0,$B$8&gt;0),MIN(AD$309*$B$17,$B$13*MAX((MIN($B$5,$B$15)*$B$6+MAX($B$5-$B$15,0)*$B$16*$B$7/12)-$B$9,0)),0),0)*$B$8-(1-AD$310)*IF(AND(AD$309&gt;0,$B$8&gt;0),MIN(AD$309*$B$17,$B$13*MAX((MIN($B$5,$B$15)*$B$6+MAX($B$5-$B$15,0)*$B$16*$B$7/12)-$B$9,0)),0)</f>
        <v/>
      </c>
      <c r="AE311" s="179">
        <f>$B$5+(MIN($B$5,$B$15)*$B$6+MAX($B$5-$B$15,0)*$B$16*$B$7/12)-$B$9-MAX((MIN($B$5,$B$15)*$B$6+MAX($B$5-$B$15,0)*$B$16*$B$7/12)-$B$9-IF(AND(AE$309&gt;0,$B$8&gt;0),MIN(AE$309*$B$17,$B$13*MAX((MIN($B$5,$B$15)*$B$6+MAX($B$5-$B$15,0)*$B$16*$B$7/12)-$B$9,0)),0),0)*$B$8-(1-AE$310)*IF(AND(AE$309&gt;0,$B$8&gt;0),MIN(AE$309*$B$17,$B$13*MAX((MIN($B$5,$B$15)*$B$6+MAX($B$5-$B$15,0)*$B$16*$B$7/12)-$B$9,0)),0)</f>
        <v/>
      </c>
      <c r="AF311" s="179">
        <f>$B$5+(MIN($B$5,$B$15)*$B$6+MAX($B$5-$B$15,0)*$B$16*$B$7/12)-$B$9-MAX((MIN($B$5,$B$15)*$B$6+MAX($B$5-$B$15,0)*$B$16*$B$7/12)-$B$9-IF(AND(AF$309&gt;0,$B$8&gt;0),MIN(AF$309*$B$17,$B$13*MAX((MIN($B$5,$B$15)*$B$6+MAX($B$5-$B$15,0)*$B$16*$B$7/12)-$B$9,0)),0),0)*$B$8-(1-AF$310)*IF(AND(AF$309&gt;0,$B$8&gt;0),MIN(AF$309*$B$17,$B$13*MAX((MIN($B$5,$B$15)*$B$6+MAX($B$5-$B$15,0)*$B$16*$B$7/12)-$B$9,0)),0)</f>
        <v/>
      </c>
      <c r="AG311" s="179">
        <f>$B$5+(MIN($B$5,$B$15)*$B$6+MAX($B$5-$B$15,0)*$B$16*$B$7/12)-$B$9-MAX((MIN($B$5,$B$15)*$B$6+MAX($B$5-$B$15,0)*$B$16*$B$7/12)-$B$9-IF(AND(AG$309&gt;0,$B$8&gt;0),MIN(AG$309*$B$17,$B$13*MAX((MIN($B$5,$B$15)*$B$6+MAX($B$5-$B$15,0)*$B$16*$B$7/12)-$B$9,0)),0),0)*$B$8-(1-AG$310)*IF(AND(AG$309&gt;0,$B$8&gt;0),MIN(AG$309*$B$17,$B$13*MAX((MIN($B$5,$B$15)*$B$6+MAX($B$5-$B$15,0)*$B$16*$B$7/12)-$B$9,0)),0)</f>
        <v/>
      </c>
      <c r="AH311" s="179">
        <f>$B$5+(MIN($B$5,$B$15)*$B$6+MAX($B$5-$B$15,0)*$B$16*$B$7/12)-$B$9-MAX((MIN($B$5,$B$15)*$B$6+MAX($B$5-$B$15,0)*$B$16*$B$7/12)-$B$9-IF(AND(AH$309&gt;0,$B$8&gt;0),MIN(AH$309*$B$17,$B$13*MAX((MIN($B$5,$B$15)*$B$6+MAX($B$5-$B$15,0)*$B$16*$B$7/12)-$B$9,0)),0),0)*$B$8-(1-AH$310)*IF(AND(AH$309&gt;0,$B$8&gt;0),MIN(AH$309*$B$17,$B$13*MAX((MIN($B$5,$B$15)*$B$6+MAX($B$5-$B$15,0)*$B$16*$B$7/12)-$B$9,0)),0)</f>
        <v/>
      </c>
      <c r="AI311" s="179">
        <f>$B$5+(MIN($B$5,$B$15)*$B$6+MAX($B$5-$B$15,0)*$B$16*$B$7/12)-$B$9-MAX((MIN($B$5,$B$15)*$B$6+MAX($B$5-$B$15,0)*$B$16*$B$7/12)-$B$9-IF(AND(AI$309&gt;0,$B$8&gt;0),MIN(AI$309*$B$17,$B$13*MAX((MIN($B$5,$B$15)*$B$6+MAX($B$5-$B$15,0)*$B$16*$B$7/12)-$B$9,0)),0),0)*$B$8-(1-AI$310)*IF(AND(AI$309&gt;0,$B$8&gt;0),MIN(AI$309*$B$17,$B$13*MAX((MIN($B$5,$B$15)*$B$6+MAX($B$5-$B$15,0)*$B$16*$B$7/12)-$B$9,0)),0)</f>
        <v/>
      </c>
      <c r="AJ311" s="179">
        <f>$B$5+(MIN($B$5,$B$15)*$B$6+MAX($B$5-$B$15,0)*$B$16*$B$7/12)-$B$9-MAX((MIN($B$5,$B$15)*$B$6+MAX($B$5-$B$15,0)*$B$16*$B$7/12)-$B$9-IF(AND(AJ$309&gt;0,$B$8&gt;0),MIN(AJ$309*$B$17,$B$13*MAX((MIN($B$5,$B$15)*$B$6+MAX($B$5-$B$15,0)*$B$16*$B$7/12)-$B$9,0)),0),0)*$B$8-(1-AJ$310)*IF(AND(AJ$309&gt;0,$B$8&gt;0),MIN(AJ$309*$B$17,$B$13*MAX((MIN($B$5,$B$15)*$B$6+MAX($B$5-$B$15,0)*$B$16*$B$7/12)-$B$9,0)),0)</f>
        <v/>
      </c>
      <c r="AK311" s="179">
        <f>$B$5+(MIN($B$5,$B$15)*$B$6+MAX($B$5-$B$15,0)*$B$16*$B$7/12)-$B$9-MAX((MIN($B$5,$B$15)*$B$6+MAX($B$5-$B$15,0)*$B$16*$B$7/12)-$B$9-IF(AND(AK$309&gt;0,$B$8&gt;0),MIN(AK$309*$B$17,$B$13*MAX((MIN($B$5,$B$15)*$B$6+MAX($B$5-$B$15,0)*$B$16*$B$7/12)-$B$9,0)),0),0)*$B$8-(1-AK$310)*IF(AND(AK$309&gt;0,$B$8&gt;0),MIN(AK$309*$B$17,$B$13*MAX((MIN($B$5,$B$15)*$B$6+MAX($B$5-$B$15,0)*$B$16*$B$7/12)-$B$9,0)),0)</f>
        <v/>
      </c>
      <c r="AL311" s="179">
        <f>$B$5+(MIN($B$5,$B$15)*$B$6+MAX($B$5-$B$15,0)*$B$16*$B$7/12)-$B$9-MAX((MIN($B$5,$B$15)*$B$6+MAX($B$5-$B$15,0)*$B$16*$B$7/12)-$B$9-IF(AND(AL$309&gt;0,$B$8&gt;0),MIN(AL$309*$B$17,$B$13*MAX((MIN($B$5,$B$15)*$B$6+MAX($B$5-$B$15,0)*$B$16*$B$7/12)-$B$9,0)),0),0)*$B$8-(1-AL$310)*IF(AND(AL$309&gt;0,$B$8&gt;0),MIN(AL$309*$B$17,$B$13*MAX((MIN($B$5,$B$15)*$B$6+MAX($B$5-$B$15,0)*$B$16*$B$7/12)-$B$9,0)),0)</f>
        <v/>
      </c>
      <c r="AM311" s="179">
        <f>$B$5+(MIN($B$5,$B$15)*$B$6+MAX($B$5-$B$15,0)*$B$16*$B$7/12)-$B$9-MAX((MIN($B$5,$B$15)*$B$6+MAX($B$5-$B$15,0)*$B$16*$B$7/12)-$B$9-IF(AND(AM$309&gt;0,$B$8&gt;0),MIN(AM$309*$B$17,$B$13*MAX((MIN($B$5,$B$15)*$B$6+MAX($B$5-$B$15,0)*$B$16*$B$7/12)-$B$9,0)),0),0)*$B$8-(1-AM$310)*IF(AND(AM$309&gt;0,$B$8&gt;0),MIN(AM$309*$B$17,$B$13*MAX((MIN($B$5,$B$15)*$B$6+MAX($B$5-$B$15,0)*$B$16*$B$7/12)-$B$9,0)),0)</f>
        <v/>
      </c>
      <c r="AN311" s="179">
        <f>$B$5+(MIN($B$5,$B$15)*$B$6+MAX($B$5-$B$15,0)*$B$16*$B$7/12)-$B$9-MAX((MIN($B$5,$B$15)*$B$6+MAX($B$5-$B$15,0)*$B$16*$B$7/12)-$B$9-IF(AND(AN$309&gt;0,$B$8&gt;0),MIN(AN$309*$B$17,$B$13*MAX((MIN($B$5,$B$15)*$B$6+MAX($B$5-$B$15,0)*$B$16*$B$7/12)-$B$9,0)),0),0)*$B$8-(1-AN$310)*IF(AND(AN$309&gt;0,$B$8&gt;0),MIN(AN$309*$B$17,$B$13*MAX((MIN($B$5,$B$15)*$B$6+MAX($B$5-$B$15,0)*$B$16*$B$7/12)-$B$9,0)),0)</f>
        <v/>
      </c>
      <c r="AO311" s="179">
        <f>$B$5+(MIN($B$5,$B$15)*$B$6+MAX($B$5-$B$15,0)*$B$16*$B$7/12)-$B$9-MAX((MIN($B$5,$B$15)*$B$6+MAX($B$5-$B$15,0)*$B$16*$B$7/12)-$B$9-IF(AND(AO$309&gt;0,$B$8&gt;0),MIN(AO$309*$B$17,$B$13*MAX((MIN($B$5,$B$15)*$B$6+MAX($B$5-$B$15,0)*$B$16*$B$7/12)-$B$9,0)),0),0)*$B$8-(1-AO$310)*IF(AND(AO$309&gt;0,$B$8&gt;0),MIN(AO$309*$B$17,$B$13*MAX((MIN($B$5,$B$15)*$B$6+MAX($B$5-$B$15,0)*$B$16*$B$7/12)-$B$9,0)),0)</f>
        <v/>
      </c>
      <c r="AP311" s="179">
        <f>$B$5+(MIN($B$5,$B$15)*$B$6+MAX($B$5-$B$15,0)*$B$16*$B$7/12)-$B$9-MAX((MIN($B$5,$B$15)*$B$6+MAX($B$5-$B$15,0)*$B$16*$B$7/12)-$B$9-IF(AND(AP$309&gt;0,$B$8&gt;0),MIN(AP$309*$B$17,$B$13*MAX((MIN($B$5,$B$15)*$B$6+MAX($B$5-$B$15,0)*$B$16*$B$7/12)-$B$9,0)),0),0)*$B$8-(1-AP$310)*IF(AND(AP$309&gt;0,$B$8&gt;0),MIN(AP$309*$B$17,$B$13*MAX((MIN($B$5,$B$15)*$B$6+MAX($B$5-$B$15,0)*$B$16*$B$7/12)-$B$9,0)),0)</f>
        <v/>
      </c>
      <c r="AQ311" s="179">
        <f>$B$5+(MIN($B$5,$B$15)*$B$6+MAX($B$5-$B$15,0)*$B$16*$B$7/12)-$B$9-MAX((MIN($B$5,$B$15)*$B$6+MAX($B$5-$B$15,0)*$B$16*$B$7/12)-$B$9-IF(AND(AQ$309&gt;0,$B$8&gt;0),MIN(AQ$309*$B$17,$B$13*MAX((MIN($B$5,$B$15)*$B$6+MAX($B$5-$B$15,0)*$B$16*$B$7/12)-$B$9,0)),0),0)*$B$8-(1-AQ$310)*IF(AND(AQ$309&gt;0,$B$8&gt;0),MIN(AQ$309*$B$17,$B$13*MAX((MIN($B$5,$B$15)*$B$6+MAX($B$5-$B$15,0)*$B$16*$B$7/12)-$B$9,0)),0)</f>
        <v/>
      </c>
    </row>
    <row r="312" hidden="1" outlineLevel="1">
      <c r="A312" s="164" t="inlineStr">
        <is>
          <t>Cycle 2</t>
        </is>
      </c>
      <c r="B312" s="179">
        <f>B311+(MIN(B311,$B$15)*$B$6+MAX(B311-$B$15,0)*$B$16*$B$7/12)-$B$9-MAX((MIN(B311,$B$15)*$B$6+MAX(B311-$B$15,0)*$B$16*$B$7/12)-$B$9-IF(AND(B$309&gt;0,$B$8&gt;0),MIN(B$309*$B$17,$B$13*MAX((MIN(B311,$B$15)*$B$6+MAX(B311-$B$15,0)*$B$16*$B$7/12)-$B$9,0)),0),0)*$B$8-(1-B$310)*IF(AND(B$309&gt;0,$B$8&gt;0),MIN(B$309*$B$17,$B$13*MAX((MIN(B311,$B$15)*$B$6+MAX(B311-$B$15,0)*$B$16*$B$7/12)-$B$9,0)),0)</f>
        <v/>
      </c>
      <c r="C312" s="179">
        <f>C311+(MIN(C311,$B$15)*$B$6+MAX(C311-$B$15,0)*$B$16*$B$7/12)-$B$9-MAX((MIN(C311,$B$15)*$B$6+MAX(C311-$B$15,0)*$B$16*$B$7/12)-$B$9-IF(AND(C$309&gt;0,$B$8&gt;0),MIN(C$309*$B$17,$B$13*MAX((MIN(C311,$B$15)*$B$6+MAX(C311-$B$15,0)*$B$16*$B$7/12)-$B$9,0)),0),0)*$B$8-(1-C$310)*IF(AND(C$309&gt;0,$B$8&gt;0),MIN(C$309*$B$17,$B$13*MAX((MIN(C311,$B$15)*$B$6+MAX(C311-$B$15,0)*$B$16*$B$7/12)-$B$9,0)),0)</f>
        <v/>
      </c>
      <c r="D312" s="179">
        <f>D311+(MIN(D311,$B$15)*$B$6+MAX(D311-$B$15,0)*$B$16*$B$7/12)-$B$9-MAX((MIN(D311,$B$15)*$B$6+MAX(D311-$B$15,0)*$B$16*$B$7/12)-$B$9-IF(AND(D$309&gt;0,$B$8&gt;0),MIN(D$309*$B$17,$B$13*MAX((MIN(D311,$B$15)*$B$6+MAX(D311-$B$15,0)*$B$16*$B$7/12)-$B$9,0)),0),0)*$B$8-(1-D$310)*IF(AND(D$309&gt;0,$B$8&gt;0),MIN(D$309*$B$17,$B$13*MAX((MIN(D311,$B$15)*$B$6+MAX(D311-$B$15,0)*$B$16*$B$7/12)-$B$9,0)),0)</f>
        <v/>
      </c>
      <c r="E312" s="179">
        <f>E311+(MIN(E311,$B$15)*$B$6+MAX(E311-$B$15,0)*$B$16*$B$7/12)-$B$9-MAX((MIN(E311,$B$15)*$B$6+MAX(E311-$B$15,0)*$B$16*$B$7/12)-$B$9-IF(AND(E$309&gt;0,$B$8&gt;0),MIN(E$309*$B$17,$B$13*MAX((MIN(E311,$B$15)*$B$6+MAX(E311-$B$15,0)*$B$16*$B$7/12)-$B$9,0)),0),0)*$B$8-(1-E$310)*IF(AND(E$309&gt;0,$B$8&gt;0),MIN(E$309*$B$17,$B$13*MAX((MIN(E311,$B$15)*$B$6+MAX(E311-$B$15,0)*$B$16*$B$7/12)-$B$9,0)),0)</f>
        <v/>
      </c>
      <c r="F312" s="179">
        <f>F311+(MIN(F311,$B$15)*$B$6+MAX(F311-$B$15,0)*$B$16*$B$7/12)-$B$9-MAX((MIN(F311,$B$15)*$B$6+MAX(F311-$B$15,0)*$B$16*$B$7/12)-$B$9-IF(AND(F$309&gt;0,$B$8&gt;0),MIN(F$309*$B$17,$B$13*MAX((MIN(F311,$B$15)*$B$6+MAX(F311-$B$15,0)*$B$16*$B$7/12)-$B$9,0)),0),0)*$B$8-(1-F$310)*IF(AND(F$309&gt;0,$B$8&gt;0),MIN(F$309*$B$17,$B$13*MAX((MIN(F311,$B$15)*$B$6+MAX(F311-$B$15,0)*$B$16*$B$7/12)-$B$9,0)),0)</f>
        <v/>
      </c>
      <c r="G312" s="179">
        <f>G311+(MIN(G311,$B$15)*$B$6+MAX(G311-$B$15,0)*$B$16*$B$7/12)-$B$9-MAX((MIN(G311,$B$15)*$B$6+MAX(G311-$B$15,0)*$B$16*$B$7/12)-$B$9-IF(AND(G$309&gt;0,$B$8&gt;0),MIN(G$309*$B$17,$B$13*MAX((MIN(G311,$B$15)*$B$6+MAX(G311-$B$15,0)*$B$16*$B$7/12)-$B$9,0)),0),0)*$B$8-(1-G$310)*IF(AND(G$309&gt;0,$B$8&gt;0),MIN(G$309*$B$17,$B$13*MAX((MIN(G311,$B$15)*$B$6+MAX(G311-$B$15,0)*$B$16*$B$7/12)-$B$9,0)),0)</f>
        <v/>
      </c>
      <c r="H312" s="179">
        <f>H311+(MIN(H311,$B$15)*$B$6+MAX(H311-$B$15,0)*$B$16*$B$7/12)-$B$9-MAX((MIN(H311,$B$15)*$B$6+MAX(H311-$B$15,0)*$B$16*$B$7/12)-$B$9-IF(AND(H$309&gt;0,$B$8&gt;0),MIN(H$309*$B$17,$B$13*MAX((MIN(H311,$B$15)*$B$6+MAX(H311-$B$15,0)*$B$16*$B$7/12)-$B$9,0)),0),0)*$B$8-(1-H$310)*IF(AND(H$309&gt;0,$B$8&gt;0),MIN(H$309*$B$17,$B$13*MAX((MIN(H311,$B$15)*$B$6+MAX(H311-$B$15,0)*$B$16*$B$7/12)-$B$9,0)),0)</f>
        <v/>
      </c>
      <c r="I312" s="179">
        <f>I311+(MIN(I311,$B$15)*$B$6+MAX(I311-$B$15,0)*$B$16*$B$7/12)-$B$9-MAX((MIN(I311,$B$15)*$B$6+MAX(I311-$B$15,0)*$B$16*$B$7/12)-$B$9-IF(AND(I$309&gt;0,$B$8&gt;0),MIN(I$309*$B$17,$B$13*MAX((MIN(I311,$B$15)*$B$6+MAX(I311-$B$15,0)*$B$16*$B$7/12)-$B$9,0)),0),0)*$B$8-(1-I$310)*IF(AND(I$309&gt;0,$B$8&gt;0),MIN(I$309*$B$17,$B$13*MAX((MIN(I311,$B$15)*$B$6+MAX(I311-$B$15,0)*$B$16*$B$7/12)-$B$9,0)),0)</f>
        <v/>
      </c>
      <c r="J312" s="179">
        <f>J311+(MIN(J311,$B$15)*$B$6+MAX(J311-$B$15,0)*$B$16*$B$7/12)-$B$9-MAX((MIN(J311,$B$15)*$B$6+MAX(J311-$B$15,0)*$B$16*$B$7/12)-$B$9-IF(AND(J$309&gt;0,$B$8&gt;0),MIN(J$309*$B$17,$B$13*MAX((MIN(J311,$B$15)*$B$6+MAX(J311-$B$15,0)*$B$16*$B$7/12)-$B$9,0)),0),0)*$B$8-(1-J$310)*IF(AND(J$309&gt;0,$B$8&gt;0),MIN(J$309*$B$17,$B$13*MAX((MIN(J311,$B$15)*$B$6+MAX(J311-$B$15,0)*$B$16*$B$7/12)-$B$9,0)),0)</f>
        <v/>
      </c>
      <c r="K312" s="179">
        <f>K311+(MIN(K311,$B$15)*$B$6+MAX(K311-$B$15,0)*$B$16*$B$7/12)-$B$9-MAX((MIN(K311,$B$15)*$B$6+MAX(K311-$B$15,0)*$B$16*$B$7/12)-$B$9-IF(AND(K$309&gt;0,$B$8&gt;0),MIN(K$309*$B$17,$B$13*MAX((MIN(K311,$B$15)*$B$6+MAX(K311-$B$15,0)*$B$16*$B$7/12)-$B$9,0)),0),0)*$B$8-(1-K$310)*IF(AND(K$309&gt;0,$B$8&gt;0),MIN(K$309*$B$17,$B$13*MAX((MIN(K311,$B$15)*$B$6+MAX(K311-$B$15,0)*$B$16*$B$7/12)-$B$9,0)),0)</f>
        <v/>
      </c>
      <c r="L312" s="179">
        <f>L311+(MIN(L311,$B$15)*$B$6+MAX(L311-$B$15,0)*$B$16*$B$7/12)-$B$9-MAX((MIN(L311,$B$15)*$B$6+MAX(L311-$B$15,0)*$B$16*$B$7/12)-$B$9-IF(AND(L$309&gt;0,$B$8&gt;0),MIN(L$309*$B$17,$B$13*MAX((MIN(L311,$B$15)*$B$6+MAX(L311-$B$15,0)*$B$16*$B$7/12)-$B$9,0)),0),0)*$B$8-(1-L$310)*IF(AND(L$309&gt;0,$B$8&gt;0),MIN(L$309*$B$17,$B$13*MAX((MIN(L311,$B$15)*$B$6+MAX(L311-$B$15,0)*$B$16*$B$7/12)-$B$9,0)),0)</f>
        <v/>
      </c>
      <c r="M312" s="179">
        <f>M311+(MIN(M311,$B$15)*$B$6+MAX(M311-$B$15,0)*$B$16*$B$7/12)-$B$9-MAX((MIN(M311,$B$15)*$B$6+MAX(M311-$B$15,0)*$B$16*$B$7/12)-$B$9-IF(AND(M$309&gt;0,$B$8&gt;0),MIN(M$309*$B$17,$B$13*MAX((MIN(M311,$B$15)*$B$6+MAX(M311-$B$15,0)*$B$16*$B$7/12)-$B$9,0)),0),0)*$B$8-(1-M$310)*IF(AND(M$309&gt;0,$B$8&gt;0),MIN(M$309*$B$17,$B$13*MAX((MIN(M311,$B$15)*$B$6+MAX(M311-$B$15,0)*$B$16*$B$7/12)-$B$9,0)),0)</f>
        <v/>
      </c>
      <c r="N312" s="179">
        <f>N311+(MIN(N311,$B$15)*$B$6+MAX(N311-$B$15,0)*$B$16*$B$7/12)-$B$9-MAX((MIN(N311,$B$15)*$B$6+MAX(N311-$B$15,0)*$B$16*$B$7/12)-$B$9-IF(AND(N$309&gt;0,$B$8&gt;0),MIN(N$309*$B$17,$B$13*MAX((MIN(N311,$B$15)*$B$6+MAX(N311-$B$15,0)*$B$16*$B$7/12)-$B$9,0)),0),0)*$B$8-(1-N$310)*IF(AND(N$309&gt;0,$B$8&gt;0),MIN(N$309*$B$17,$B$13*MAX((MIN(N311,$B$15)*$B$6+MAX(N311-$B$15,0)*$B$16*$B$7/12)-$B$9,0)),0)</f>
        <v/>
      </c>
      <c r="O312" s="179">
        <f>O311+(MIN(O311,$B$15)*$B$6+MAX(O311-$B$15,0)*$B$16*$B$7/12)-$B$9-MAX((MIN(O311,$B$15)*$B$6+MAX(O311-$B$15,0)*$B$16*$B$7/12)-$B$9-IF(AND(O$309&gt;0,$B$8&gt;0),MIN(O$309*$B$17,$B$13*MAX((MIN(O311,$B$15)*$B$6+MAX(O311-$B$15,0)*$B$16*$B$7/12)-$B$9,0)),0),0)*$B$8-(1-O$310)*IF(AND(O$309&gt;0,$B$8&gt;0),MIN(O$309*$B$17,$B$13*MAX((MIN(O311,$B$15)*$B$6+MAX(O311-$B$15,0)*$B$16*$B$7/12)-$B$9,0)),0)</f>
        <v/>
      </c>
      <c r="P312" s="179">
        <f>P311+(MIN(P311,$B$15)*$B$6+MAX(P311-$B$15,0)*$B$16*$B$7/12)-$B$9-MAX((MIN(P311,$B$15)*$B$6+MAX(P311-$B$15,0)*$B$16*$B$7/12)-$B$9-IF(AND(P$309&gt;0,$B$8&gt;0),MIN(P$309*$B$17,$B$13*MAX((MIN(P311,$B$15)*$B$6+MAX(P311-$B$15,0)*$B$16*$B$7/12)-$B$9,0)),0),0)*$B$8-(1-P$310)*IF(AND(P$309&gt;0,$B$8&gt;0),MIN(P$309*$B$17,$B$13*MAX((MIN(P311,$B$15)*$B$6+MAX(P311-$B$15,0)*$B$16*$B$7/12)-$B$9,0)),0)</f>
        <v/>
      </c>
      <c r="Q312" s="179">
        <f>Q311+(MIN(Q311,$B$15)*$B$6+MAX(Q311-$B$15,0)*$B$16*$B$7/12)-$B$9-MAX((MIN(Q311,$B$15)*$B$6+MAX(Q311-$B$15,0)*$B$16*$B$7/12)-$B$9-IF(AND(Q$309&gt;0,$B$8&gt;0),MIN(Q$309*$B$17,$B$13*MAX((MIN(Q311,$B$15)*$B$6+MAX(Q311-$B$15,0)*$B$16*$B$7/12)-$B$9,0)),0),0)*$B$8-(1-Q$310)*IF(AND(Q$309&gt;0,$B$8&gt;0),MIN(Q$309*$B$17,$B$13*MAX((MIN(Q311,$B$15)*$B$6+MAX(Q311-$B$15,0)*$B$16*$B$7/12)-$B$9,0)),0)</f>
        <v/>
      </c>
      <c r="R312" s="179">
        <f>R311+(MIN(R311,$B$15)*$B$6+MAX(R311-$B$15,0)*$B$16*$B$7/12)-$B$9-MAX((MIN(R311,$B$15)*$B$6+MAX(R311-$B$15,0)*$B$16*$B$7/12)-$B$9-IF(AND(R$309&gt;0,$B$8&gt;0),MIN(R$309*$B$17,$B$13*MAX((MIN(R311,$B$15)*$B$6+MAX(R311-$B$15,0)*$B$16*$B$7/12)-$B$9,0)),0),0)*$B$8-(1-R$310)*IF(AND(R$309&gt;0,$B$8&gt;0),MIN(R$309*$B$17,$B$13*MAX((MIN(R311,$B$15)*$B$6+MAX(R311-$B$15,0)*$B$16*$B$7/12)-$B$9,0)),0)</f>
        <v/>
      </c>
      <c r="S312" s="179">
        <f>S311+(MIN(S311,$B$15)*$B$6+MAX(S311-$B$15,0)*$B$16*$B$7/12)-$B$9-MAX((MIN(S311,$B$15)*$B$6+MAX(S311-$B$15,0)*$B$16*$B$7/12)-$B$9-IF(AND(S$309&gt;0,$B$8&gt;0),MIN(S$309*$B$17,$B$13*MAX((MIN(S311,$B$15)*$B$6+MAX(S311-$B$15,0)*$B$16*$B$7/12)-$B$9,0)),0),0)*$B$8-(1-S$310)*IF(AND(S$309&gt;0,$B$8&gt;0),MIN(S$309*$B$17,$B$13*MAX((MIN(S311,$B$15)*$B$6+MAX(S311-$B$15,0)*$B$16*$B$7/12)-$B$9,0)),0)</f>
        <v/>
      </c>
      <c r="T312" s="179">
        <f>T311+(MIN(T311,$B$15)*$B$6+MAX(T311-$B$15,0)*$B$16*$B$7/12)-$B$9-MAX((MIN(T311,$B$15)*$B$6+MAX(T311-$B$15,0)*$B$16*$B$7/12)-$B$9-IF(AND(T$309&gt;0,$B$8&gt;0),MIN(T$309*$B$17,$B$13*MAX((MIN(T311,$B$15)*$B$6+MAX(T311-$B$15,0)*$B$16*$B$7/12)-$B$9,0)),0),0)*$B$8-(1-T$310)*IF(AND(T$309&gt;0,$B$8&gt;0),MIN(T$309*$B$17,$B$13*MAX((MIN(T311,$B$15)*$B$6+MAX(T311-$B$15,0)*$B$16*$B$7/12)-$B$9,0)),0)</f>
        <v/>
      </c>
      <c r="U312" s="179">
        <f>U311+(MIN(U311,$B$15)*$B$6+MAX(U311-$B$15,0)*$B$16*$B$7/12)-$B$9-MAX((MIN(U311,$B$15)*$B$6+MAX(U311-$B$15,0)*$B$16*$B$7/12)-$B$9-IF(AND(U$309&gt;0,$B$8&gt;0),MIN(U$309*$B$17,$B$13*MAX((MIN(U311,$B$15)*$B$6+MAX(U311-$B$15,0)*$B$16*$B$7/12)-$B$9,0)),0),0)*$B$8-(1-U$310)*IF(AND(U$309&gt;0,$B$8&gt;0),MIN(U$309*$B$17,$B$13*MAX((MIN(U311,$B$15)*$B$6+MAX(U311-$B$15,0)*$B$16*$B$7/12)-$B$9,0)),0)</f>
        <v/>
      </c>
      <c r="V312" s="179">
        <f>V311+(MIN(V311,$B$15)*$B$6+MAX(V311-$B$15,0)*$B$16*$B$7/12)-$B$9-MAX((MIN(V311,$B$15)*$B$6+MAX(V311-$B$15,0)*$B$16*$B$7/12)-$B$9-IF(AND(V$309&gt;0,$B$8&gt;0),MIN(V$309*$B$17,$B$13*MAX((MIN(V311,$B$15)*$B$6+MAX(V311-$B$15,0)*$B$16*$B$7/12)-$B$9,0)),0),0)*$B$8-(1-V$310)*IF(AND(V$309&gt;0,$B$8&gt;0),MIN(V$309*$B$17,$B$13*MAX((MIN(V311,$B$15)*$B$6+MAX(V311-$B$15,0)*$B$16*$B$7/12)-$B$9,0)),0)</f>
        <v/>
      </c>
      <c r="W312" s="179">
        <f>W311+(MIN(W311,$B$15)*$B$6+MAX(W311-$B$15,0)*$B$16*$B$7/12)-$B$9-MAX((MIN(W311,$B$15)*$B$6+MAX(W311-$B$15,0)*$B$16*$B$7/12)-$B$9-IF(AND(W$309&gt;0,$B$8&gt;0),MIN(W$309*$B$17,$B$13*MAX((MIN(W311,$B$15)*$B$6+MAX(W311-$B$15,0)*$B$16*$B$7/12)-$B$9,0)),0),0)*$B$8-(1-W$310)*IF(AND(W$309&gt;0,$B$8&gt;0),MIN(W$309*$B$17,$B$13*MAX((MIN(W311,$B$15)*$B$6+MAX(W311-$B$15,0)*$B$16*$B$7/12)-$B$9,0)),0)</f>
        <v/>
      </c>
      <c r="X312" s="179">
        <f>X311+(MIN(X311,$B$15)*$B$6+MAX(X311-$B$15,0)*$B$16*$B$7/12)-$B$9-MAX((MIN(X311,$B$15)*$B$6+MAX(X311-$B$15,0)*$B$16*$B$7/12)-$B$9-IF(AND(X$309&gt;0,$B$8&gt;0),MIN(X$309*$B$17,$B$13*MAX((MIN(X311,$B$15)*$B$6+MAX(X311-$B$15,0)*$B$16*$B$7/12)-$B$9,0)),0),0)*$B$8-(1-X$310)*IF(AND(X$309&gt;0,$B$8&gt;0),MIN(X$309*$B$17,$B$13*MAX((MIN(X311,$B$15)*$B$6+MAX(X311-$B$15,0)*$B$16*$B$7/12)-$B$9,0)),0)</f>
        <v/>
      </c>
      <c r="Y312" s="179">
        <f>Y311+(MIN(Y311,$B$15)*$B$6+MAX(Y311-$B$15,0)*$B$16*$B$7/12)-$B$9-MAX((MIN(Y311,$B$15)*$B$6+MAX(Y311-$B$15,0)*$B$16*$B$7/12)-$B$9-IF(AND(Y$309&gt;0,$B$8&gt;0),MIN(Y$309*$B$17,$B$13*MAX((MIN(Y311,$B$15)*$B$6+MAX(Y311-$B$15,0)*$B$16*$B$7/12)-$B$9,0)),0),0)*$B$8-(1-Y$310)*IF(AND(Y$309&gt;0,$B$8&gt;0),MIN(Y$309*$B$17,$B$13*MAX((MIN(Y311,$B$15)*$B$6+MAX(Y311-$B$15,0)*$B$16*$B$7/12)-$B$9,0)),0)</f>
        <v/>
      </c>
      <c r="Z312" s="179">
        <f>Z311+(MIN(Z311,$B$15)*$B$6+MAX(Z311-$B$15,0)*$B$16*$B$7/12)-$B$9-MAX((MIN(Z311,$B$15)*$B$6+MAX(Z311-$B$15,0)*$B$16*$B$7/12)-$B$9-IF(AND(Z$309&gt;0,$B$8&gt;0),MIN(Z$309*$B$17,$B$13*MAX((MIN(Z311,$B$15)*$B$6+MAX(Z311-$B$15,0)*$B$16*$B$7/12)-$B$9,0)),0),0)*$B$8-(1-Z$310)*IF(AND(Z$309&gt;0,$B$8&gt;0),MIN(Z$309*$B$17,$B$13*MAX((MIN(Z311,$B$15)*$B$6+MAX(Z311-$B$15,0)*$B$16*$B$7/12)-$B$9,0)),0)</f>
        <v/>
      </c>
      <c r="AA312" s="179">
        <f>AA311+(MIN(AA311,$B$15)*$B$6+MAX(AA311-$B$15,0)*$B$16*$B$7/12)-$B$9-MAX((MIN(AA311,$B$15)*$B$6+MAX(AA311-$B$15,0)*$B$16*$B$7/12)-$B$9-IF(AND(AA$309&gt;0,$B$8&gt;0),MIN(AA$309*$B$17,$B$13*MAX((MIN(AA311,$B$15)*$B$6+MAX(AA311-$B$15,0)*$B$16*$B$7/12)-$B$9,0)),0),0)*$B$8-(1-AA$310)*IF(AND(AA$309&gt;0,$B$8&gt;0),MIN(AA$309*$B$17,$B$13*MAX((MIN(AA311,$B$15)*$B$6+MAX(AA311-$B$15,0)*$B$16*$B$7/12)-$B$9,0)),0)</f>
        <v/>
      </c>
      <c r="AB312" s="179">
        <f>AB311+(MIN(AB311,$B$15)*$B$6+MAX(AB311-$B$15,0)*$B$16*$B$7/12)-$B$9-MAX((MIN(AB311,$B$15)*$B$6+MAX(AB311-$B$15,0)*$B$16*$B$7/12)-$B$9-IF(AND(AB$309&gt;0,$B$8&gt;0),MIN(AB$309*$B$17,$B$13*MAX((MIN(AB311,$B$15)*$B$6+MAX(AB311-$B$15,0)*$B$16*$B$7/12)-$B$9,0)),0),0)*$B$8-(1-AB$310)*IF(AND(AB$309&gt;0,$B$8&gt;0),MIN(AB$309*$B$17,$B$13*MAX((MIN(AB311,$B$15)*$B$6+MAX(AB311-$B$15,0)*$B$16*$B$7/12)-$B$9,0)),0)</f>
        <v/>
      </c>
      <c r="AC312" s="179">
        <f>AC311+(MIN(AC311,$B$15)*$B$6+MAX(AC311-$B$15,0)*$B$16*$B$7/12)-$B$9-MAX((MIN(AC311,$B$15)*$B$6+MAX(AC311-$B$15,0)*$B$16*$B$7/12)-$B$9-IF(AND(AC$309&gt;0,$B$8&gt;0),MIN(AC$309*$B$17,$B$13*MAX((MIN(AC311,$B$15)*$B$6+MAX(AC311-$B$15,0)*$B$16*$B$7/12)-$B$9,0)),0),0)*$B$8-(1-AC$310)*IF(AND(AC$309&gt;0,$B$8&gt;0),MIN(AC$309*$B$17,$B$13*MAX((MIN(AC311,$B$15)*$B$6+MAX(AC311-$B$15,0)*$B$16*$B$7/12)-$B$9,0)),0)</f>
        <v/>
      </c>
      <c r="AD312" s="179">
        <f>AD311+(MIN(AD311,$B$15)*$B$6+MAX(AD311-$B$15,0)*$B$16*$B$7/12)-$B$9-MAX((MIN(AD311,$B$15)*$B$6+MAX(AD311-$B$15,0)*$B$16*$B$7/12)-$B$9-IF(AND(AD$309&gt;0,$B$8&gt;0),MIN(AD$309*$B$17,$B$13*MAX((MIN(AD311,$B$15)*$B$6+MAX(AD311-$B$15,0)*$B$16*$B$7/12)-$B$9,0)),0),0)*$B$8-(1-AD$310)*IF(AND(AD$309&gt;0,$B$8&gt;0),MIN(AD$309*$B$17,$B$13*MAX((MIN(AD311,$B$15)*$B$6+MAX(AD311-$B$15,0)*$B$16*$B$7/12)-$B$9,0)),0)</f>
        <v/>
      </c>
      <c r="AE312" s="179">
        <f>AE311+(MIN(AE311,$B$15)*$B$6+MAX(AE311-$B$15,0)*$B$16*$B$7/12)-$B$9-MAX((MIN(AE311,$B$15)*$B$6+MAX(AE311-$B$15,0)*$B$16*$B$7/12)-$B$9-IF(AND(AE$309&gt;0,$B$8&gt;0),MIN(AE$309*$B$17,$B$13*MAX((MIN(AE311,$B$15)*$B$6+MAX(AE311-$B$15,0)*$B$16*$B$7/12)-$B$9,0)),0),0)*$B$8-(1-AE$310)*IF(AND(AE$309&gt;0,$B$8&gt;0),MIN(AE$309*$B$17,$B$13*MAX((MIN(AE311,$B$15)*$B$6+MAX(AE311-$B$15,0)*$B$16*$B$7/12)-$B$9,0)),0)</f>
        <v/>
      </c>
      <c r="AF312" s="179">
        <f>AF311+(MIN(AF311,$B$15)*$B$6+MAX(AF311-$B$15,0)*$B$16*$B$7/12)-$B$9-MAX((MIN(AF311,$B$15)*$B$6+MAX(AF311-$B$15,0)*$B$16*$B$7/12)-$B$9-IF(AND(AF$309&gt;0,$B$8&gt;0),MIN(AF$309*$B$17,$B$13*MAX((MIN(AF311,$B$15)*$B$6+MAX(AF311-$B$15,0)*$B$16*$B$7/12)-$B$9,0)),0),0)*$B$8-(1-AF$310)*IF(AND(AF$309&gt;0,$B$8&gt;0),MIN(AF$309*$B$17,$B$13*MAX((MIN(AF311,$B$15)*$B$6+MAX(AF311-$B$15,0)*$B$16*$B$7/12)-$B$9,0)),0)</f>
        <v/>
      </c>
      <c r="AG312" s="179">
        <f>AG311+(MIN(AG311,$B$15)*$B$6+MAX(AG311-$B$15,0)*$B$16*$B$7/12)-$B$9-MAX((MIN(AG311,$B$15)*$B$6+MAX(AG311-$B$15,0)*$B$16*$B$7/12)-$B$9-IF(AND(AG$309&gt;0,$B$8&gt;0),MIN(AG$309*$B$17,$B$13*MAX((MIN(AG311,$B$15)*$B$6+MAX(AG311-$B$15,0)*$B$16*$B$7/12)-$B$9,0)),0),0)*$B$8-(1-AG$310)*IF(AND(AG$309&gt;0,$B$8&gt;0),MIN(AG$309*$B$17,$B$13*MAX((MIN(AG311,$B$15)*$B$6+MAX(AG311-$B$15,0)*$B$16*$B$7/12)-$B$9,0)),0)</f>
        <v/>
      </c>
      <c r="AH312" s="179">
        <f>AH311+(MIN(AH311,$B$15)*$B$6+MAX(AH311-$B$15,0)*$B$16*$B$7/12)-$B$9-MAX((MIN(AH311,$B$15)*$B$6+MAX(AH311-$B$15,0)*$B$16*$B$7/12)-$B$9-IF(AND(AH$309&gt;0,$B$8&gt;0),MIN(AH$309*$B$17,$B$13*MAX((MIN(AH311,$B$15)*$B$6+MAX(AH311-$B$15,0)*$B$16*$B$7/12)-$B$9,0)),0),0)*$B$8-(1-AH$310)*IF(AND(AH$309&gt;0,$B$8&gt;0),MIN(AH$309*$B$17,$B$13*MAX((MIN(AH311,$B$15)*$B$6+MAX(AH311-$B$15,0)*$B$16*$B$7/12)-$B$9,0)),0)</f>
        <v/>
      </c>
      <c r="AI312" s="179">
        <f>AI311+(MIN(AI311,$B$15)*$B$6+MAX(AI311-$B$15,0)*$B$16*$B$7/12)-$B$9-MAX((MIN(AI311,$B$15)*$B$6+MAX(AI311-$B$15,0)*$B$16*$B$7/12)-$B$9-IF(AND(AI$309&gt;0,$B$8&gt;0),MIN(AI$309*$B$17,$B$13*MAX((MIN(AI311,$B$15)*$B$6+MAX(AI311-$B$15,0)*$B$16*$B$7/12)-$B$9,0)),0),0)*$B$8-(1-AI$310)*IF(AND(AI$309&gt;0,$B$8&gt;0),MIN(AI$309*$B$17,$B$13*MAX((MIN(AI311,$B$15)*$B$6+MAX(AI311-$B$15,0)*$B$16*$B$7/12)-$B$9,0)),0)</f>
        <v/>
      </c>
      <c r="AJ312" s="179">
        <f>AJ311+(MIN(AJ311,$B$15)*$B$6+MAX(AJ311-$B$15,0)*$B$16*$B$7/12)-$B$9-MAX((MIN(AJ311,$B$15)*$B$6+MAX(AJ311-$B$15,0)*$B$16*$B$7/12)-$B$9-IF(AND(AJ$309&gt;0,$B$8&gt;0),MIN(AJ$309*$B$17,$B$13*MAX((MIN(AJ311,$B$15)*$B$6+MAX(AJ311-$B$15,0)*$B$16*$B$7/12)-$B$9,0)),0),0)*$B$8-(1-AJ$310)*IF(AND(AJ$309&gt;0,$B$8&gt;0),MIN(AJ$309*$B$17,$B$13*MAX((MIN(AJ311,$B$15)*$B$6+MAX(AJ311-$B$15,0)*$B$16*$B$7/12)-$B$9,0)),0)</f>
        <v/>
      </c>
      <c r="AK312" s="179">
        <f>AK311+(MIN(AK311,$B$15)*$B$6+MAX(AK311-$B$15,0)*$B$16*$B$7/12)-$B$9-MAX((MIN(AK311,$B$15)*$B$6+MAX(AK311-$B$15,0)*$B$16*$B$7/12)-$B$9-IF(AND(AK$309&gt;0,$B$8&gt;0),MIN(AK$309*$B$17,$B$13*MAX((MIN(AK311,$B$15)*$B$6+MAX(AK311-$B$15,0)*$B$16*$B$7/12)-$B$9,0)),0),0)*$B$8-(1-AK$310)*IF(AND(AK$309&gt;0,$B$8&gt;0),MIN(AK$309*$B$17,$B$13*MAX((MIN(AK311,$B$15)*$B$6+MAX(AK311-$B$15,0)*$B$16*$B$7/12)-$B$9,0)),0)</f>
        <v/>
      </c>
      <c r="AL312" s="179">
        <f>AL311+(MIN(AL311,$B$15)*$B$6+MAX(AL311-$B$15,0)*$B$16*$B$7/12)-$B$9-MAX((MIN(AL311,$B$15)*$B$6+MAX(AL311-$B$15,0)*$B$16*$B$7/12)-$B$9-IF(AND(AL$309&gt;0,$B$8&gt;0),MIN(AL$309*$B$17,$B$13*MAX((MIN(AL311,$B$15)*$B$6+MAX(AL311-$B$15,0)*$B$16*$B$7/12)-$B$9,0)),0),0)*$B$8-(1-AL$310)*IF(AND(AL$309&gt;0,$B$8&gt;0),MIN(AL$309*$B$17,$B$13*MAX((MIN(AL311,$B$15)*$B$6+MAX(AL311-$B$15,0)*$B$16*$B$7/12)-$B$9,0)),0)</f>
        <v/>
      </c>
      <c r="AM312" s="179">
        <f>AM311+(MIN(AM311,$B$15)*$B$6+MAX(AM311-$B$15,0)*$B$16*$B$7/12)-$B$9-MAX((MIN(AM311,$B$15)*$B$6+MAX(AM311-$B$15,0)*$B$16*$B$7/12)-$B$9-IF(AND(AM$309&gt;0,$B$8&gt;0),MIN(AM$309*$B$17,$B$13*MAX((MIN(AM311,$B$15)*$B$6+MAX(AM311-$B$15,0)*$B$16*$B$7/12)-$B$9,0)),0),0)*$B$8-(1-AM$310)*IF(AND(AM$309&gt;0,$B$8&gt;0),MIN(AM$309*$B$17,$B$13*MAX((MIN(AM311,$B$15)*$B$6+MAX(AM311-$B$15,0)*$B$16*$B$7/12)-$B$9,0)),0)</f>
        <v/>
      </c>
      <c r="AN312" s="179">
        <f>AN311+(MIN(AN311,$B$15)*$B$6+MAX(AN311-$B$15,0)*$B$16*$B$7/12)-$B$9-MAX((MIN(AN311,$B$15)*$B$6+MAX(AN311-$B$15,0)*$B$16*$B$7/12)-$B$9-IF(AND(AN$309&gt;0,$B$8&gt;0),MIN(AN$309*$B$17,$B$13*MAX((MIN(AN311,$B$15)*$B$6+MAX(AN311-$B$15,0)*$B$16*$B$7/12)-$B$9,0)),0),0)*$B$8-(1-AN$310)*IF(AND(AN$309&gt;0,$B$8&gt;0),MIN(AN$309*$B$17,$B$13*MAX((MIN(AN311,$B$15)*$B$6+MAX(AN311-$B$15,0)*$B$16*$B$7/12)-$B$9,0)),0)</f>
        <v/>
      </c>
      <c r="AO312" s="179">
        <f>AO311+(MIN(AO311,$B$15)*$B$6+MAX(AO311-$B$15,0)*$B$16*$B$7/12)-$B$9-MAX((MIN(AO311,$B$15)*$B$6+MAX(AO311-$B$15,0)*$B$16*$B$7/12)-$B$9-IF(AND(AO$309&gt;0,$B$8&gt;0),MIN(AO$309*$B$17,$B$13*MAX((MIN(AO311,$B$15)*$B$6+MAX(AO311-$B$15,0)*$B$16*$B$7/12)-$B$9,0)),0),0)*$B$8-(1-AO$310)*IF(AND(AO$309&gt;0,$B$8&gt;0),MIN(AO$309*$B$17,$B$13*MAX((MIN(AO311,$B$15)*$B$6+MAX(AO311-$B$15,0)*$B$16*$B$7/12)-$B$9,0)),0)</f>
        <v/>
      </c>
      <c r="AP312" s="179">
        <f>AP311+(MIN(AP311,$B$15)*$B$6+MAX(AP311-$B$15,0)*$B$16*$B$7/12)-$B$9-MAX((MIN(AP311,$B$15)*$B$6+MAX(AP311-$B$15,0)*$B$16*$B$7/12)-$B$9-IF(AND(AP$309&gt;0,$B$8&gt;0),MIN(AP$309*$B$17,$B$13*MAX((MIN(AP311,$B$15)*$B$6+MAX(AP311-$B$15,0)*$B$16*$B$7/12)-$B$9,0)),0),0)*$B$8-(1-AP$310)*IF(AND(AP$309&gt;0,$B$8&gt;0),MIN(AP$309*$B$17,$B$13*MAX((MIN(AP311,$B$15)*$B$6+MAX(AP311-$B$15,0)*$B$16*$B$7/12)-$B$9,0)),0)</f>
        <v/>
      </c>
      <c r="AQ312" s="179">
        <f>AQ311+(MIN(AQ311,$B$15)*$B$6+MAX(AQ311-$B$15,0)*$B$16*$B$7/12)-$B$9-MAX((MIN(AQ311,$B$15)*$B$6+MAX(AQ311-$B$15,0)*$B$16*$B$7/12)-$B$9-IF(AND(AQ$309&gt;0,$B$8&gt;0),MIN(AQ$309*$B$17,$B$13*MAX((MIN(AQ311,$B$15)*$B$6+MAX(AQ311-$B$15,0)*$B$16*$B$7/12)-$B$9,0)),0),0)*$B$8-(1-AQ$310)*IF(AND(AQ$309&gt;0,$B$8&gt;0),MIN(AQ$309*$B$17,$B$13*MAX((MIN(AQ311,$B$15)*$B$6+MAX(AQ311-$B$15,0)*$B$16*$B$7/12)-$B$9,0)),0)</f>
        <v/>
      </c>
    </row>
    <row r="313" hidden="1" outlineLevel="1">
      <c r="A313" s="164" t="inlineStr">
        <is>
          <t>Cycle 3</t>
        </is>
      </c>
      <c r="B313" s="179">
        <f>B312+(MIN(B312,$B$15)*$B$6+MAX(B312-$B$15,0)*$B$16*$B$7/12)-$B$9-MAX((MIN(B312,$B$15)*$B$6+MAX(B312-$B$15,0)*$B$16*$B$7/12)-$B$9-IF(AND(B$309&gt;0,$B$8&gt;0),MIN(B$309*$B$17,$B$13*MAX((MIN(B312,$B$15)*$B$6+MAX(B312-$B$15,0)*$B$16*$B$7/12)-$B$9,0)),0),0)*$B$8-(1-B$310)*IF(AND(B$309&gt;0,$B$8&gt;0),MIN(B$309*$B$17,$B$13*MAX((MIN(B312,$B$15)*$B$6+MAX(B312-$B$15,0)*$B$16*$B$7/12)-$B$9,0)),0)</f>
        <v/>
      </c>
      <c r="C313" s="179">
        <f>C312+(MIN(C312,$B$15)*$B$6+MAX(C312-$B$15,0)*$B$16*$B$7/12)-$B$9-MAX((MIN(C312,$B$15)*$B$6+MAX(C312-$B$15,0)*$B$16*$B$7/12)-$B$9-IF(AND(C$309&gt;0,$B$8&gt;0),MIN(C$309*$B$17,$B$13*MAX((MIN(C312,$B$15)*$B$6+MAX(C312-$B$15,0)*$B$16*$B$7/12)-$B$9,0)),0),0)*$B$8-(1-C$310)*IF(AND(C$309&gt;0,$B$8&gt;0),MIN(C$309*$B$17,$B$13*MAX((MIN(C312,$B$15)*$B$6+MAX(C312-$B$15,0)*$B$16*$B$7/12)-$B$9,0)),0)</f>
        <v/>
      </c>
      <c r="D313" s="179">
        <f>D312+(MIN(D312,$B$15)*$B$6+MAX(D312-$B$15,0)*$B$16*$B$7/12)-$B$9-MAX((MIN(D312,$B$15)*$B$6+MAX(D312-$B$15,0)*$B$16*$B$7/12)-$B$9-IF(AND(D$309&gt;0,$B$8&gt;0),MIN(D$309*$B$17,$B$13*MAX((MIN(D312,$B$15)*$B$6+MAX(D312-$B$15,0)*$B$16*$B$7/12)-$B$9,0)),0),0)*$B$8-(1-D$310)*IF(AND(D$309&gt;0,$B$8&gt;0),MIN(D$309*$B$17,$B$13*MAX((MIN(D312,$B$15)*$B$6+MAX(D312-$B$15,0)*$B$16*$B$7/12)-$B$9,0)),0)</f>
        <v/>
      </c>
      <c r="E313" s="179">
        <f>E312+(MIN(E312,$B$15)*$B$6+MAX(E312-$B$15,0)*$B$16*$B$7/12)-$B$9-MAX((MIN(E312,$B$15)*$B$6+MAX(E312-$B$15,0)*$B$16*$B$7/12)-$B$9-IF(AND(E$309&gt;0,$B$8&gt;0),MIN(E$309*$B$17,$B$13*MAX((MIN(E312,$B$15)*$B$6+MAX(E312-$B$15,0)*$B$16*$B$7/12)-$B$9,0)),0),0)*$B$8-(1-E$310)*IF(AND(E$309&gt;0,$B$8&gt;0),MIN(E$309*$B$17,$B$13*MAX((MIN(E312,$B$15)*$B$6+MAX(E312-$B$15,0)*$B$16*$B$7/12)-$B$9,0)),0)</f>
        <v/>
      </c>
      <c r="F313" s="179">
        <f>F312+(MIN(F312,$B$15)*$B$6+MAX(F312-$B$15,0)*$B$16*$B$7/12)-$B$9-MAX((MIN(F312,$B$15)*$B$6+MAX(F312-$B$15,0)*$B$16*$B$7/12)-$B$9-IF(AND(F$309&gt;0,$B$8&gt;0),MIN(F$309*$B$17,$B$13*MAX((MIN(F312,$B$15)*$B$6+MAX(F312-$B$15,0)*$B$16*$B$7/12)-$B$9,0)),0),0)*$B$8-(1-F$310)*IF(AND(F$309&gt;0,$B$8&gt;0),MIN(F$309*$B$17,$B$13*MAX((MIN(F312,$B$15)*$B$6+MAX(F312-$B$15,0)*$B$16*$B$7/12)-$B$9,0)),0)</f>
        <v/>
      </c>
      <c r="G313" s="179">
        <f>G312+(MIN(G312,$B$15)*$B$6+MAX(G312-$B$15,0)*$B$16*$B$7/12)-$B$9-MAX((MIN(G312,$B$15)*$B$6+MAX(G312-$B$15,0)*$B$16*$B$7/12)-$B$9-IF(AND(G$309&gt;0,$B$8&gt;0),MIN(G$309*$B$17,$B$13*MAX((MIN(G312,$B$15)*$B$6+MAX(G312-$B$15,0)*$B$16*$B$7/12)-$B$9,0)),0),0)*$B$8-(1-G$310)*IF(AND(G$309&gt;0,$B$8&gt;0),MIN(G$309*$B$17,$B$13*MAX((MIN(G312,$B$15)*$B$6+MAX(G312-$B$15,0)*$B$16*$B$7/12)-$B$9,0)),0)</f>
        <v/>
      </c>
      <c r="H313" s="179">
        <f>H312+(MIN(H312,$B$15)*$B$6+MAX(H312-$B$15,0)*$B$16*$B$7/12)-$B$9-MAX((MIN(H312,$B$15)*$B$6+MAX(H312-$B$15,0)*$B$16*$B$7/12)-$B$9-IF(AND(H$309&gt;0,$B$8&gt;0),MIN(H$309*$B$17,$B$13*MAX((MIN(H312,$B$15)*$B$6+MAX(H312-$B$15,0)*$B$16*$B$7/12)-$B$9,0)),0),0)*$B$8-(1-H$310)*IF(AND(H$309&gt;0,$B$8&gt;0),MIN(H$309*$B$17,$B$13*MAX((MIN(H312,$B$15)*$B$6+MAX(H312-$B$15,0)*$B$16*$B$7/12)-$B$9,0)),0)</f>
        <v/>
      </c>
      <c r="I313" s="179">
        <f>I312+(MIN(I312,$B$15)*$B$6+MAX(I312-$B$15,0)*$B$16*$B$7/12)-$B$9-MAX((MIN(I312,$B$15)*$B$6+MAX(I312-$B$15,0)*$B$16*$B$7/12)-$B$9-IF(AND(I$309&gt;0,$B$8&gt;0),MIN(I$309*$B$17,$B$13*MAX((MIN(I312,$B$15)*$B$6+MAX(I312-$B$15,0)*$B$16*$B$7/12)-$B$9,0)),0),0)*$B$8-(1-I$310)*IF(AND(I$309&gt;0,$B$8&gt;0),MIN(I$309*$B$17,$B$13*MAX((MIN(I312,$B$15)*$B$6+MAX(I312-$B$15,0)*$B$16*$B$7/12)-$B$9,0)),0)</f>
        <v/>
      </c>
      <c r="J313" s="179">
        <f>J312+(MIN(J312,$B$15)*$B$6+MAX(J312-$B$15,0)*$B$16*$B$7/12)-$B$9-MAX((MIN(J312,$B$15)*$B$6+MAX(J312-$B$15,0)*$B$16*$B$7/12)-$B$9-IF(AND(J$309&gt;0,$B$8&gt;0),MIN(J$309*$B$17,$B$13*MAX((MIN(J312,$B$15)*$B$6+MAX(J312-$B$15,0)*$B$16*$B$7/12)-$B$9,0)),0),0)*$B$8-(1-J$310)*IF(AND(J$309&gt;0,$B$8&gt;0),MIN(J$309*$B$17,$B$13*MAX((MIN(J312,$B$15)*$B$6+MAX(J312-$B$15,0)*$B$16*$B$7/12)-$B$9,0)),0)</f>
        <v/>
      </c>
      <c r="K313" s="179">
        <f>K312+(MIN(K312,$B$15)*$B$6+MAX(K312-$B$15,0)*$B$16*$B$7/12)-$B$9-MAX((MIN(K312,$B$15)*$B$6+MAX(K312-$B$15,0)*$B$16*$B$7/12)-$B$9-IF(AND(K$309&gt;0,$B$8&gt;0),MIN(K$309*$B$17,$B$13*MAX((MIN(K312,$B$15)*$B$6+MAX(K312-$B$15,0)*$B$16*$B$7/12)-$B$9,0)),0),0)*$B$8-(1-K$310)*IF(AND(K$309&gt;0,$B$8&gt;0),MIN(K$309*$B$17,$B$13*MAX((MIN(K312,$B$15)*$B$6+MAX(K312-$B$15,0)*$B$16*$B$7/12)-$B$9,0)),0)</f>
        <v/>
      </c>
      <c r="L313" s="179">
        <f>L312+(MIN(L312,$B$15)*$B$6+MAX(L312-$B$15,0)*$B$16*$B$7/12)-$B$9-MAX((MIN(L312,$B$15)*$B$6+MAX(L312-$B$15,0)*$B$16*$B$7/12)-$B$9-IF(AND(L$309&gt;0,$B$8&gt;0),MIN(L$309*$B$17,$B$13*MAX((MIN(L312,$B$15)*$B$6+MAX(L312-$B$15,0)*$B$16*$B$7/12)-$B$9,0)),0),0)*$B$8-(1-L$310)*IF(AND(L$309&gt;0,$B$8&gt;0),MIN(L$309*$B$17,$B$13*MAX((MIN(L312,$B$15)*$B$6+MAX(L312-$B$15,0)*$B$16*$B$7/12)-$B$9,0)),0)</f>
        <v/>
      </c>
      <c r="M313" s="179">
        <f>M312+(MIN(M312,$B$15)*$B$6+MAX(M312-$B$15,0)*$B$16*$B$7/12)-$B$9-MAX((MIN(M312,$B$15)*$B$6+MAX(M312-$B$15,0)*$B$16*$B$7/12)-$B$9-IF(AND(M$309&gt;0,$B$8&gt;0),MIN(M$309*$B$17,$B$13*MAX((MIN(M312,$B$15)*$B$6+MAX(M312-$B$15,0)*$B$16*$B$7/12)-$B$9,0)),0),0)*$B$8-(1-M$310)*IF(AND(M$309&gt;0,$B$8&gt;0),MIN(M$309*$B$17,$B$13*MAX((MIN(M312,$B$15)*$B$6+MAX(M312-$B$15,0)*$B$16*$B$7/12)-$B$9,0)),0)</f>
        <v/>
      </c>
      <c r="N313" s="179">
        <f>N312+(MIN(N312,$B$15)*$B$6+MAX(N312-$B$15,0)*$B$16*$B$7/12)-$B$9-MAX((MIN(N312,$B$15)*$B$6+MAX(N312-$B$15,0)*$B$16*$B$7/12)-$B$9-IF(AND(N$309&gt;0,$B$8&gt;0),MIN(N$309*$B$17,$B$13*MAX((MIN(N312,$B$15)*$B$6+MAX(N312-$B$15,0)*$B$16*$B$7/12)-$B$9,0)),0),0)*$B$8-(1-N$310)*IF(AND(N$309&gt;0,$B$8&gt;0),MIN(N$309*$B$17,$B$13*MAX((MIN(N312,$B$15)*$B$6+MAX(N312-$B$15,0)*$B$16*$B$7/12)-$B$9,0)),0)</f>
        <v/>
      </c>
      <c r="O313" s="179">
        <f>O312+(MIN(O312,$B$15)*$B$6+MAX(O312-$B$15,0)*$B$16*$B$7/12)-$B$9-MAX((MIN(O312,$B$15)*$B$6+MAX(O312-$B$15,0)*$B$16*$B$7/12)-$B$9-IF(AND(O$309&gt;0,$B$8&gt;0),MIN(O$309*$B$17,$B$13*MAX((MIN(O312,$B$15)*$B$6+MAX(O312-$B$15,0)*$B$16*$B$7/12)-$B$9,0)),0),0)*$B$8-(1-O$310)*IF(AND(O$309&gt;0,$B$8&gt;0),MIN(O$309*$B$17,$B$13*MAX((MIN(O312,$B$15)*$B$6+MAX(O312-$B$15,0)*$B$16*$B$7/12)-$B$9,0)),0)</f>
        <v/>
      </c>
      <c r="P313" s="179">
        <f>P312+(MIN(P312,$B$15)*$B$6+MAX(P312-$B$15,0)*$B$16*$B$7/12)-$B$9-MAX((MIN(P312,$B$15)*$B$6+MAX(P312-$B$15,0)*$B$16*$B$7/12)-$B$9-IF(AND(P$309&gt;0,$B$8&gt;0),MIN(P$309*$B$17,$B$13*MAX((MIN(P312,$B$15)*$B$6+MAX(P312-$B$15,0)*$B$16*$B$7/12)-$B$9,0)),0),0)*$B$8-(1-P$310)*IF(AND(P$309&gt;0,$B$8&gt;0),MIN(P$309*$B$17,$B$13*MAX((MIN(P312,$B$15)*$B$6+MAX(P312-$B$15,0)*$B$16*$B$7/12)-$B$9,0)),0)</f>
        <v/>
      </c>
      <c r="Q313" s="179">
        <f>Q312+(MIN(Q312,$B$15)*$B$6+MAX(Q312-$B$15,0)*$B$16*$B$7/12)-$B$9-MAX((MIN(Q312,$B$15)*$B$6+MAX(Q312-$B$15,0)*$B$16*$B$7/12)-$B$9-IF(AND(Q$309&gt;0,$B$8&gt;0),MIN(Q$309*$B$17,$B$13*MAX((MIN(Q312,$B$15)*$B$6+MAX(Q312-$B$15,0)*$B$16*$B$7/12)-$B$9,0)),0),0)*$B$8-(1-Q$310)*IF(AND(Q$309&gt;0,$B$8&gt;0),MIN(Q$309*$B$17,$B$13*MAX((MIN(Q312,$B$15)*$B$6+MAX(Q312-$B$15,0)*$B$16*$B$7/12)-$B$9,0)),0)</f>
        <v/>
      </c>
      <c r="R313" s="179">
        <f>R312+(MIN(R312,$B$15)*$B$6+MAX(R312-$B$15,0)*$B$16*$B$7/12)-$B$9-MAX((MIN(R312,$B$15)*$B$6+MAX(R312-$B$15,0)*$B$16*$B$7/12)-$B$9-IF(AND(R$309&gt;0,$B$8&gt;0),MIN(R$309*$B$17,$B$13*MAX((MIN(R312,$B$15)*$B$6+MAX(R312-$B$15,0)*$B$16*$B$7/12)-$B$9,0)),0),0)*$B$8-(1-R$310)*IF(AND(R$309&gt;0,$B$8&gt;0),MIN(R$309*$B$17,$B$13*MAX((MIN(R312,$B$15)*$B$6+MAX(R312-$B$15,0)*$B$16*$B$7/12)-$B$9,0)),0)</f>
        <v/>
      </c>
      <c r="S313" s="179">
        <f>S312+(MIN(S312,$B$15)*$B$6+MAX(S312-$B$15,0)*$B$16*$B$7/12)-$B$9-MAX((MIN(S312,$B$15)*$B$6+MAX(S312-$B$15,0)*$B$16*$B$7/12)-$B$9-IF(AND(S$309&gt;0,$B$8&gt;0),MIN(S$309*$B$17,$B$13*MAX((MIN(S312,$B$15)*$B$6+MAX(S312-$B$15,0)*$B$16*$B$7/12)-$B$9,0)),0),0)*$B$8-(1-S$310)*IF(AND(S$309&gt;0,$B$8&gt;0),MIN(S$309*$B$17,$B$13*MAX((MIN(S312,$B$15)*$B$6+MAX(S312-$B$15,0)*$B$16*$B$7/12)-$B$9,0)),0)</f>
        <v/>
      </c>
      <c r="T313" s="179">
        <f>T312+(MIN(T312,$B$15)*$B$6+MAX(T312-$B$15,0)*$B$16*$B$7/12)-$B$9-MAX((MIN(T312,$B$15)*$B$6+MAX(T312-$B$15,0)*$B$16*$B$7/12)-$B$9-IF(AND(T$309&gt;0,$B$8&gt;0),MIN(T$309*$B$17,$B$13*MAX((MIN(T312,$B$15)*$B$6+MAX(T312-$B$15,0)*$B$16*$B$7/12)-$B$9,0)),0),0)*$B$8-(1-T$310)*IF(AND(T$309&gt;0,$B$8&gt;0),MIN(T$309*$B$17,$B$13*MAX((MIN(T312,$B$15)*$B$6+MAX(T312-$B$15,0)*$B$16*$B$7/12)-$B$9,0)),0)</f>
        <v/>
      </c>
      <c r="U313" s="179">
        <f>U312+(MIN(U312,$B$15)*$B$6+MAX(U312-$B$15,0)*$B$16*$B$7/12)-$B$9-MAX((MIN(U312,$B$15)*$B$6+MAX(U312-$B$15,0)*$B$16*$B$7/12)-$B$9-IF(AND(U$309&gt;0,$B$8&gt;0),MIN(U$309*$B$17,$B$13*MAX((MIN(U312,$B$15)*$B$6+MAX(U312-$B$15,0)*$B$16*$B$7/12)-$B$9,0)),0),0)*$B$8-(1-U$310)*IF(AND(U$309&gt;0,$B$8&gt;0),MIN(U$309*$B$17,$B$13*MAX((MIN(U312,$B$15)*$B$6+MAX(U312-$B$15,0)*$B$16*$B$7/12)-$B$9,0)),0)</f>
        <v/>
      </c>
      <c r="V313" s="179">
        <f>V312+(MIN(V312,$B$15)*$B$6+MAX(V312-$B$15,0)*$B$16*$B$7/12)-$B$9-MAX((MIN(V312,$B$15)*$B$6+MAX(V312-$B$15,0)*$B$16*$B$7/12)-$B$9-IF(AND(V$309&gt;0,$B$8&gt;0),MIN(V$309*$B$17,$B$13*MAX((MIN(V312,$B$15)*$B$6+MAX(V312-$B$15,0)*$B$16*$B$7/12)-$B$9,0)),0),0)*$B$8-(1-V$310)*IF(AND(V$309&gt;0,$B$8&gt;0),MIN(V$309*$B$17,$B$13*MAX((MIN(V312,$B$15)*$B$6+MAX(V312-$B$15,0)*$B$16*$B$7/12)-$B$9,0)),0)</f>
        <v/>
      </c>
      <c r="W313" s="179">
        <f>W312+(MIN(W312,$B$15)*$B$6+MAX(W312-$B$15,0)*$B$16*$B$7/12)-$B$9-MAX((MIN(W312,$B$15)*$B$6+MAX(W312-$B$15,0)*$B$16*$B$7/12)-$B$9-IF(AND(W$309&gt;0,$B$8&gt;0),MIN(W$309*$B$17,$B$13*MAX((MIN(W312,$B$15)*$B$6+MAX(W312-$B$15,0)*$B$16*$B$7/12)-$B$9,0)),0),0)*$B$8-(1-W$310)*IF(AND(W$309&gt;0,$B$8&gt;0),MIN(W$309*$B$17,$B$13*MAX((MIN(W312,$B$15)*$B$6+MAX(W312-$B$15,0)*$B$16*$B$7/12)-$B$9,0)),0)</f>
        <v/>
      </c>
      <c r="X313" s="179">
        <f>X312+(MIN(X312,$B$15)*$B$6+MAX(X312-$B$15,0)*$B$16*$B$7/12)-$B$9-MAX((MIN(X312,$B$15)*$B$6+MAX(X312-$B$15,0)*$B$16*$B$7/12)-$B$9-IF(AND(X$309&gt;0,$B$8&gt;0),MIN(X$309*$B$17,$B$13*MAX((MIN(X312,$B$15)*$B$6+MAX(X312-$B$15,0)*$B$16*$B$7/12)-$B$9,0)),0),0)*$B$8-(1-X$310)*IF(AND(X$309&gt;0,$B$8&gt;0),MIN(X$309*$B$17,$B$13*MAX((MIN(X312,$B$15)*$B$6+MAX(X312-$B$15,0)*$B$16*$B$7/12)-$B$9,0)),0)</f>
        <v/>
      </c>
      <c r="Y313" s="179">
        <f>Y312+(MIN(Y312,$B$15)*$B$6+MAX(Y312-$B$15,0)*$B$16*$B$7/12)-$B$9-MAX((MIN(Y312,$B$15)*$B$6+MAX(Y312-$B$15,0)*$B$16*$B$7/12)-$B$9-IF(AND(Y$309&gt;0,$B$8&gt;0),MIN(Y$309*$B$17,$B$13*MAX((MIN(Y312,$B$15)*$B$6+MAX(Y312-$B$15,0)*$B$16*$B$7/12)-$B$9,0)),0),0)*$B$8-(1-Y$310)*IF(AND(Y$309&gt;0,$B$8&gt;0),MIN(Y$309*$B$17,$B$13*MAX((MIN(Y312,$B$15)*$B$6+MAX(Y312-$B$15,0)*$B$16*$B$7/12)-$B$9,0)),0)</f>
        <v/>
      </c>
      <c r="Z313" s="179">
        <f>Z312+(MIN(Z312,$B$15)*$B$6+MAX(Z312-$B$15,0)*$B$16*$B$7/12)-$B$9-MAX((MIN(Z312,$B$15)*$B$6+MAX(Z312-$B$15,0)*$B$16*$B$7/12)-$B$9-IF(AND(Z$309&gt;0,$B$8&gt;0),MIN(Z$309*$B$17,$B$13*MAX((MIN(Z312,$B$15)*$B$6+MAX(Z312-$B$15,0)*$B$16*$B$7/12)-$B$9,0)),0),0)*$B$8-(1-Z$310)*IF(AND(Z$309&gt;0,$B$8&gt;0),MIN(Z$309*$B$17,$B$13*MAX((MIN(Z312,$B$15)*$B$6+MAX(Z312-$B$15,0)*$B$16*$B$7/12)-$B$9,0)),0)</f>
        <v/>
      </c>
      <c r="AA313" s="179">
        <f>AA312+(MIN(AA312,$B$15)*$B$6+MAX(AA312-$B$15,0)*$B$16*$B$7/12)-$B$9-MAX((MIN(AA312,$B$15)*$B$6+MAX(AA312-$B$15,0)*$B$16*$B$7/12)-$B$9-IF(AND(AA$309&gt;0,$B$8&gt;0),MIN(AA$309*$B$17,$B$13*MAX((MIN(AA312,$B$15)*$B$6+MAX(AA312-$B$15,0)*$B$16*$B$7/12)-$B$9,0)),0),0)*$B$8-(1-AA$310)*IF(AND(AA$309&gt;0,$B$8&gt;0),MIN(AA$309*$B$17,$B$13*MAX((MIN(AA312,$B$15)*$B$6+MAX(AA312-$B$15,0)*$B$16*$B$7/12)-$B$9,0)),0)</f>
        <v/>
      </c>
      <c r="AB313" s="179">
        <f>AB312+(MIN(AB312,$B$15)*$B$6+MAX(AB312-$B$15,0)*$B$16*$B$7/12)-$B$9-MAX((MIN(AB312,$B$15)*$B$6+MAX(AB312-$B$15,0)*$B$16*$B$7/12)-$B$9-IF(AND(AB$309&gt;0,$B$8&gt;0),MIN(AB$309*$B$17,$B$13*MAX((MIN(AB312,$B$15)*$B$6+MAX(AB312-$B$15,0)*$B$16*$B$7/12)-$B$9,0)),0),0)*$B$8-(1-AB$310)*IF(AND(AB$309&gt;0,$B$8&gt;0),MIN(AB$309*$B$17,$B$13*MAX((MIN(AB312,$B$15)*$B$6+MAX(AB312-$B$15,0)*$B$16*$B$7/12)-$B$9,0)),0)</f>
        <v/>
      </c>
      <c r="AC313" s="179">
        <f>AC312+(MIN(AC312,$B$15)*$B$6+MAX(AC312-$B$15,0)*$B$16*$B$7/12)-$B$9-MAX((MIN(AC312,$B$15)*$B$6+MAX(AC312-$B$15,0)*$B$16*$B$7/12)-$B$9-IF(AND(AC$309&gt;0,$B$8&gt;0),MIN(AC$309*$B$17,$B$13*MAX((MIN(AC312,$B$15)*$B$6+MAX(AC312-$B$15,0)*$B$16*$B$7/12)-$B$9,0)),0),0)*$B$8-(1-AC$310)*IF(AND(AC$309&gt;0,$B$8&gt;0),MIN(AC$309*$B$17,$B$13*MAX((MIN(AC312,$B$15)*$B$6+MAX(AC312-$B$15,0)*$B$16*$B$7/12)-$B$9,0)),0)</f>
        <v/>
      </c>
      <c r="AD313" s="179">
        <f>AD312+(MIN(AD312,$B$15)*$B$6+MAX(AD312-$B$15,0)*$B$16*$B$7/12)-$B$9-MAX((MIN(AD312,$B$15)*$B$6+MAX(AD312-$B$15,0)*$B$16*$B$7/12)-$B$9-IF(AND(AD$309&gt;0,$B$8&gt;0),MIN(AD$309*$B$17,$B$13*MAX((MIN(AD312,$B$15)*$B$6+MAX(AD312-$B$15,0)*$B$16*$B$7/12)-$B$9,0)),0),0)*$B$8-(1-AD$310)*IF(AND(AD$309&gt;0,$B$8&gt;0),MIN(AD$309*$B$17,$B$13*MAX((MIN(AD312,$B$15)*$B$6+MAX(AD312-$B$15,0)*$B$16*$B$7/12)-$B$9,0)),0)</f>
        <v/>
      </c>
      <c r="AE313" s="179">
        <f>AE312+(MIN(AE312,$B$15)*$B$6+MAX(AE312-$B$15,0)*$B$16*$B$7/12)-$B$9-MAX((MIN(AE312,$B$15)*$B$6+MAX(AE312-$B$15,0)*$B$16*$B$7/12)-$B$9-IF(AND(AE$309&gt;0,$B$8&gt;0),MIN(AE$309*$B$17,$B$13*MAX((MIN(AE312,$B$15)*$B$6+MAX(AE312-$B$15,0)*$B$16*$B$7/12)-$B$9,0)),0),0)*$B$8-(1-AE$310)*IF(AND(AE$309&gt;0,$B$8&gt;0),MIN(AE$309*$B$17,$B$13*MAX((MIN(AE312,$B$15)*$B$6+MAX(AE312-$B$15,0)*$B$16*$B$7/12)-$B$9,0)),0)</f>
        <v/>
      </c>
      <c r="AF313" s="179">
        <f>AF312+(MIN(AF312,$B$15)*$B$6+MAX(AF312-$B$15,0)*$B$16*$B$7/12)-$B$9-MAX((MIN(AF312,$B$15)*$B$6+MAX(AF312-$B$15,0)*$B$16*$B$7/12)-$B$9-IF(AND(AF$309&gt;0,$B$8&gt;0),MIN(AF$309*$B$17,$B$13*MAX((MIN(AF312,$B$15)*$B$6+MAX(AF312-$B$15,0)*$B$16*$B$7/12)-$B$9,0)),0),0)*$B$8-(1-AF$310)*IF(AND(AF$309&gt;0,$B$8&gt;0),MIN(AF$309*$B$17,$B$13*MAX((MIN(AF312,$B$15)*$B$6+MAX(AF312-$B$15,0)*$B$16*$B$7/12)-$B$9,0)),0)</f>
        <v/>
      </c>
      <c r="AG313" s="179">
        <f>AG312+(MIN(AG312,$B$15)*$B$6+MAX(AG312-$B$15,0)*$B$16*$B$7/12)-$B$9-MAX((MIN(AG312,$B$15)*$B$6+MAX(AG312-$B$15,0)*$B$16*$B$7/12)-$B$9-IF(AND(AG$309&gt;0,$B$8&gt;0),MIN(AG$309*$B$17,$B$13*MAX((MIN(AG312,$B$15)*$B$6+MAX(AG312-$B$15,0)*$B$16*$B$7/12)-$B$9,0)),0),0)*$B$8-(1-AG$310)*IF(AND(AG$309&gt;0,$B$8&gt;0),MIN(AG$309*$B$17,$B$13*MAX((MIN(AG312,$B$15)*$B$6+MAX(AG312-$B$15,0)*$B$16*$B$7/12)-$B$9,0)),0)</f>
        <v/>
      </c>
      <c r="AH313" s="179">
        <f>AH312+(MIN(AH312,$B$15)*$B$6+MAX(AH312-$B$15,0)*$B$16*$B$7/12)-$B$9-MAX((MIN(AH312,$B$15)*$B$6+MAX(AH312-$B$15,0)*$B$16*$B$7/12)-$B$9-IF(AND(AH$309&gt;0,$B$8&gt;0),MIN(AH$309*$B$17,$B$13*MAX((MIN(AH312,$B$15)*$B$6+MAX(AH312-$B$15,0)*$B$16*$B$7/12)-$B$9,0)),0),0)*$B$8-(1-AH$310)*IF(AND(AH$309&gt;0,$B$8&gt;0),MIN(AH$309*$B$17,$B$13*MAX((MIN(AH312,$B$15)*$B$6+MAX(AH312-$B$15,0)*$B$16*$B$7/12)-$B$9,0)),0)</f>
        <v/>
      </c>
      <c r="AI313" s="179">
        <f>AI312+(MIN(AI312,$B$15)*$B$6+MAX(AI312-$B$15,0)*$B$16*$B$7/12)-$B$9-MAX((MIN(AI312,$B$15)*$B$6+MAX(AI312-$B$15,0)*$B$16*$B$7/12)-$B$9-IF(AND(AI$309&gt;0,$B$8&gt;0),MIN(AI$309*$B$17,$B$13*MAX((MIN(AI312,$B$15)*$B$6+MAX(AI312-$B$15,0)*$B$16*$B$7/12)-$B$9,0)),0),0)*$B$8-(1-AI$310)*IF(AND(AI$309&gt;0,$B$8&gt;0),MIN(AI$309*$B$17,$B$13*MAX((MIN(AI312,$B$15)*$B$6+MAX(AI312-$B$15,0)*$B$16*$B$7/12)-$B$9,0)),0)</f>
        <v/>
      </c>
      <c r="AJ313" s="179">
        <f>AJ312+(MIN(AJ312,$B$15)*$B$6+MAX(AJ312-$B$15,0)*$B$16*$B$7/12)-$B$9-MAX((MIN(AJ312,$B$15)*$B$6+MAX(AJ312-$B$15,0)*$B$16*$B$7/12)-$B$9-IF(AND(AJ$309&gt;0,$B$8&gt;0),MIN(AJ$309*$B$17,$B$13*MAX((MIN(AJ312,$B$15)*$B$6+MAX(AJ312-$B$15,0)*$B$16*$B$7/12)-$B$9,0)),0),0)*$B$8-(1-AJ$310)*IF(AND(AJ$309&gt;0,$B$8&gt;0),MIN(AJ$309*$B$17,$B$13*MAX((MIN(AJ312,$B$15)*$B$6+MAX(AJ312-$B$15,0)*$B$16*$B$7/12)-$B$9,0)),0)</f>
        <v/>
      </c>
      <c r="AK313" s="179">
        <f>AK312+(MIN(AK312,$B$15)*$B$6+MAX(AK312-$B$15,0)*$B$16*$B$7/12)-$B$9-MAX((MIN(AK312,$B$15)*$B$6+MAX(AK312-$B$15,0)*$B$16*$B$7/12)-$B$9-IF(AND(AK$309&gt;0,$B$8&gt;0),MIN(AK$309*$B$17,$B$13*MAX((MIN(AK312,$B$15)*$B$6+MAX(AK312-$B$15,0)*$B$16*$B$7/12)-$B$9,0)),0),0)*$B$8-(1-AK$310)*IF(AND(AK$309&gt;0,$B$8&gt;0),MIN(AK$309*$B$17,$B$13*MAX((MIN(AK312,$B$15)*$B$6+MAX(AK312-$B$15,0)*$B$16*$B$7/12)-$B$9,0)),0)</f>
        <v/>
      </c>
      <c r="AL313" s="179">
        <f>AL312+(MIN(AL312,$B$15)*$B$6+MAX(AL312-$B$15,0)*$B$16*$B$7/12)-$B$9-MAX((MIN(AL312,$B$15)*$B$6+MAX(AL312-$B$15,0)*$B$16*$B$7/12)-$B$9-IF(AND(AL$309&gt;0,$B$8&gt;0),MIN(AL$309*$B$17,$B$13*MAX((MIN(AL312,$B$15)*$B$6+MAX(AL312-$B$15,0)*$B$16*$B$7/12)-$B$9,0)),0),0)*$B$8-(1-AL$310)*IF(AND(AL$309&gt;0,$B$8&gt;0),MIN(AL$309*$B$17,$B$13*MAX((MIN(AL312,$B$15)*$B$6+MAX(AL312-$B$15,0)*$B$16*$B$7/12)-$B$9,0)),0)</f>
        <v/>
      </c>
      <c r="AM313" s="179">
        <f>AM312+(MIN(AM312,$B$15)*$B$6+MAX(AM312-$B$15,0)*$B$16*$B$7/12)-$B$9-MAX((MIN(AM312,$B$15)*$B$6+MAX(AM312-$B$15,0)*$B$16*$B$7/12)-$B$9-IF(AND(AM$309&gt;0,$B$8&gt;0),MIN(AM$309*$B$17,$B$13*MAX((MIN(AM312,$B$15)*$B$6+MAX(AM312-$B$15,0)*$B$16*$B$7/12)-$B$9,0)),0),0)*$B$8-(1-AM$310)*IF(AND(AM$309&gt;0,$B$8&gt;0),MIN(AM$309*$B$17,$B$13*MAX((MIN(AM312,$B$15)*$B$6+MAX(AM312-$B$15,0)*$B$16*$B$7/12)-$B$9,0)),0)</f>
        <v/>
      </c>
      <c r="AN313" s="179">
        <f>AN312+(MIN(AN312,$B$15)*$B$6+MAX(AN312-$B$15,0)*$B$16*$B$7/12)-$B$9-MAX((MIN(AN312,$B$15)*$B$6+MAX(AN312-$B$15,0)*$B$16*$B$7/12)-$B$9-IF(AND(AN$309&gt;0,$B$8&gt;0),MIN(AN$309*$B$17,$B$13*MAX((MIN(AN312,$B$15)*$B$6+MAX(AN312-$B$15,0)*$B$16*$B$7/12)-$B$9,0)),0),0)*$B$8-(1-AN$310)*IF(AND(AN$309&gt;0,$B$8&gt;0),MIN(AN$309*$B$17,$B$13*MAX((MIN(AN312,$B$15)*$B$6+MAX(AN312-$B$15,0)*$B$16*$B$7/12)-$B$9,0)),0)</f>
        <v/>
      </c>
      <c r="AO313" s="179">
        <f>AO312+(MIN(AO312,$B$15)*$B$6+MAX(AO312-$B$15,0)*$B$16*$B$7/12)-$B$9-MAX((MIN(AO312,$B$15)*$B$6+MAX(AO312-$B$15,0)*$B$16*$B$7/12)-$B$9-IF(AND(AO$309&gt;0,$B$8&gt;0),MIN(AO$309*$B$17,$B$13*MAX((MIN(AO312,$B$15)*$B$6+MAX(AO312-$B$15,0)*$B$16*$B$7/12)-$B$9,0)),0),0)*$B$8-(1-AO$310)*IF(AND(AO$309&gt;0,$B$8&gt;0),MIN(AO$309*$B$17,$B$13*MAX((MIN(AO312,$B$15)*$B$6+MAX(AO312-$B$15,0)*$B$16*$B$7/12)-$B$9,0)),0)</f>
        <v/>
      </c>
      <c r="AP313" s="179">
        <f>AP312+(MIN(AP312,$B$15)*$B$6+MAX(AP312-$B$15,0)*$B$16*$B$7/12)-$B$9-MAX((MIN(AP312,$B$15)*$B$6+MAX(AP312-$B$15,0)*$B$16*$B$7/12)-$B$9-IF(AND(AP$309&gt;0,$B$8&gt;0),MIN(AP$309*$B$17,$B$13*MAX((MIN(AP312,$B$15)*$B$6+MAX(AP312-$B$15,0)*$B$16*$B$7/12)-$B$9,0)),0),0)*$B$8-(1-AP$310)*IF(AND(AP$309&gt;0,$B$8&gt;0),MIN(AP$309*$B$17,$B$13*MAX((MIN(AP312,$B$15)*$B$6+MAX(AP312-$B$15,0)*$B$16*$B$7/12)-$B$9,0)),0)</f>
        <v/>
      </c>
      <c r="AQ313" s="179">
        <f>AQ312+(MIN(AQ312,$B$15)*$B$6+MAX(AQ312-$B$15,0)*$B$16*$B$7/12)-$B$9-MAX((MIN(AQ312,$B$15)*$B$6+MAX(AQ312-$B$15,0)*$B$16*$B$7/12)-$B$9-IF(AND(AQ$309&gt;0,$B$8&gt;0),MIN(AQ$309*$B$17,$B$13*MAX((MIN(AQ312,$B$15)*$B$6+MAX(AQ312-$B$15,0)*$B$16*$B$7/12)-$B$9,0)),0),0)*$B$8-(1-AQ$310)*IF(AND(AQ$309&gt;0,$B$8&gt;0),MIN(AQ$309*$B$17,$B$13*MAX((MIN(AQ312,$B$15)*$B$6+MAX(AQ312-$B$15,0)*$B$16*$B$7/12)-$B$9,0)),0)</f>
        <v/>
      </c>
    </row>
    <row r="314" hidden="1" outlineLevel="1">
      <c r="A314" s="164" t="inlineStr">
        <is>
          <t>Cycle 4</t>
        </is>
      </c>
      <c r="B314" s="179">
        <f>B313+(MIN(B313,$B$15)*$B$6+MAX(B313-$B$15,0)*$B$16*$B$7/12)-$B$9-MAX((MIN(B313,$B$15)*$B$6+MAX(B313-$B$15,0)*$B$16*$B$7/12)-$B$9-IF(AND(B$309&gt;0,$B$8&gt;0),MIN(B$309*$B$17,$B$13*MAX((MIN(B313,$B$15)*$B$6+MAX(B313-$B$15,0)*$B$16*$B$7/12)-$B$9,0)),0),0)*$B$8-(1-B$310)*IF(AND(B$309&gt;0,$B$8&gt;0),MIN(B$309*$B$17,$B$13*MAX((MIN(B313,$B$15)*$B$6+MAX(B313-$B$15,0)*$B$16*$B$7/12)-$B$9,0)),0)</f>
        <v/>
      </c>
      <c r="C314" s="179">
        <f>C313+(MIN(C313,$B$15)*$B$6+MAX(C313-$B$15,0)*$B$16*$B$7/12)-$B$9-MAX((MIN(C313,$B$15)*$B$6+MAX(C313-$B$15,0)*$B$16*$B$7/12)-$B$9-IF(AND(C$309&gt;0,$B$8&gt;0),MIN(C$309*$B$17,$B$13*MAX((MIN(C313,$B$15)*$B$6+MAX(C313-$B$15,0)*$B$16*$B$7/12)-$B$9,0)),0),0)*$B$8-(1-C$310)*IF(AND(C$309&gt;0,$B$8&gt;0),MIN(C$309*$B$17,$B$13*MAX((MIN(C313,$B$15)*$B$6+MAX(C313-$B$15,0)*$B$16*$B$7/12)-$B$9,0)),0)</f>
        <v/>
      </c>
      <c r="D314" s="179">
        <f>D313+(MIN(D313,$B$15)*$B$6+MAX(D313-$B$15,0)*$B$16*$B$7/12)-$B$9-MAX((MIN(D313,$B$15)*$B$6+MAX(D313-$B$15,0)*$B$16*$B$7/12)-$B$9-IF(AND(D$309&gt;0,$B$8&gt;0),MIN(D$309*$B$17,$B$13*MAX((MIN(D313,$B$15)*$B$6+MAX(D313-$B$15,0)*$B$16*$B$7/12)-$B$9,0)),0),0)*$B$8-(1-D$310)*IF(AND(D$309&gt;0,$B$8&gt;0),MIN(D$309*$B$17,$B$13*MAX((MIN(D313,$B$15)*$B$6+MAX(D313-$B$15,0)*$B$16*$B$7/12)-$B$9,0)),0)</f>
        <v/>
      </c>
      <c r="E314" s="179">
        <f>E313+(MIN(E313,$B$15)*$B$6+MAX(E313-$B$15,0)*$B$16*$B$7/12)-$B$9-MAX((MIN(E313,$B$15)*$B$6+MAX(E313-$B$15,0)*$B$16*$B$7/12)-$B$9-IF(AND(E$309&gt;0,$B$8&gt;0),MIN(E$309*$B$17,$B$13*MAX((MIN(E313,$B$15)*$B$6+MAX(E313-$B$15,0)*$B$16*$B$7/12)-$B$9,0)),0),0)*$B$8-(1-E$310)*IF(AND(E$309&gt;0,$B$8&gt;0),MIN(E$309*$B$17,$B$13*MAX((MIN(E313,$B$15)*$B$6+MAX(E313-$B$15,0)*$B$16*$B$7/12)-$B$9,0)),0)</f>
        <v/>
      </c>
      <c r="F314" s="179">
        <f>F313+(MIN(F313,$B$15)*$B$6+MAX(F313-$B$15,0)*$B$16*$B$7/12)-$B$9-MAX((MIN(F313,$B$15)*$B$6+MAX(F313-$B$15,0)*$B$16*$B$7/12)-$B$9-IF(AND(F$309&gt;0,$B$8&gt;0),MIN(F$309*$B$17,$B$13*MAX((MIN(F313,$B$15)*$B$6+MAX(F313-$B$15,0)*$B$16*$B$7/12)-$B$9,0)),0),0)*$B$8-(1-F$310)*IF(AND(F$309&gt;0,$B$8&gt;0),MIN(F$309*$B$17,$B$13*MAX((MIN(F313,$B$15)*$B$6+MAX(F313-$B$15,0)*$B$16*$B$7/12)-$B$9,0)),0)</f>
        <v/>
      </c>
      <c r="G314" s="179">
        <f>G313+(MIN(G313,$B$15)*$B$6+MAX(G313-$B$15,0)*$B$16*$B$7/12)-$B$9-MAX((MIN(G313,$B$15)*$B$6+MAX(G313-$B$15,0)*$B$16*$B$7/12)-$B$9-IF(AND(G$309&gt;0,$B$8&gt;0),MIN(G$309*$B$17,$B$13*MAX((MIN(G313,$B$15)*$B$6+MAX(G313-$B$15,0)*$B$16*$B$7/12)-$B$9,0)),0),0)*$B$8-(1-G$310)*IF(AND(G$309&gt;0,$B$8&gt;0),MIN(G$309*$B$17,$B$13*MAX((MIN(G313,$B$15)*$B$6+MAX(G313-$B$15,0)*$B$16*$B$7/12)-$B$9,0)),0)</f>
        <v/>
      </c>
      <c r="H314" s="179">
        <f>H313+(MIN(H313,$B$15)*$B$6+MAX(H313-$B$15,0)*$B$16*$B$7/12)-$B$9-MAX((MIN(H313,$B$15)*$B$6+MAX(H313-$B$15,0)*$B$16*$B$7/12)-$B$9-IF(AND(H$309&gt;0,$B$8&gt;0),MIN(H$309*$B$17,$B$13*MAX((MIN(H313,$B$15)*$B$6+MAX(H313-$B$15,0)*$B$16*$B$7/12)-$B$9,0)),0),0)*$B$8-(1-H$310)*IF(AND(H$309&gt;0,$B$8&gt;0),MIN(H$309*$B$17,$B$13*MAX((MIN(H313,$B$15)*$B$6+MAX(H313-$B$15,0)*$B$16*$B$7/12)-$B$9,0)),0)</f>
        <v/>
      </c>
      <c r="I314" s="179">
        <f>I313+(MIN(I313,$B$15)*$B$6+MAX(I313-$B$15,0)*$B$16*$B$7/12)-$B$9-MAX((MIN(I313,$B$15)*$B$6+MAX(I313-$B$15,0)*$B$16*$B$7/12)-$B$9-IF(AND(I$309&gt;0,$B$8&gt;0),MIN(I$309*$B$17,$B$13*MAX((MIN(I313,$B$15)*$B$6+MAX(I313-$B$15,0)*$B$16*$B$7/12)-$B$9,0)),0),0)*$B$8-(1-I$310)*IF(AND(I$309&gt;0,$B$8&gt;0),MIN(I$309*$B$17,$B$13*MAX((MIN(I313,$B$15)*$B$6+MAX(I313-$B$15,0)*$B$16*$B$7/12)-$B$9,0)),0)</f>
        <v/>
      </c>
      <c r="J314" s="179">
        <f>J313+(MIN(J313,$B$15)*$B$6+MAX(J313-$B$15,0)*$B$16*$B$7/12)-$B$9-MAX((MIN(J313,$B$15)*$B$6+MAX(J313-$B$15,0)*$B$16*$B$7/12)-$B$9-IF(AND(J$309&gt;0,$B$8&gt;0),MIN(J$309*$B$17,$B$13*MAX((MIN(J313,$B$15)*$B$6+MAX(J313-$B$15,0)*$B$16*$B$7/12)-$B$9,0)),0),0)*$B$8-(1-J$310)*IF(AND(J$309&gt;0,$B$8&gt;0),MIN(J$309*$B$17,$B$13*MAX((MIN(J313,$B$15)*$B$6+MAX(J313-$B$15,0)*$B$16*$B$7/12)-$B$9,0)),0)</f>
        <v/>
      </c>
      <c r="K314" s="179">
        <f>K313+(MIN(K313,$B$15)*$B$6+MAX(K313-$B$15,0)*$B$16*$B$7/12)-$B$9-MAX((MIN(K313,$B$15)*$B$6+MAX(K313-$B$15,0)*$B$16*$B$7/12)-$B$9-IF(AND(K$309&gt;0,$B$8&gt;0),MIN(K$309*$B$17,$B$13*MAX((MIN(K313,$B$15)*$B$6+MAX(K313-$B$15,0)*$B$16*$B$7/12)-$B$9,0)),0),0)*$B$8-(1-K$310)*IF(AND(K$309&gt;0,$B$8&gt;0),MIN(K$309*$B$17,$B$13*MAX((MIN(K313,$B$15)*$B$6+MAX(K313-$B$15,0)*$B$16*$B$7/12)-$B$9,0)),0)</f>
        <v/>
      </c>
      <c r="L314" s="179">
        <f>L313+(MIN(L313,$B$15)*$B$6+MAX(L313-$B$15,0)*$B$16*$B$7/12)-$B$9-MAX((MIN(L313,$B$15)*$B$6+MAX(L313-$B$15,0)*$B$16*$B$7/12)-$B$9-IF(AND(L$309&gt;0,$B$8&gt;0),MIN(L$309*$B$17,$B$13*MAX((MIN(L313,$B$15)*$B$6+MAX(L313-$B$15,0)*$B$16*$B$7/12)-$B$9,0)),0),0)*$B$8-(1-L$310)*IF(AND(L$309&gt;0,$B$8&gt;0),MIN(L$309*$B$17,$B$13*MAX((MIN(L313,$B$15)*$B$6+MAX(L313-$B$15,0)*$B$16*$B$7/12)-$B$9,0)),0)</f>
        <v/>
      </c>
      <c r="M314" s="179">
        <f>M313+(MIN(M313,$B$15)*$B$6+MAX(M313-$B$15,0)*$B$16*$B$7/12)-$B$9-MAX((MIN(M313,$B$15)*$B$6+MAX(M313-$B$15,0)*$B$16*$B$7/12)-$B$9-IF(AND(M$309&gt;0,$B$8&gt;0),MIN(M$309*$B$17,$B$13*MAX((MIN(M313,$B$15)*$B$6+MAX(M313-$B$15,0)*$B$16*$B$7/12)-$B$9,0)),0),0)*$B$8-(1-M$310)*IF(AND(M$309&gt;0,$B$8&gt;0),MIN(M$309*$B$17,$B$13*MAX((MIN(M313,$B$15)*$B$6+MAX(M313-$B$15,0)*$B$16*$B$7/12)-$B$9,0)),0)</f>
        <v/>
      </c>
      <c r="N314" s="179">
        <f>N313+(MIN(N313,$B$15)*$B$6+MAX(N313-$B$15,0)*$B$16*$B$7/12)-$B$9-MAX((MIN(N313,$B$15)*$B$6+MAX(N313-$B$15,0)*$B$16*$B$7/12)-$B$9-IF(AND(N$309&gt;0,$B$8&gt;0),MIN(N$309*$B$17,$B$13*MAX((MIN(N313,$B$15)*$B$6+MAX(N313-$B$15,0)*$B$16*$B$7/12)-$B$9,0)),0),0)*$B$8-(1-N$310)*IF(AND(N$309&gt;0,$B$8&gt;0),MIN(N$309*$B$17,$B$13*MAX((MIN(N313,$B$15)*$B$6+MAX(N313-$B$15,0)*$B$16*$B$7/12)-$B$9,0)),0)</f>
        <v/>
      </c>
      <c r="O314" s="179">
        <f>O313+(MIN(O313,$B$15)*$B$6+MAX(O313-$B$15,0)*$B$16*$B$7/12)-$B$9-MAX((MIN(O313,$B$15)*$B$6+MAX(O313-$B$15,0)*$B$16*$B$7/12)-$B$9-IF(AND(O$309&gt;0,$B$8&gt;0),MIN(O$309*$B$17,$B$13*MAX((MIN(O313,$B$15)*$B$6+MAX(O313-$B$15,0)*$B$16*$B$7/12)-$B$9,0)),0),0)*$B$8-(1-O$310)*IF(AND(O$309&gt;0,$B$8&gt;0),MIN(O$309*$B$17,$B$13*MAX((MIN(O313,$B$15)*$B$6+MAX(O313-$B$15,0)*$B$16*$B$7/12)-$B$9,0)),0)</f>
        <v/>
      </c>
      <c r="P314" s="179">
        <f>P313+(MIN(P313,$B$15)*$B$6+MAX(P313-$B$15,0)*$B$16*$B$7/12)-$B$9-MAX((MIN(P313,$B$15)*$B$6+MAX(P313-$B$15,0)*$B$16*$B$7/12)-$B$9-IF(AND(P$309&gt;0,$B$8&gt;0),MIN(P$309*$B$17,$B$13*MAX((MIN(P313,$B$15)*$B$6+MAX(P313-$B$15,0)*$B$16*$B$7/12)-$B$9,0)),0),0)*$B$8-(1-P$310)*IF(AND(P$309&gt;0,$B$8&gt;0),MIN(P$309*$B$17,$B$13*MAX((MIN(P313,$B$15)*$B$6+MAX(P313-$B$15,0)*$B$16*$B$7/12)-$B$9,0)),0)</f>
        <v/>
      </c>
      <c r="Q314" s="179">
        <f>Q313+(MIN(Q313,$B$15)*$B$6+MAX(Q313-$B$15,0)*$B$16*$B$7/12)-$B$9-MAX((MIN(Q313,$B$15)*$B$6+MAX(Q313-$B$15,0)*$B$16*$B$7/12)-$B$9-IF(AND(Q$309&gt;0,$B$8&gt;0),MIN(Q$309*$B$17,$B$13*MAX((MIN(Q313,$B$15)*$B$6+MAX(Q313-$B$15,0)*$B$16*$B$7/12)-$B$9,0)),0),0)*$B$8-(1-Q$310)*IF(AND(Q$309&gt;0,$B$8&gt;0),MIN(Q$309*$B$17,$B$13*MAX((MIN(Q313,$B$15)*$B$6+MAX(Q313-$B$15,0)*$B$16*$B$7/12)-$B$9,0)),0)</f>
        <v/>
      </c>
      <c r="R314" s="179">
        <f>R313+(MIN(R313,$B$15)*$B$6+MAX(R313-$B$15,0)*$B$16*$B$7/12)-$B$9-MAX((MIN(R313,$B$15)*$B$6+MAX(R313-$B$15,0)*$B$16*$B$7/12)-$B$9-IF(AND(R$309&gt;0,$B$8&gt;0),MIN(R$309*$B$17,$B$13*MAX((MIN(R313,$B$15)*$B$6+MAX(R313-$B$15,0)*$B$16*$B$7/12)-$B$9,0)),0),0)*$B$8-(1-R$310)*IF(AND(R$309&gt;0,$B$8&gt;0),MIN(R$309*$B$17,$B$13*MAX((MIN(R313,$B$15)*$B$6+MAX(R313-$B$15,0)*$B$16*$B$7/12)-$B$9,0)),0)</f>
        <v/>
      </c>
      <c r="S314" s="179">
        <f>S313+(MIN(S313,$B$15)*$B$6+MAX(S313-$B$15,0)*$B$16*$B$7/12)-$B$9-MAX((MIN(S313,$B$15)*$B$6+MAX(S313-$B$15,0)*$B$16*$B$7/12)-$B$9-IF(AND(S$309&gt;0,$B$8&gt;0),MIN(S$309*$B$17,$B$13*MAX((MIN(S313,$B$15)*$B$6+MAX(S313-$B$15,0)*$B$16*$B$7/12)-$B$9,0)),0),0)*$B$8-(1-S$310)*IF(AND(S$309&gt;0,$B$8&gt;0),MIN(S$309*$B$17,$B$13*MAX((MIN(S313,$B$15)*$B$6+MAX(S313-$B$15,0)*$B$16*$B$7/12)-$B$9,0)),0)</f>
        <v/>
      </c>
      <c r="T314" s="179">
        <f>T313+(MIN(T313,$B$15)*$B$6+MAX(T313-$B$15,0)*$B$16*$B$7/12)-$B$9-MAX((MIN(T313,$B$15)*$B$6+MAX(T313-$B$15,0)*$B$16*$B$7/12)-$B$9-IF(AND(T$309&gt;0,$B$8&gt;0),MIN(T$309*$B$17,$B$13*MAX((MIN(T313,$B$15)*$B$6+MAX(T313-$B$15,0)*$B$16*$B$7/12)-$B$9,0)),0),0)*$B$8-(1-T$310)*IF(AND(T$309&gt;0,$B$8&gt;0),MIN(T$309*$B$17,$B$13*MAX((MIN(T313,$B$15)*$B$6+MAX(T313-$B$15,0)*$B$16*$B$7/12)-$B$9,0)),0)</f>
        <v/>
      </c>
      <c r="U314" s="179">
        <f>U313+(MIN(U313,$B$15)*$B$6+MAX(U313-$B$15,0)*$B$16*$B$7/12)-$B$9-MAX((MIN(U313,$B$15)*$B$6+MAX(U313-$B$15,0)*$B$16*$B$7/12)-$B$9-IF(AND(U$309&gt;0,$B$8&gt;0),MIN(U$309*$B$17,$B$13*MAX((MIN(U313,$B$15)*$B$6+MAX(U313-$B$15,0)*$B$16*$B$7/12)-$B$9,0)),0),0)*$B$8-(1-U$310)*IF(AND(U$309&gt;0,$B$8&gt;0),MIN(U$309*$B$17,$B$13*MAX((MIN(U313,$B$15)*$B$6+MAX(U313-$B$15,0)*$B$16*$B$7/12)-$B$9,0)),0)</f>
        <v/>
      </c>
      <c r="V314" s="179">
        <f>V313+(MIN(V313,$B$15)*$B$6+MAX(V313-$B$15,0)*$B$16*$B$7/12)-$B$9-MAX((MIN(V313,$B$15)*$B$6+MAX(V313-$B$15,0)*$B$16*$B$7/12)-$B$9-IF(AND(V$309&gt;0,$B$8&gt;0),MIN(V$309*$B$17,$B$13*MAX((MIN(V313,$B$15)*$B$6+MAX(V313-$B$15,0)*$B$16*$B$7/12)-$B$9,0)),0),0)*$B$8-(1-V$310)*IF(AND(V$309&gt;0,$B$8&gt;0),MIN(V$309*$B$17,$B$13*MAX((MIN(V313,$B$15)*$B$6+MAX(V313-$B$15,0)*$B$16*$B$7/12)-$B$9,0)),0)</f>
        <v/>
      </c>
      <c r="W314" s="179">
        <f>W313+(MIN(W313,$B$15)*$B$6+MAX(W313-$B$15,0)*$B$16*$B$7/12)-$B$9-MAX((MIN(W313,$B$15)*$B$6+MAX(W313-$B$15,0)*$B$16*$B$7/12)-$B$9-IF(AND(W$309&gt;0,$B$8&gt;0),MIN(W$309*$B$17,$B$13*MAX((MIN(W313,$B$15)*$B$6+MAX(W313-$B$15,0)*$B$16*$B$7/12)-$B$9,0)),0),0)*$B$8-(1-W$310)*IF(AND(W$309&gt;0,$B$8&gt;0),MIN(W$309*$B$17,$B$13*MAX((MIN(W313,$B$15)*$B$6+MAX(W313-$B$15,0)*$B$16*$B$7/12)-$B$9,0)),0)</f>
        <v/>
      </c>
      <c r="X314" s="179">
        <f>X313+(MIN(X313,$B$15)*$B$6+MAX(X313-$B$15,0)*$B$16*$B$7/12)-$B$9-MAX((MIN(X313,$B$15)*$B$6+MAX(X313-$B$15,0)*$B$16*$B$7/12)-$B$9-IF(AND(X$309&gt;0,$B$8&gt;0),MIN(X$309*$B$17,$B$13*MAX((MIN(X313,$B$15)*$B$6+MAX(X313-$B$15,0)*$B$16*$B$7/12)-$B$9,0)),0),0)*$B$8-(1-X$310)*IF(AND(X$309&gt;0,$B$8&gt;0),MIN(X$309*$B$17,$B$13*MAX((MIN(X313,$B$15)*$B$6+MAX(X313-$B$15,0)*$B$16*$B$7/12)-$B$9,0)),0)</f>
        <v/>
      </c>
      <c r="Y314" s="179">
        <f>Y313+(MIN(Y313,$B$15)*$B$6+MAX(Y313-$B$15,0)*$B$16*$B$7/12)-$B$9-MAX((MIN(Y313,$B$15)*$B$6+MAX(Y313-$B$15,0)*$B$16*$B$7/12)-$B$9-IF(AND(Y$309&gt;0,$B$8&gt;0),MIN(Y$309*$B$17,$B$13*MAX((MIN(Y313,$B$15)*$B$6+MAX(Y313-$B$15,0)*$B$16*$B$7/12)-$B$9,0)),0),0)*$B$8-(1-Y$310)*IF(AND(Y$309&gt;0,$B$8&gt;0),MIN(Y$309*$B$17,$B$13*MAX((MIN(Y313,$B$15)*$B$6+MAX(Y313-$B$15,0)*$B$16*$B$7/12)-$B$9,0)),0)</f>
        <v/>
      </c>
      <c r="Z314" s="179">
        <f>Z313+(MIN(Z313,$B$15)*$B$6+MAX(Z313-$B$15,0)*$B$16*$B$7/12)-$B$9-MAX((MIN(Z313,$B$15)*$B$6+MAX(Z313-$B$15,0)*$B$16*$B$7/12)-$B$9-IF(AND(Z$309&gt;0,$B$8&gt;0),MIN(Z$309*$B$17,$B$13*MAX((MIN(Z313,$B$15)*$B$6+MAX(Z313-$B$15,0)*$B$16*$B$7/12)-$B$9,0)),0),0)*$B$8-(1-Z$310)*IF(AND(Z$309&gt;0,$B$8&gt;0),MIN(Z$309*$B$17,$B$13*MAX((MIN(Z313,$B$15)*$B$6+MAX(Z313-$B$15,0)*$B$16*$B$7/12)-$B$9,0)),0)</f>
        <v/>
      </c>
      <c r="AA314" s="179">
        <f>AA313+(MIN(AA313,$B$15)*$B$6+MAX(AA313-$B$15,0)*$B$16*$B$7/12)-$B$9-MAX((MIN(AA313,$B$15)*$B$6+MAX(AA313-$B$15,0)*$B$16*$B$7/12)-$B$9-IF(AND(AA$309&gt;0,$B$8&gt;0),MIN(AA$309*$B$17,$B$13*MAX((MIN(AA313,$B$15)*$B$6+MAX(AA313-$B$15,0)*$B$16*$B$7/12)-$B$9,0)),0),0)*$B$8-(1-AA$310)*IF(AND(AA$309&gt;0,$B$8&gt;0),MIN(AA$309*$B$17,$B$13*MAX((MIN(AA313,$B$15)*$B$6+MAX(AA313-$B$15,0)*$B$16*$B$7/12)-$B$9,0)),0)</f>
        <v/>
      </c>
      <c r="AB314" s="179">
        <f>AB313+(MIN(AB313,$B$15)*$B$6+MAX(AB313-$B$15,0)*$B$16*$B$7/12)-$B$9-MAX((MIN(AB313,$B$15)*$B$6+MAX(AB313-$B$15,0)*$B$16*$B$7/12)-$B$9-IF(AND(AB$309&gt;0,$B$8&gt;0),MIN(AB$309*$B$17,$B$13*MAX((MIN(AB313,$B$15)*$B$6+MAX(AB313-$B$15,0)*$B$16*$B$7/12)-$B$9,0)),0),0)*$B$8-(1-AB$310)*IF(AND(AB$309&gt;0,$B$8&gt;0),MIN(AB$309*$B$17,$B$13*MAX((MIN(AB313,$B$15)*$B$6+MAX(AB313-$B$15,0)*$B$16*$B$7/12)-$B$9,0)),0)</f>
        <v/>
      </c>
      <c r="AC314" s="179">
        <f>AC313+(MIN(AC313,$B$15)*$B$6+MAX(AC313-$B$15,0)*$B$16*$B$7/12)-$B$9-MAX((MIN(AC313,$B$15)*$B$6+MAX(AC313-$B$15,0)*$B$16*$B$7/12)-$B$9-IF(AND(AC$309&gt;0,$B$8&gt;0),MIN(AC$309*$B$17,$B$13*MAX((MIN(AC313,$B$15)*$B$6+MAX(AC313-$B$15,0)*$B$16*$B$7/12)-$B$9,0)),0),0)*$B$8-(1-AC$310)*IF(AND(AC$309&gt;0,$B$8&gt;0),MIN(AC$309*$B$17,$B$13*MAX((MIN(AC313,$B$15)*$B$6+MAX(AC313-$B$15,0)*$B$16*$B$7/12)-$B$9,0)),0)</f>
        <v/>
      </c>
      <c r="AD314" s="179">
        <f>AD313+(MIN(AD313,$B$15)*$B$6+MAX(AD313-$B$15,0)*$B$16*$B$7/12)-$B$9-MAX((MIN(AD313,$B$15)*$B$6+MAX(AD313-$B$15,0)*$B$16*$B$7/12)-$B$9-IF(AND(AD$309&gt;0,$B$8&gt;0),MIN(AD$309*$B$17,$B$13*MAX((MIN(AD313,$B$15)*$B$6+MAX(AD313-$B$15,0)*$B$16*$B$7/12)-$B$9,0)),0),0)*$B$8-(1-AD$310)*IF(AND(AD$309&gt;0,$B$8&gt;0),MIN(AD$309*$B$17,$B$13*MAX((MIN(AD313,$B$15)*$B$6+MAX(AD313-$B$15,0)*$B$16*$B$7/12)-$B$9,0)),0)</f>
        <v/>
      </c>
      <c r="AE314" s="179">
        <f>AE313+(MIN(AE313,$B$15)*$B$6+MAX(AE313-$B$15,0)*$B$16*$B$7/12)-$B$9-MAX((MIN(AE313,$B$15)*$B$6+MAX(AE313-$B$15,0)*$B$16*$B$7/12)-$B$9-IF(AND(AE$309&gt;0,$B$8&gt;0),MIN(AE$309*$B$17,$B$13*MAX((MIN(AE313,$B$15)*$B$6+MAX(AE313-$B$15,0)*$B$16*$B$7/12)-$B$9,0)),0),0)*$B$8-(1-AE$310)*IF(AND(AE$309&gt;0,$B$8&gt;0),MIN(AE$309*$B$17,$B$13*MAX((MIN(AE313,$B$15)*$B$6+MAX(AE313-$B$15,0)*$B$16*$B$7/12)-$B$9,0)),0)</f>
        <v/>
      </c>
      <c r="AF314" s="179">
        <f>AF313+(MIN(AF313,$B$15)*$B$6+MAX(AF313-$B$15,0)*$B$16*$B$7/12)-$B$9-MAX((MIN(AF313,$B$15)*$B$6+MAX(AF313-$B$15,0)*$B$16*$B$7/12)-$B$9-IF(AND(AF$309&gt;0,$B$8&gt;0),MIN(AF$309*$B$17,$B$13*MAX((MIN(AF313,$B$15)*$B$6+MAX(AF313-$B$15,0)*$B$16*$B$7/12)-$B$9,0)),0),0)*$B$8-(1-AF$310)*IF(AND(AF$309&gt;0,$B$8&gt;0),MIN(AF$309*$B$17,$B$13*MAX((MIN(AF313,$B$15)*$B$6+MAX(AF313-$B$15,0)*$B$16*$B$7/12)-$B$9,0)),0)</f>
        <v/>
      </c>
      <c r="AG314" s="179">
        <f>AG313+(MIN(AG313,$B$15)*$B$6+MAX(AG313-$B$15,0)*$B$16*$B$7/12)-$B$9-MAX((MIN(AG313,$B$15)*$B$6+MAX(AG313-$B$15,0)*$B$16*$B$7/12)-$B$9-IF(AND(AG$309&gt;0,$B$8&gt;0),MIN(AG$309*$B$17,$B$13*MAX((MIN(AG313,$B$15)*$B$6+MAX(AG313-$B$15,0)*$B$16*$B$7/12)-$B$9,0)),0),0)*$B$8-(1-AG$310)*IF(AND(AG$309&gt;0,$B$8&gt;0),MIN(AG$309*$B$17,$B$13*MAX((MIN(AG313,$B$15)*$B$6+MAX(AG313-$B$15,0)*$B$16*$B$7/12)-$B$9,0)),0)</f>
        <v/>
      </c>
      <c r="AH314" s="179">
        <f>AH313+(MIN(AH313,$B$15)*$B$6+MAX(AH313-$B$15,0)*$B$16*$B$7/12)-$B$9-MAX((MIN(AH313,$B$15)*$B$6+MAX(AH313-$B$15,0)*$B$16*$B$7/12)-$B$9-IF(AND(AH$309&gt;0,$B$8&gt;0),MIN(AH$309*$B$17,$B$13*MAX((MIN(AH313,$B$15)*$B$6+MAX(AH313-$B$15,0)*$B$16*$B$7/12)-$B$9,0)),0),0)*$B$8-(1-AH$310)*IF(AND(AH$309&gt;0,$B$8&gt;0),MIN(AH$309*$B$17,$B$13*MAX((MIN(AH313,$B$15)*$B$6+MAX(AH313-$B$15,0)*$B$16*$B$7/12)-$B$9,0)),0)</f>
        <v/>
      </c>
      <c r="AI314" s="179">
        <f>AI313+(MIN(AI313,$B$15)*$B$6+MAX(AI313-$B$15,0)*$B$16*$B$7/12)-$B$9-MAX((MIN(AI313,$B$15)*$B$6+MAX(AI313-$B$15,0)*$B$16*$B$7/12)-$B$9-IF(AND(AI$309&gt;0,$B$8&gt;0),MIN(AI$309*$B$17,$B$13*MAX((MIN(AI313,$B$15)*$B$6+MAX(AI313-$B$15,0)*$B$16*$B$7/12)-$B$9,0)),0),0)*$B$8-(1-AI$310)*IF(AND(AI$309&gt;0,$B$8&gt;0),MIN(AI$309*$B$17,$B$13*MAX((MIN(AI313,$B$15)*$B$6+MAX(AI313-$B$15,0)*$B$16*$B$7/12)-$B$9,0)),0)</f>
        <v/>
      </c>
      <c r="AJ314" s="179">
        <f>AJ313+(MIN(AJ313,$B$15)*$B$6+MAX(AJ313-$B$15,0)*$B$16*$B$7/12)-$B$9-MAX((MIN(AJ313,$B$15)*$B$6+MAX(AJ313-$B$15,0)*$B$16*$B$7/12)-$B$9-IF(AND(AJ$309&gt;0,$B$8&gt;0),MIN(AJ$309*$B$17,$B$13*MAX((MIN(AJ313,$B$15)*$B$6+MAX(AJ313-$B$15,0)*$B$16*$B$7/12)-$B$9,0)),0),0)*$B$8-(1-AJ$310)*IF(AND(AJ$309&gt;0,$B$8&gt;0),MIN(AJ$309*$B$17,$B$13*MAX((MIN(AJ313,$B$15)*$B$6+MAX(AJ313-$B$15,0)*$B$16*$B$7/12)-$B$9,0)),0)</f>
        <v/>
      </c>
      <c r="AK314" s="179">
        <f>AK313+(MIN(AK313,$B$15)*$B$6+MAX(AK313-$B$15,0)*$B$16*$B$7/12)-$B$9-MAX((MIN(AK313,$B$15)*$B$6+MAX(AK313-$B$15,0)*$B$16*$B$7/12)-$B$9-IF(AND(AK$309&gt;0,$B$8&gt;0),MIN(AK$309*$B$17,$B$13*MAX((MIN(AK313,$B$15)*$B$6+MAX(AK313-$B$15,0)*$B$16*$B$7/12)-$B$9,0)),0),0)*$B$8-(1-AK$310)*IF(AND(AK$309&gt;0,$B$8&gt;0),MIN(AK$309*$B$17,$B$13*MAX((MIN(AK313,$B$15)*$B$6+MAX(AK313-$B$15,0)*$B$16*$B$7/12)-$B$9,0)),0)</f>
        <v/>
      </c>
      <c r="AL314" s="179">
        <f>AL313+(MIN(AL313,$B$15)*$B$6+MAX(AL313-$B$15,0)*$B$16*$B$7/12)-$B$9-MAX((MIN(AL313,$B$15)*$B$6+MAX(AL313-$B$15,0)*$B$16*$B$7/12)-$B$9-IF(AND(AL$309&gt;0,$B$8&gt;0),MIN(AL$309*$B$17,$B$13*MAX((MIN(AL313,$B$15)*$B$6+MAX(AL313-$B$15,0)*$B$16*$B$7/12)-$B$9,0)),0),0)*$B$8-(1-AL$310)*IF(AND(AL$309&gt;0,$B$8&gt;0),MIN(AL$309*$B$17,$B$13*MAX((MIN(AL313,$B$15)*$B$6+MAX(AL313-$B$15,0)*$B$16*$B$7/12)-$B$9,0)),0)</f>
        <v/>
      </c>
      <c r="AM314" s="179">
        <f>AM313+(MIN(AM313,$B$15)*$B$6+MAX(AM313-$B$15,0)*$B$16*$B$7/12)-$B$9-MAX((MIN(AM313,$B$15)*$B$6+MAX(AM313-$B$15,0)*$B$16*$B$7/12)-$B$9-IF(AND(AM$309&gt;0,$B$8&gt;0),MIN(AM$309*$B$17,$B$13*MAX((MIN(AM313,$B$15)*$B$6+MAX(AM313-$B$15,0)*$B$16*$B$7/12)-$B$9,0)),0),0)*$B$8-(1-AM$310)*IF(AND(AM$309&gt;0,$B$8&gt;0),MIN(AM$309*$B$17,$B$13*MAX((MIN(AM313,$B$15)*$B$6+MAX(AM313-$B$15,0)*$B$16*$B$7/12)-$B$9,0)),0)</f>
        <v/>
      </c>
      <c r="AN314" s="179">
        <f>AN313+(MIN(AN313,$B$15)*$B$6+MAX(AN313-$B$15,0)*$B$16*$B$7/12)-$B$9-MAX((MIN(AN313,$B$15)*$B$6+MAX(AN313-$B$15,0)*$B$16*$B$7/12)-$B$9-IF(AND(AN$309&gt;0,$B$8&gt;0),MIN(AN$309*$B$17,$B$13*MAX((MIN(AN313,$B$15)*$B$6+MAX(AN313-$B$15,0)*$B$16*$B$7/12)-$B$9,0)),0),0)*$B$8-(1-AN$310)*IF(AND(AN$309&gt;0,$B$8&gt;0),MIN(AN$309*$B$17,$B$13*MAX((MIN(AN313,$B$15)*$B$6+MAX(AN313-$B$15,0)*$B$16*$B$7/12)-$B$9,0)),0)</f>
        <v/>
      </c>
      <c r="AO314" s="179">
        <f>AO313+(MIN(AO313,$B$15)*$B$6+MAX(AO313-$B$15,0)*$B$16*$B$7/12)-$B$9-MAX((MIN(AO313,$B$15)*$B$6+MAX(AO313-$B$15,0)*$B$16*$B$7/12)-$B$9-IF(AND(AO$309&gt;0,$B$8&gt;0),MIN(AO$309*$B$17,$B$13*MAX((MIN(AO313,$B$15)*$B$6+MAX(AO313-$B$15,0)*$B$16*$B$7/12)-$B$9,0)),0),0)*$B$8-(1-AO$310)*IF(AND(AO$309&gt;0,$B$8&gt;0),MIN(AO$309*$B$17,$B$13*MAX((MIN(AO313,$B$15)*$B$6+MAX(AO313-$B$15,0)*$B$16*$B$7/12)-$B$9,0)),0)</f>
        <v/>
      </c>
      <c r="AP314" s="179">
        <f>AP313+(MIN(AP313,$B$15)*$B$6+MAX(AP313-$B$15,0)*$B$16*$B$7/12)-$B$9-MAX((MIN(AP313,$B$15)*$B$6+MAX(AP313-$B$15,0)*$B$16*$B$7/12)-$B$9-IF(AND(AP$309&gt;0,$B$8&gt;0),MIN(AP$309*$B$17,$B$13*MAX((MIN(AP313,$B$15)*$B$6+MAX(AP313-$B$15,0)*$B$16*$B$7/12)-$B$9,0)),0),0)*$B$8-(1-AP$310)*IF(AND(AP$309&gt;0,$B$8&gt;0),MIN(AP$309*$B$17,$B$13*MAX((MIN(AP313,$B$15)*$B$6+MAX(AP313-$B$15,0)*$B$16*$B$7/12)-$B$9,0)),0)</f>
        <v/>
      </c>
      <c r="AQ314" s="179">
        <f>AQ313+(MIN(AQ313,$B$15)*$B$6+MAX(AQ313-$B$15,0)*$B$16*$B$7/12)-$B$9-MAX((MIN(AQ313,$B$15)*$B$6+MAX(AQ313-$B$15,0)*$B$16*$B$7/12)-$B$9-IF(AND(AQ$309&gt;0,$B$8&gt;0),MIN(AQ$309*$B$17,$B$13*MAX((MIN(AQ313,$B$15)*$B$6+MAX(AQ313-$B$15,0)*$B$16*$B$7/12)-$B$9,0)),0),0)*$B$8-(1-AQ$310)*IF(AND(AQ$309&gt;0,$B$8&gt;0),MIN(AQ$309*$B$17,$B$13*MAX((MIN(AQ313,$B$15)*$B$6+MAX(AQ313-$B$15,0)*$B$16*$B$7/12)-$B$9,0)),0)</f>
        <v/>
      </c>
    </row>
    <row r="315" hidden="1" outlineLevel="1">
      <c r="A315" s="164" t="inlineStr">
        <is>
          <t>Cycle 5</t>
        </is>
      </c>
      <c r="B315" s="179">
        <f>B314+(MIN(B314,$B$15)*$B$6+MAX(B314-$B$15,0)*$B$16*$B$7/12)-$B$9-MAX((MIN(B314,$B$15)*$B$6+MAX(B314-$B$15,0)*$B$16*$B$7/12)-$B$9-IF(AND(B$309&gt;0,$B$8&gt;0),MIN(B$309*$B$17,$B$13*MAX((MIN(B314,$B$15)*$B$6+MAX(B314-$B$15,0)*$B$16*$B$7/12)-$B$9,0)),0),0)*$B$8-(1-B$310)*IF(AND(B$309&gt;0,$B$8&gt;0),MIN(B$309*$B$17,$B$13*MAX((MIN(B314,$B$15)*$B$6+MAX(B314-$B$15,0)*$B$16*$B$7/12)-$B$9,0)),0)</f>
        <v/>
      </c>
      <c r="C315" s="179">
        <f>C314+(MIN(C314,$B$15)*$B$6+MAX(C314-$B$15,0)*$B$16*$B$7/12)-$B$9-MAX((MIN(C314,$B$15)*$B$6+MAX(C314-$B$15,0)*$B$16*$B$7/12)-$B$9-IF(AND(C$309&gt;0,$B$8&gt;0),MIN(C$309*$B$17,$B$13*MAX((MIN(C314,$B$15)*$B$6+MAX(C314-$B$15,0)*$B$16*$B$7/12)-$B$9,0)),0),0)*$B$8-(1-C$310)*IF(AND(C$309&gt;0,$B$8&gt;0),MIN(C$309*$B$17,$B$13*MAX((MIN(C314,$B$15)*$B$6+MAX(C314-$B$15,0)*$B$16*$B$7/12)-$B$9,0)),0)</f>
        <v/>
      </c>
      <c r="D315" s="179">
        <f>D314+(MIN(D314,$B$15)*$B$6+MAX(D314-$B$15,0)*$B$16*$B$7/12)-$B$9-MAX((MIN(D314,$B$15)*$B$6+MAX(D314-$B$15,0)*$B$16*$B$7/12)-$B$9-IF(AND(D$309&gt;0,$B$8&gt;0),MIN(D$309*$B$17,$B$13*MAX((MIN(D314,$B$15)*$B$6+MAX(D314-$B$15,0)*$B$16*$B$7/12)-$B$9,0)),0),0)*$B$8-(1-D$310)*IF(AND(D$309&gt;0,$B$8&gt;0),MIN(D$309*$B$17,$B$13*MAX((MIN(D314,$B$15)*$B$6+MAX(D314-$B$15,0)*$B$16*$B$7/12)-$B$9,0)),0)</f>
        <v/>
      </c>
      <c r="E315" s="179">
        <f>E314+(MIN(E314,$B$15)*$B$6+MAX(E314-$B$15,0)*$B$16*$B$7/12)-$B$9-MAX((MIN(E314,$B$15)*$B$6+MAX(E314-$B$15,0)*$B$16*$B$7/12)-$B$9-IF(AND(E$309&gt;0,$B$8&gt;0),MIN(E$309*$B$17,$B$13*MAX((MIN(E314,$B$15)*$B$6+MAX(E314-$B$15,0)*$B$16*$B$7/12)-$B$9,0)),0),0)*$B$8-(1-E$310)*IF(AND(E$309&gt;0,$B$8&gt;0),MIN(E$309*$B$17,$B$13*MAX((MIN(E314,$B$15)*$B$6+MAX(E314-$B$15,0)*$B$16*$B$7/12)-$B$9,0)),0)</f>
        <v/>
      </c>
      <c r="F315" s="179">
        <f>F314+(MIN(F314,$B$15)*$B$6+MAX(F314-$B$15,0)*$B$16*$B$7/12)-$B$9-MAX((MIN(F314,$B$15)*$B$6+MAX(F314-$B$15,0)*$B$16*$B$7/12)-$B$9-IF(AND(F$309&gt;0,$B$8&gt;0),MIN(F$309*$B$17,$B$13*MAX((MIN(F314,$B$15)*$B$6+MAX(F314-$B$15,0)*$B$16*$B$7/12)-$B$9,0)),0),0)*$B$8-(1-F$310)*IF(AND(F$309&gt;0,$B$8&gt;0),MIN(F$309*$B$17,$B$13*MAX((MIN(F314,$B$15)*$B$6+MAX(F314-$B$15,0)*$B$16*$B$7/12)-$B$9,0)),0)</f>
        <v/>
      </c>
      <c r="G315" s="179">
        <f>G314+(MIN(G314,$B$15)*$B$6+MAX(G314-$B$15,0)*$B$16*$B$7/12)-$B$9-MAX((MIN(G314,$B$15)*$B$6+MAX(G314-$B$15,0)*$B$16*$B$7/12)-$B$9-IF(AND(G$309&gt;0,$B$8&gt;0),MIN(G$309*$B$17,$B$13*MAX((MIN(G314,$B$15)*$B$6+MAX(G314-$B$15,0)*$B$16*$B$7/12)-$B$9,0)),0),0)*$B$8-(1-G$310)*IF(AND(G$309&gt;0,$B$8&gt;0),MIN(G$309*$B$17,$B$13*MAX((MIN(G314,$B$15)*$B$6+MAX(G314-$B$15,0)*$B$16*$B$7/12)-$B$9,0)),0)</f>
        <v/>
      </c>
      <c r="H315" s="179">
        <f>H314+(MIN(H314,$B$15)*$B$6+MAX(H314-$B$15,0)*$B$16*$B$7/12)-$B$9-MAX((MIN(H314,$B$15)*$B$6+MAX(H314-$B$15,0)*$B$16*$B$7/12)-$B$9-IF(AND(H$309&gt;0,$B$8&gt;0),MIN(H$309*$B$17,$B$13*MAX((MIN(H314,$B$15)*$B$6+MAX(H314-$B$15,0)*$B$16*$B$7/12)-$B$9,0)),0),0)*$B$8-(1-H$310)*IF(AND(H$309&gt;0,$B$8&gt;0),MIN(H$309*$B$17,$B$13*MAX((MIN(H314,$B$15)*$B$6+MAX(H314-$B$15,0)*$B$16*$B$7/12)-$B$9,0)),0)</f>
        <v/>
      </c>
      <c r="I315" s="179">
        <f>I314+(MIN(I314,$B$15)*$B$6+MAX(I314-$B$15,0)*$B$16*$B$7/12)-$B$9-MAX((MIN(I314,$B$15)*$B$6+MAX(I314-$B$15,0)*$B$16*$B$7/12)-$B$9-IF(AND(I$309&gt;0,$B$8&gt;0),MIN(I$309*$B$17,$B$13*MAX((MIN(I314,$B$15)*$B$6+MAX(I314-$B$15,0)*$B$16*$B$7/12)-$B$9,0)),0),0)*$B$8-(1-I$310)*IF(AND(I$309&gt;0,$B$8&gt;0),MIN(I$309*$B$17,$B$13*MAX((MIN(I314,$B$15)*$B$6+MAX(I314-$B$15,0)*$B$16*$B$7/12)-$B$9,0)),0)</f>
        <v/>
      </c>
      <c r="J315" s="179">
        <f>J314+(MIN(J314,$B$15)*$B$6+MAX(J314-$B$15,0)*$B$16*$B$7/12)-$B$9-MAX((MIN(J314,$B$15)*$B$6+MAX(J314-$B$15,0)*$B$16*$B$7/12)-$B$9-IF(AND(J$309&gt;0,$B$8&gt;0),MIN(J$309*$B$17,$B$13*MAX((MIN(J314,$B$15)*$B$6+MAX(J314-$B$15,0)*$B$16*$B$7/12)-$B$9,0)),0),0)*$B$8-(1-J$310)*IF(AND(J$309&gt;0,$B$8&gt;0),MIN(J$309*$B$17,$B$13*MAX((MIN(J314,$B$15)*$B$6+MAX(J314-$B$15,0)*$B$16*$B$7/12)-$B$9,0)),0)</f>
        <v/>
      </c>
      <c r="K315" s="179">
        <f>K314+(MIN(K314,$B$15)*$B$6+MAX(K314-$B$15,0)*$B$16*$B$7/12)-$B$9-MAX((MIN(K314,$B$15)*$B$6+MAX(K314-$B$15,0)*$B$16*$B$7/12)-$B$9-IF(AND(K$309&gt;0,$B$8&gt;0),MIN(K$309*$B$17,$B$13*MAX((MIN(K314,$B$15)*$B$6+MAX(K314-$B$15,0)*$B$16*$B$7/12)-$B$9,0)),0),0)*$B$8-(1-K$310)*IF(AND(K$309&gt;0,$B$8&gt;0),MIN(K$309*$B$17,$B$13*MAX((MIN(K314,$B$15)*$B$6+MAX(K314-$B$15,0)*$B$16*$B$7/12)-$B$9,0)),0)</f>
        <v/>
      </c>
      <c r="L315" s="179">
        <f>L314+(MIN(L314,$B$15)*$B$6+MAX(L314-$B$15,0)*$B$16*$B$7/12)-$B$9-MAX((MIN(L314,$B$15)*$B$6+MAX(L314-$B$15,0)*$B$16*$B$7/12)-$B$9-IF(AND(L$309&gt;0,$B$8&gt;0),MIN(L$309*$B$17,$B$13*MAX((MIN(L314,$B$15)*$B$6+MAX(L314-$B$15,0)*$B$16*$B$7/12)-$B$9,0)),0),0)*$B$8-(1-L$310)*IF(AND(L$309&gt;0,$B$8&gt;0),MIN(L$309*$B$17,$B$13*MAX((MIN(L314,$B$15)*$B$6+MAX(L314-$B$15,0)*$B$16*$B$7/12)-$B$9,0)),0)</f>
        <v/>
      </c>
      <c r="M315" s="179">
        <f>M314+(MIN(M314,$B$15)*$B$6+MAX(M314-$B$15,0)*$B$16*$B$7/12)-$B$9-MAX((MIN(M314,$B$15)*$B$6+MAX(M314-$B$15,0)*$B$16*$B$7/12)-$B$9-IF(AND(M$309&gt;0,$B$8&gt;0),MIN(M$309*$B$17,$B$13*MAX((MIN(M314,$B$15)*$B$6+MAX(M314-$B$15,0)*$B$16*$B$7/12)-$B$9,0)),0),0)*$B$8-(1-M$310)*IF(AND(M$309&gt;0,$B$8&gt;0),MIN(M$309*$B$17,$B$13*MAX((MIN(M314,$B$15)*$B$6+MAX(M314-$B$15,0)*$B$16*$B$7/12)-$B$9,0)),0)</f>
        <v/>
      </c>
      <c r="N315" s="179">
        <f>N314+(MIN(N314,$B$15)*$B$6+MAX(N314-$B$15,0)*$B$16*$B$7/12)-$B$9-MAX((MIN(N314,$B$15)*$B$6+MAX(N314-$B$15,0)*$B$16*$B$7/12)-$B$9-IF(AND(N$309&gt;0,$B$8&gt;0),MIN(N$309*$B$17,$B$13*MAX((MIN(N314,$B$15)*$B$6+MAX(N314-$B$15,0)*$B$16*$B$7/12)-$B$9,0)),0),0)*$B$8-(1-N$310)*IF(AND(N$309&gt;0,$B$8&gt;0),MIN(N$309*$B$17,$B$13*MAX((MIN(N314,$B$15)*$B$6+MAX(N314-$B$15,0)*$B$16*$B$7/12)-$B$9,0)),0)</f>
        <v/>
      </c>
      <c r="O315" s="179">
        <f>O314+(MIN(O314,$B$15)*$B$6+MAX(O314-$B$15,0)*$B$16*$B$7/12)-$B$9-MAX((MIN(O314,$B$15)*$B$6+MAX(O314-$B$15,0)*$B$16*$B$7/12)-$B$9-IF(AND(O$309&gt;0,$B$8&gt;0),MIN(O$309*$B$17,$B$13*MAX((MIN(O314,$B$15)*$B$6+MAX(O314-$B$15,0)*$B$16*$B$7/12)-$B$9,0)),0),0)*$B$8-(1-O$310)*IF(AND(O$309&gt;0,$B$8&gt;0),MIN(O$309*$B$17,$B$13*MAX((MIN(O314,$B$15)*$B$6+MAX(O314-$B$15,0)*$B$16*$B$7/12)-$B$9,0)),0)</f>
        <v/>
      </c>
      <c r="P315" s="179">
        <f>P314+(MIN(P314,$B$15)*$B$6+MAX(P314-$B$15,0)*$B$16*$B$7/12)-$B$9-MAX((MIN(P314,$B$15)*$B$6+MAX(P314-$B$15,0)*$B$16*$B$7/12)-$B$9-IF(AND(P$309&gt;0,$B$8&gt;0),MIN(P$309*$B$17,$B$13*MAX((MIN(P314,$B$15)*$B$6+MAX(P314-$B$15,0)*$B$16*$B$7/12)-$B$9,0)),0),0)*$B$8-(1-P$310)*IF(AND(P$309&gt;0,$B$8&gt;0),MIN(P$309*$B$17,$B$13*MAX((MIN(P314,$B$15)*$B$6+MAX(P314-$B$15,0)*$B$16*$B$7/12)-$B$9,0)),0)</f>
        <v/>
      </c>
      <c r="Q315" s="179">
        <f>Q314+(MIN(Q314,$B$15)*$B$6+MAX(Q314-$B$15,0)*$B$16*$B$7/12)-$B$9-MAX((MIN(Q314,$B$15)*$B$6+MAX(Q314-$B$15,0)*$B$16*$B$7/12)-$B$9-IF(AND(Q$309&gt;0,$B$8&gt;0),MIN(Q$309*$B$17,$B$13*MAX((MIN(Q314,$B$15)*$B$6+MAX(Q314-$B$15,0)*$B$16*$B$7/12)-$B$9,0)),0),0)*$B$8-(1-Q$310)*IF(AND(Q$309&gt;0,$B$8&gt;0),MIN(Q$309*$B$17,$B$13*MAX((MIN(Q314,$B$15)*$B$6+MAX(Q314-$B$15,0)*$B$16*$B$7/12)-$B$9,0)),0)</f>
        <v/>
      </c>
      <c r="R315" s="179">
        <f>R314+(MIN(R314,$B$15)*$B$6+MAX(R314-$B$15,0)*$B$16*$B$7/12)-$B$9-MAX((MIN(R314,$B$15)*$B$6+MAX(R314-$B$15,0)*$B$16*$B$7/12)-$B$9-IF(AND(R$309&gt;0,$B$8&gt;0),MIN(R$309*$B$17,$B$13*MAX((MIN(R314,$B$15)*$B$6+MAX(R314-$B$15,0)*$B$16*$B$7/12)-$B$9,0)),0),0)*$B$8-(1-R$310)*IF(AND(R$309&gt;0,$B$8&gt;0),MIN(R$309*$B$17,$B$13*MAX((MIN(R314,$B$15)*$B$6+MAX(R314-$B$15,0)*$B$16*$B$7/12)-$B$9,0)),0)</f>
        <v/>
      </c>
      <c r="S315" s="179">
        <f>S314+(MIN(S314,$B$15)*$B$6+MAX(S314-$B$15,0)*$B$16*$B$7/12)-$B$9-MAX((MIN(S314,$B$15)*$B$6+MAX(S314-$B$15,0)*$B$16*$B$7/12)-$B$9-IF(AND(S$309&gt;0,$B$8&gt;0),MIN(S$309*$B$17,$B$13*MAX((MIN(S314,$B$15)*$B$6+MAX(S314-$B$15,0)*$B$16*$B$7/12)-$B$9,0)),0),0)*$B$8-(1-S$310)*IF(AND(S$309&gt;0,$B$8&gt;0),MIN(S$309*$B$17,$B$13*MAX((MIN(S314,$B$15)*$B$6+MAX(S314-$B$15,0)*$B$16*$B$7/12)-$B$9,0)),0)</f>
        <v/>
      </c>
      <c r="T315" s="179">
        <f>T314+(MIN(T314,$B$15)*$B$6+MAX(T314-$B$15,0)*$B$16*$B$7/12)-$B$9-MAX((MIN(T314,$B$15)*$B$6+MAX(T314-$B$15,0)*$B$16*$B$7/12)-$B$9-IF(AND(T$309&gt;0,$B$8&gt;0),MIN(T$309*$B$17,$B$13*MAX((MIN(T314,$B$15)*$B$6+MAX(T314-$B$15,0)*$B$16*$B$7/12)-$B$9,0)),0),0)*$B$8-(1-T$310)*IF(AND(T$309&gt;0,$B$8&gt;0),MIN(T$309*$B$17,$B$13*MAX((MIN(T314,$B$15)*$B$6+MAX(T314-$B$15,0)*$B$16*$B$7/12)-$B$9,0)),0)</f>
        <v/>
      </c>
      <c r="U315" s="179">
        <f>U314+(MIN(U314,$B$15)*$B$6+MAX(U314-$B$15,0)*$B$16*$B$7/12)-$B$9-MAX((MIN(U314,$B$15)*$B$6+MAX(U314-$B$15,0)*$B$16*$B$7/12)-$B$9-IF(AND(U$309&gt;0,$B$8&gt;0),MIN(U$309*$B$17,$B$13*MAX((MIN(U314,$B$15)*$B$6+MAX(U314-$B$15,0)*$B$16*$B$7/12)-$B$9,0)),0),0)*$B$8-(1-U$310)*IF(AND(U$309&gt;0,$B$8&gt;0),MIN(U$309*$B$17,$B$13*MAX((MIN(U314,$B$15)*$B$6+MAX(U314-$B$15,0)*$B$16*$B$7/12)-$B$9,0)),0)</f>
        <v/>
      </c>
      <c r="V315" s="179">
        <f>V314+(MIN(V314,$B$15)*$B$6+MAX(V314-$B$15,0)*$B$16*$B$7/12)-$B$9-MAX((MIN(V314,$B$15)*$B$6+MAX(V314-$B$15,0)*$B$16*$B$7/12)-$B$9-IF(AND(V$309&gt;0,$B$8&gt;0),MIN(V$309*$B$17,$B$13*MAX((MIN(V314,$B$15)*$B$6+MAX(V314-$B$15,0)*$B$16*$B$7/12)-$B$9,0)),0),0)*$B$8-(1-V$310)*IF(AND(V$309&gt;0,$B$8&gt;0),MIN(V$309*$B$17,$B$13*MAX((MIN(V314,$B$15)*$B$6+MAX(V314-$B$15,0)*$B$16*$B$7/12)-$B$9,0)),0)</f>
        <v/>
      </c>
      <c r="W315" s="179">
        <f>W314+(MIN(W314,$B$15)*$B$6+MAX(W314-$B$15,0)*$B$16*$B$7/12)-$B$9-MAX((MIN(W314,$B$15)*$B$6+MAX(W314-$B$15,0)*$B$16*$B$7/12)-$B$9-IF(AND(W$309&gt;0,$B$8&gt;0),MIN(W$309*$B$17,$B$13*MAX((MIN(W314,$B$15)*$B$6+MAX(W314-$B$15,0)*$B$16*$B$7/12)-$B$9,0)),0),0)*$B$8-(1-W$310)*IF(AND(W$309&gt;0,$B$8&gt;0),MIN(W$309*$B$17,$B$13*MAX((MIN(W314,$B$15)*$B$6+MAX(W314-$B$15,0)*$B$16*$B$7/12)-$B$9,0)),0)</f>
        <v/>
      </c>
      <c r="X315" s="179">
        <f>X314+(MIN(X314,$B$15)*$B$6+MAX(X314-$B$15,0)*$B$16*$B$7/12)-$B$9-MAX((MIN(X314,$B$15)*$B$6+MAX(X314-$B$15,0)*$B$16*$B$7/12)-$B$9-IF(AND(X$309&gt;0,$B$8&gt;0),MIN(X$309*$B$17,$B$13*MAX((MIN(X314,$B$15)*$B$6+MAX(X314-$B$15,0)*$B$16*$B$7/12)-$B$9,0)),0),0)*$B$8-(1-X$310)*IF(AND(X$309&gt;0,$B$8&gt;0),MIN(X$309*$B$17,$B$13*MAX((MIN(X314,$B$15)*$B$6+MAX(X314-$B$15,0)*$B$16*$B$7/12)-$B$9,0)),0)</f>
        <v/>
      </c>
      <c r="Y315" s="179">
        <f>Y314+(MIN(Y314,$B$15)*$B$6+MAX(Y314-$B$15,0)*$B$16*$B$7/12)-$B$9-MAX((MIN(Y314,$B$15)*$B$6+MAX(Y314-$B$15,0)*$B$16*$B$7/12)-$B$9-IF(AND(Y$309&gt;0,$B$8&gt;0),MIN(Y$309*$B$17,$B$13*MAX((MIN(Y314,$B$15)*$B$6+MAX(Y314-$B$15,0)*$B$16*$B$7/12)-$B$9,0)),0),0)*$B$8-(1-Y$310)*IF(AND(Y$309&gt;0,$B$8&gt;0),MIN(Y$309*$B$17,$B$13*MAX((MIN(Y314,$B$15)*$B$6+MAX(Y314-$B$15,0)*$B$16*$B$7/12)-$B$9,0)),0)</f>
        <v/>
      </c>
      <c r="Z315" s="179">
        <f>Z314+(MIN(Z314,$B$15)*$B$6+MAX(Z314-$B$15,0)*$B$16*$B$7/12)-$B$9-MAX((MIN(Z314,$B$15)*$B$6+MAX(Z314-$B$15,0)*$B$16*$B$7/12)-$B$9-IF(AND(Z$309&gt;0,$B$8&gt;0),MIN(Z$309*$B$17,$B$13*MAX((MIN(Z314,$B$15)*$B$6+MAX(Z314-$B$15,0)*$B$16*$B$7/12)-$B$9,0)),0),0)*$B$8-(1-Z$310)*IF(AND(Z$309&gt;0,$B$8&gt;0),MIN(Z$309*$B$17,$B$13*MAX((MIN(Z314,$B$15)*$B$6+MAX(Z314-$B$15,0)*$B$16*$B$7/12)-$B$9,0)),0)</f>
        <v/>
      </c>
      <c r="AA315" s="179">
        <f>AA314+(MIN(AA314,$B$15)*$B$6+MAX(AA314-$B$15,0)*$B$16*$B$7/12)-$B$9-MAX((MIN(AA314,$B$15)*$B$6+MAX(AA314-$B$15,0)*$B$16*$B$7/12)-$B$9-IF(AND(AA$309&gt;0,$B$8&gt;0),MIN(AA$309*$B$17,$B$13*MAX((MIN(AA314,$B$15)*$B$6+MAX(AA314-$B$15,0)*$B$16*$B$7/12)-$B$9,0)),0),0)*$B$8-(1-AA$310)*IF(AND(AA$309&gt;0,$B$8&gt;0),MIN(AA$309*$B$17,$B$13*MAX((MIN(AA314,$B$15)*$B$6+MAX(AA314-$B$15,0)*$B$16*$B$7/12)-$B$9,0)),0)</f>
        <v/>
      </c>
      <c r="AB315" s="179">
        <f>AB314+(MIN(AB314,$B$15)*$B$6+MAX(AB314-$B$15,0)*$B$16*$B$7/12)-$B$9-MAX((MIN(AB314,$B$15)*$B$6+MAX(AB314-$B$15,0)*$B$16*$B$7/12)-$B$9-IF(AND(AB$309&gt;0,$B$8&gt;0),MIN(AB$309*$B$17,$B$13*MAX((MIN(AB314,$B$15)*$B$6+MAX(AB314-$B$15,0)*$B$16*$B$7/12)-$B$9,0)),0),0)*$B$8-(1-AB$310)*IF(AND(AB$309&gt;0,$B$8&gt;0),MIN(AB$309*$B$17,$B$13*MAX((MIN(AB314,$B$15)*$B$6+MAX(AB314-$B$15,0)*$B$16*$B$7/12)-$B$9,0)),0)</f>
        <v/>
      </c>
      <c r="AC315" s="179">
        <f>AC314+(MIN(AC314,$B$15)*$B$6+MAX(AC314-$B$15,0)*$B$16*$B$7/12)-$B$9-MAX((MIN(AC314,$B$15)*$B$6+MAX(AC314-$B$15,0)*$B$16*$B$7/12)-$B$9-IF(AND(AC$309&gt;0,$B$8&gt;0),MIN(AC$309*$B$17,$B$13*MAX((MIN(AC314,$B$15)*$B$6+MAX(AC314-$B$15,0)*$B$16*$B$7/12)-$B$9,0)),0),0)*$B$8-(1-AC$310)*IF(AND(AC$309&gt;0,$B$8&gt;0),MIN(AC$309*$B$17,$B$13*MAX((MIN(AC314,$B$15)*$B$6+MAX(AC314-$B$15,0)*$B$16*$B$7/12)-$B$9,0)),0)</f>
        <v/>
      </c>
      <c r="AD315" s="179">
        <f>AD314+(MIN(AD314,$B$15)*$B$6+MAX(AD314-$B$15,0)*$B$16*$B$7/12)-$B$9-MAX((MIN(AD314,$B$15)*$B$6+MAX(AD314-$B$15,0)*$B$16*$B$7/12)-$B$9-IF(AND(AD$309&gt;0,$B$8&gt;0),MIN(AD$309*$B$17,$B$13*MAX((MIN(AD314,$B$15)*$B$6+MAX(AD314-$B$15,0)*$B$16*$B$7/12)-$B$9,0)),0),0)*$B$8-(1-AD$310)*IF(AND(AD$309&gt;0,$B$8&gt;0),MIN(AD$309*$B$17,$B$13*MAX((MIN(AD314,$B$15)*$B$6+MAX(AD314-$B$15,0)*$B$16*$B$7/12)-$B$9,0)),0)</f>
        <v/>
      </c>
      <c r="AE315" s="179">
        <f>AE314+(MIN(AE314,$B$15)*$B$6+MAX(AE314-$B$15,0)*$B$16*$B$7/12)-$B$9-MAX((MIN(AE314,$B$15)*$B$6+MAX(AE314-$B$15,0)*$B$16*$B$7/12)-$B$9-IF(AND(AE$309&gt;0,$B$8&gt;0),MIN(AE$309*$B$17,$B$13*MAX((MIN(AE314,$B$15)*$B$6+MAX(AE314-$B$15,0)*$B$16*$B$7/12)-$B$9,0)),0),0)*$B$8-(1-AE$310)*IF(AND(AE$309&gt;0,$B$8&gt;0),MIN(AE$309*$B$17,$B$13*MAX((MIN(AE314,$B$15)*$B$6+MAX(AE314-$B$15,0)*$B$16*$B$7/12)-$B$9,0)),0)</f>
        <v/>
      </c>
      <c r="AF315" s="179">
        <f>AF314+(MIN(AF314,$B$15)*$B$6+MAX(AF314-$B$15,0)*$B$16*$B$7/12)-$B$9-MAX((MIN(AF314,$B$15)*$B$6+MAX(AF314-$B$15,0)*$B$16*$B$7/12)-$B$9-IF(AND(AF$309&gt;0,$B$8&gt;0),MIN(AF$309*$B$17,$B$13*MAX((MIN(AF314,$B$15)*$B$6+MAX(AF314-$B$15,0)*$B$16*$B$7/12)-$B$9,0)),0),0)*$B$8-(1-AF$310)*IF(AND(AF$309&gt;0,$B$8&gt;0),MIN(AF$309*$B$17,$B$13*MAX((MIN(AF314,$B$15)*$B$6+MAX(AF314-$B$15,0)*$B$16*$B$7/12)-$B$9,0)),0)</f>
        <v/>
      </c>
      <c r="AG315" s="179">
        <f>AG314+(MIN(AG314,$B$15)*$B$6+MAX(AG314-$B$15,0)*$B$16*$B$7/12)-$B$9-MAX((MIN(AG314,$B$15)*$B$6+MAX(AG314-$B$15,0)*$B$16*$B$7/12)-$B$9-IF(AND(AG$309&gt;0,$B$8&gt;0),MIN(AG$309*$B$17,$B$13*MAX((MIN(AG314,$B$15)*$B$6+MAX(AG314-$B$15,0)*$B$16*$B$7/12)-$B$9,0)),0),0)*$B$8-(1-AG$310)*IF(AND(AG$309&gt;0,$B$8&gt;0),MIN(AG$309*$B$17,$B$13*MAX((MIN(AG314,$B$15)*$B$6+MAX(AG314-$B$15,0)*$B$16*$B$7/12)-$B$9,0)),0)</f>
        <v/>
      </c>
      <c r="AH315" s="179">
        <f>AH314+(MIN(AH314,$B$15)*$B$6+MAX(AH314-$B$15,0)*$B$16*$B$7/12)-$B$9-MAX((MIN(AH314,$B$15)*$B$6+MAX(AH314-$B$15,0)*$B$16*$B$7/12)-$B$9-IF(AND(AH$309&gt;0,$B$8&gt;0),MIN(AH$309*$B$17,$B$13*MAX((MIN(AH314,$B$15)*$B$6+MAX(AH314-$B$15,0)*$B$16*$B$7/12)-$B$9,0)),0),0)*$B$8-(1-AH$310)*IF(AND(AH$309&gt;0,$B$8&gt;0),MIN(AH$309*$B$17,$B$13*MAX((MIN(AH314,$B$15)*$B$6+MAX(AH314-$B$15,0)*$B$16*$B$7/12)-$B$9,0)),0)</f>
        <v/>
      </c>
      <c r="AI315" s="179">
        <f>AI314+(MIN(AI314,$B$15)*$B$6+MAX(AI314-$B$15,0)*$B$16*$B$7/12)-$B$9-MAX((MIN(AI314,$B$15)*$B$6+MAX(AI314-$B$15,0)*$B$16*$B$7/12)-$B$9-IF(AND(AI$309&gt;0,$B$8&gt;0),MIN(AI$309*$B$17,$B$13*MAX((MIN(AI314,$B$15)*$B$6+MAX(AI314-$B$15,0)*$B$16*$B$7/12)-$B$9,0)),0),0)*$B$8-(1-AI$310)*IF(AND(AI$309&gt;0,$B$8&gt;0),MIN(AI$309*$B$17,$B$13*MAX((MIN(AI314,$B$15)*$B$6+MAX(AI314-$B$15,0)*$B$16*$B$7/12)-$B$9,0)),0)</f>
        <v/>
      </c>
      <c r="AJ315" s="179">
        <f>AJ314+(MIN(AJ314,$B$15)*$B$6+MAX(AJ314-$B$15,0)*$B$16*$B$7/12)-$B$9-MAX((MIN(AJ314,$B$15)*$B$6+MAX(AJ314-$B$15,0)*$B$16*$B$7/12)-$B$9-IF(AND(AJ$309&gt;0,$B$8&gt;0),MIN(AJ$309*$B$17,$B$13*MAX((MIN(AJ314,$B$15)*$B$6+MAX(AJ314-$B$15,0)*$B$16*$B$7/12)-$B$9,0)),0),0)*$B$8-(1-AJ$310)*IF(AND(AJ$309&gt;0,$B$8&gt;0),MIN(AJ$309*$B$17,$B$13*MAX((MIN(AJ314,$B$15)*$B$6+MAX(AJ314-$B$15,0)*$B$16*$B$7/12)-$B$9,0)),0)</f>
        <v/>
      </c>
      <c r="AK315" s="179">
        <f>AK314+(MIN(AK314,$B$15)*$B$6+MAX(AK314-$B$15,0)*$B$16*$B$7/12)-$B$9-MAX((MIN(AK314,$B$15)*$B$6+MAX(AK314-$B$15,0)*$B$16*$B$7/12)-$B$9-IF(AND(AK$309&gt;0,$B$8&gt;0),MIN(AK$309*$B$17,$B$13*MAX((MIN(AK314,$B$15)*$B$6+MAX(AK314-$B$15,0)*$B$16*$B$7/12)-$B$9,0)),0),0)*$B$8-(1-AK$310)*IF(AND(AK$309&gt;0,$B$8&gt;0),MIN(AK$309*$B$17,$B$13*MAX((MIN(AK314,$B$15)*$B$6+MAX(AK314-$B$15,0)*$B$16*$B$7/12)-$B$9,0)),0)</f>
        <v/>
      </c>
      <c r="AL315" s="179">
        <f>AL314+(MIN(AL314,$B$15)*$B$6+MAX(AL314-$B$15,0)*$B$16*$B$7/12)-$B$9-MAX((MIN(AL314,$B$15)*$B$6+MAX(AL314-$B$15,0)*$B$16*$B$7/12)-$B$9-IF(AND(AL$309&gt;0,$B$8&gt;0),MIN(AL$309*$B$17,$B$13*MAX((MIN(AL314,$B$15)*$B$6+MAX(AL314-$B$15,0)*$B$16*$B$7/12)-$B$9,0)),0),0)*$B$8-(1-AL$310)*IF(AND(AL$309&gt;0,$B$8&gt;0),MIN(AL$309*$B$17,$B$13*MAX((MIN(AL314,$B$15)*$B$6+MAX(AL314-$B$15,0)*$B$16*$B$7/12)-$B$9,0)),0)</f>
        <v/>
      </c>
      <c r="AM315" s="179">
        <f>AM314+(MIN(AM314,$B$15)*$B$6+MAX(AM314-$B$15,0)*$B$16*$B$7/12)-$B$9-MAX((MIN(AM314,$B$15)*$B$6+MAX(AM314-$B$15,0)*$B$16*$B$7/12)-$B$9-IF(AND(AM$309&gt;0,$B$8&gt;0),MIN(AM$309*$B$17,$B$13*MAX((MIN(AM314,$B$15)*$B$6+MAX(AM314-$B$15,0)*$B$16*$B$7/12)-$B$9,0)),0),0)*$B$8-(1-AM$310)*IF(AND(AM$309&gt;0,$B$8&gt;0),MIN(AM$309*$B$17,$B$13*MAX((MIN(AM314,$B$15)*$B$6+MAX(AM314-$B$15,0)*$B$16*$B$7/12)-$B$9,0)),0)</f>
        <v/>
      </c>
      <c r="AN315" s="179">
        <f>AN314+(MIN(AN314,$B$15)*$B$6+MAX(AN314-$B$15,0)*$B$16*$B$7/12)-$B$9-MAX((MIN(AN314,$B$15)*$B$6+MAX(AN314-$B$15,0)*$B$16*$B$7/12)-$B$9-IF(AND(AN$309&gt;0,$B$8&gt;0),MIN(AN$309*$B$17,$B$13*MAX((MIN(AN314,$B$15)*$B$6+MAX(AN314-$B$15,0)*$B$16*$B$7/12)-$B$9,0)),0),0)*$B$8-(1-AN$310)*IF(AND(AN$309&gt;0,$B$8&gt;0),MIN(AN$309*$B$17,$B$13*MAX((MIN(AN314,$B$15)*$B$6+MAX(AN314-$B$15,0)*$B$16*$B$7/12)-$B$9,0)),0)</f>
        <v/>
      </c>
      <c r="AO315" s="179">
        <f>AO314+(MIN(AO314,$B$15)*$B$6+MAX(AO314-$B$15,0)*$B$16*$B$7/12)-$B$9-MAX((MIN(AO314,$B$15)*$B$6+MAX(AO314-$B$15,0)*$B$16*$B$7/12)-$B$9-IF(AND(AO$309&gt;0,$B$8&gt;0),MIN(AO$309*$B$17,$B$13*MAX((MIN(AO314,$B$15)*$B$6+MAX(AO314-$B$15,0)*$B$16*$B$7/12)-$B$9,0)),0),0)*$B$8-(1-AO$310)*IF(AND(AO$309&gt;0,$B$8&gt;0),MIN(AO$309*$B$17,$B$13*MAX((MIN(AO314,$B$15)*$B$6+MAX(AO314-$B$15,0)*$B$16*$B$7/12)-$B$9,0)),0)</f>
        <v/>
      </c>
      <c r="AP315" s="179">
        <f>AP314+(MIN(AP314,$B$15)*$B$6+MAX(AP314-$B$15,0)*$B$16*$B$7/12)-$B$9-MAX((MIN(AP314,$B$15)*$B$6+MAX(AP314-$B$15,0)*$B$16*$B$7/12)-$B$9-IF(AND(AP$309&gt;0,$B$8&gt;0),MIN(AP$309*$B$17,$B$13*MAX((MIN(AP314,$B$15)*$B$6+MAX(AP314-$B$15,0)*$B$16*$B$7/12)-$B$9,0)),0),0)*$B$8-(1-AP$310)*IF(AND(AP$309&gt;0,$B$8&gt;0),MIN(AP$309*$B$17,$B$13*MAX((MIN(AP314,$B$15)*$B$6+MAX(AP314-$B$15,0)*$B$16*$B$7/12)-$B$9,0)),0)</f>
        <v/>
      </c>
      <c r="AQ315" s="179">
        <f>AQ314+(MIN(AQ314,$B$15)*$B$6+MAX(AQ314-$B$15,0)*$B$16*$B$7/12)-$B$9-MAX((MIN(AQ314,$B$15)*$B$6+MAX(AQ314-$B$15,0)*$B$16*$B$7/12)-$B$9-IF(AND(AQ$309&gt;0,$B$8&gt;0),MIN(AQ$309*$B$17,$B$13*MAX((MIN(AQ314,$B$15)*$B$6+MAX(AQ314-$B$15,0)*$B$16*$B$7/12)-$B$9,0)),0),0)*$B$8-(1-AQ$310)*IF(AND(AQ$309&gt;0,$B$8&gt;0),MIN(AQ$309*$B$17,$B$13*MAX((MIN(AQ314,$B$15)*$B$6+MAX(AQ314-$B$15,0)*$B$16*$B$7/12)-$B$9,0)),0)</f>
        <v/>
      </c>
    </row>
    <row r="316" hidden="1" outlineLevel="1">
      <c r="A316" s="164" t="inlineStr">
        <is>
          <t>Cycle 6</t>
        </is>
      </c>
      <c r="B316" s="179">
        <f>B315+(MIN(B315,$B$15)*$B$6+MAX(B315-$B$15,0)*$B$16*$B$7/12)-$B$9-MAX((MIN(B315,$B$15)*$B$6+MAX(B315-$B$15,0)*$B$16*$B$7/12)-$B$9-IF(AND(B$309&gt;0,$B$8&gt;0),MIN(B$309*$B$17,$B$13*MAX((MIN(B315,$B$15)*$B$6+MAX(B315-$B$15,0)*$B$16*$B$7/12)-$B$9,0)),0),0)*$B$8-(1-B$310)*IF(AND(B$309&gt;0,$B$8&gt;0),MIN(B$309*$B$17,$B$13*MAX((MIN(B315,$B$15)*$B$6+MAX(B315-$B$15,0)*$B$16*$B$7/12)-$B$9,0)),0)</f>
        <v/>
      </c>
      <c r="C316" s="179">
        <f>C315+(MIN(C315,$B$15)*$B$6+MAX(C315-$B$15,0)*$B$16*$B$7/12)-$B$9-MAX((MIN(C315,$B$15)*$B$6+MAX(C315-$B$15,0)*$B$16*$B$7/12)-$B$9-IF(AND(C$309&gt;0,$B$8&gt;0),MIN(C$309*$B$17,$B$13*MAX((MIN(C315,$B$15)*$B$6+MAX(C315-$B$15,0)*$B$16*$B$7/12)-$B$9,0)),0),0)*$B$8-(1-C$310)*IF(AND(C$309&gt;0,$B$8&gt;0),MIN(C$309*$B$17,$B$13*MAX((MIN(C315,$B$15)*$B$6+MAX(C315-$B$15,0)*$B$16*$B$7/12)-$B$9,0)),0)</f>
        <v/>
      </c>
      <c r="D316" s="179">
        <f>D315+(MIN(D315,$B$15)*$B$6+MAX(D315-$B$15,0)*$B$16*$B$7/12)-$B$9-MAX((MIN(D315,$B$15)*$B$6+MAX(D315-$B$15,0)*$B$16*$B$7/12)-$B$9-IF(AND(D$309&gt;0,$B$8&gt;0),MIN(D$309*$B$17,$B$13*MAX((MIN(D315,$B$15)*$B$6+MAX(D315-$B$15,0)*$B$16*$B$7/12)-$B$9,0)),0),0)*$B$8-(1-D$310)*IF(AND(D$309&gt;0,$B$8&gt;0),MIN(D$309*$B$17,$B$13*MAX((MIN(D315,$B$15)*$B$6+MAX(D315-$B$15,0)*$B$16*$B$7/12)-$B$9,0)),0)</f>
        <v/>
      </c>
      <c r="E316" s="179">
        <f>E315+(MIN(E315,$B$15)*$B$6+MAX(E315-$B$15,0)*$B$16*$B$7/12)-$B$9-MAX((MIN(E315,$B$15)*$B$6+MAX(E315-$B$15,0)*$B$16*$B$7/12)-$B$9-IF(AND(E$309&gt;0,$B$8&gt;0),MIN(E$309*$B$17,$B$13*MAX((MIN(E315,$B$15)*$B$6+MAX(E315-$B$15,0)*$B$16*$B$7/12)-$B$9,0)),0),0)*$B$8-(1-E$310)*IF(AND(E$309&gt;0,$B$8&gt;0),MIN(E$309*$B$17,$B$13*MAX((MIN(E315,$B$15)*$B$6+MAX(E315-$B$15,0)*$B$16*$B$7/12)-$B$9,0)),0)</f>
        <v/>
      </c>
      <c r="F316" s="179">
        <f>F315+(MIN(F315,$B$15)*$B$6+MAX(F315-$B$15,0)*$B$16*$B$7/12)-$B$9-MAX((MIN(F315,$B$15)*$B$6+MAX(F315-$B$15,0)*$B$16*$B$7/12)-$B$9-IF(AND(F$309&gt;0,$B$8&gt;0),MIN(F$309*$B$17,$B$13*MAX((MIN(F315,$B$15)*$B$6+MAX(F315-$B$15,0)*$B$16*$B$7/12)-$B$9,0)),0),0)*$B$8-(1-F$310)*IF(AND(F$309&gt;0,$B$8&gt;0),MIN(F$309*$B$17,$B$13*MAX((MIN(F315,$B$15)*$B$6+MAX(F315-$B$15,0)*$B$16*$B$7/12)-$B$9,0)),0)</f>
        <v/>
      </c>
      <c r="G316" s="179">
        <f>G315+(MIN(G315,$B$15)*$B$6+MAX(G315-$B$15,0)*$B$16*$B$7/12)-$B$9-MAX((MIN(G315,$B$15)*$B$6+MAX(G315-$B$15,0)*$B$16*$B$7/12)-$B$9-IF(AND(G$309&gt;0,$B$8&gt;0),MIN(G$309*$B$17,$B$13*MAX((MIN(G315,$B$15)*$B$6+MAX(G315-$B$15,0)*$B$16*$B$7/12)-$B$9,0)),0),0)*$B$8-(1-G$310)*IF(AND(G$309&gt;0,$B$8&gt;0),MIN(G$309*$B$17,$B$13*MAX((MIN(G315,$B$15)*$B$6+MAX(G315-$B$15,0)*$B$16*$B$7/12)-$B$9,0)),0)</f>
        <v/>
      </c>
      <c r="H316" s="179">
        <f>H315+(MIN(H315,$B$15)*$B$6+MAX(H315-$B$15,0)*$B$16*$B$7/12)-$B$9-MAX((MIN(H315,$B$15)*$B$6+MAX(H315-$B$15,0)*$B$16*$B$7/12)-$B$9-IF(AND(H$309&gt;0,$B$8&gt;0),MIN(H$309*$B$17,$B$13*MAX((MIN(H315,$B$15)*$B$6+MAX(H315-$B$15,0)*$B$16*$B$7/12)-$B$9,0)),0),0)*$B$8-(1-H$310)*IF(AND(H$309&gt;0,$B$8&gt;0),MIN(H$309*$B$17,$B$13*MAX((MIN(H315,$B$15)*$B$6+MAX(H315-$B$15,0)*$B$16*$B$7/12)-$B$9,0)),0)</f>
        <v/>
      </c>
      <c r="I316" s="179">
        <f>I315+(MIN(I315,$B$15)*$B$6+MAX(I315-$B$15,0)*$B$16*$B$7/12)-$B$9-MAX((MIN(I315,$B$15)*$B$6+MAX(I315-$B$15,0)*$B$16*$B$7/12)-$B$9-IF(AND(I$309&gt;0,$B$8&gt;0),MIN(I$309*$B$17,$B$13*MAX((MIN(I315,$B$15)*$B$6+MAX(I315-$B$15,0)*$B$16*$B$7/12)-$B$9,0)),0),0)*$B$8-(1-I$310)*IF(AND(I$309&gt;0,$B$8&gt;0),MIN(I$309*$B$17,$B$13*MAX((MIN(I315,$B$15)*$B$6+MAX(I315-$B$15,0)*$B$16*$B$7/12)-$B$9,0)),0)</f>
        <v/>
      </c>
      <c r="J316" s="179">
        <f>J315+(MIN(J315,$B$15)*$B$6+MAX(J315-$B$15,0)*$B$16*$B$7/12)-$B$9-MAX((MIN(J315,$B$15)*$B$6+MAX(J315-$B$15,0)*$B$16*$B$7/12)-$B$9-IF(AND(J$309&gt;0,$B$8&gt;0),MIN(J$309*$B$17,$B$13*MAX((MIN(J315,$B$15)*$B$6+MAX(J315-$B$15,0)*$B$16*$B$7/12)-$B$9,0)),0),0)*$B$8-(1-J$310)*IF(AND(J$309&gt;0,$B$8&gt;0),MIN(J$309*$B$17,$B$13*MAX((MIN(J315,$B$15)*$B$6+MAX(J315-$B$15,0)*$B$16*$B$7/12)-$B$9,0)),0)</f>
        <v/>
      </c>
      <c r="K316" s="179">
        <f>K315+(MIN(K315,$B$15)*$B$6+MAX(K315-$B$15,0)*$B$16*$B$7/12)-$B$9-MAX((MIN(K315,$B$15)*$B$6+MAX(K315-$B$15,0)*$B$16*$B$7/12)-$B$9-IF(AND(K$309&gt;0,$B$8&gt;0),MIN(K$309*$B$17,$B$13*MAX((MIN(K315,$B$15)*$B$6+MAX(K315-$B$15,0)*$B$16*$B$7/12)-$B$9,0)),0),0)*$B$8-(1-K$310)*IF(AND(K$309&gt;0,$B$8&gt;0),MIN(K$309*$B$17,$B$13*MAX((MIN(K315,$B$15)*$B$6+MAX(K315-$B$15,0)*$B$16*$B$7/12)-$B$9,0)),0)</f>
        <v/>
      </c>
      <c r="L316" s="179">
        <f>L315+(MIN(L315,$B$15)*$B$6+MAX(L315-$B$15,0)*$B$16*$B$7/12)-$B$9-MAX((MIN(L315,$B$15)*$B$6+MAX(L315-$B$15,0)*$B$16*$B$7/12)-$B$9-IF(AND(L$309&gt;0,$B$8&gt;0),MIN(L$309*$B$17,$B$13*MAX((MIN(L315,$B$15)*$B$6+MAX(L315-$B$15,0)*$B$16*$B$7/12)-$B$9,0)),0),0)*$B$8-(1-L$310)*IF(AND(L$309&gt;0,$B$8&gt;0),MIN(L$309*$B$17,$B$13*MAX((MIN(L315,$B$15)*$B$6+MAX(L315-$B$15,0)*$B$16*$B$7/12)-$B$9,0)),0)</f>
        <v/>
      </c>
      <c r="M316" s="179">
        <f>M315+(MIN(M315,$B$15)*$B$6+MAX(M315-$B$15,0)*$B$16*$B$7/12)-$B$9-MAX((MIN(M315,$B$15)*$B$6+MAX(M315-$B$15,0)*$B$16*$B$7/12)-$B$9-IF(AND(M$309&gt;0,$B$8&gt;0),MIN(M$309*$B$17,$B$13*MAX((MIN(M315,$B$15)*$B$6+MAX(M315-$B$15,0)*$B$16*$B$7/12)-$B$9,0)),0),0)*$B$8-(1-M$310)*IF(AND(M$309&gt;0,$B$8&gt;0),MIN(M$309*$B$17,$B$13*MAX((MIN(M315,$B$15)*$B$6+MAX(M315-$B$15,0)*$B$16*$B$7/12)-$B$9,0)),0)</f>
        <v/>
      </c>
      <c r="N316" s="179">
        <f>N315+(MIN(N315,$B$15)*$B$6+MAX(N315-$B$15,0)*$B$16*$B$7/12)-$B$9-MAX((MIN(N315,$B$15)*$B$6+MAX(N315-$B$15,0)*$B$16*$B$7/12)-$B$9-IF(AND(N$309&gt;0,$B$8&gt;0),MIN(N$309*$B$17,$B$13*MAX((MIN(N315,$B$15)*$B$6+MAX(N315-$B$15,0)*$B$16*$B$7/12)-$B$9,0)),0),0)*$B$8-(1-N$310)*IF(AND(N$309&gt;0,$B$8&gt;0),MIN(N$309*$B$17,$B$13*MAX((MIN(N315,$B$15)*$B$6+MAX(N315-$B$15,0)*$B$16*$B$7/12)-$B$9,0)),0)</f>
        <v/>
      </c>
      <c r="O316" s="179">
        <f>O315+(MIN(O315,$B$15)*$B$6+MAX(O315-$B$15,0)*$B$16*$B$7/12)-$B$9-MAX((MIN(O315,$B$15)*$B$6+MAX(O315-$B$15,0)*$B$16*$B$7/12)-$B$9-IF(AND(O$309&gt;0,$B$8&gt;0),MIN(O$309*$B$17,$B$13*MAX((MIN(O315,$B$15)*$B$6+MAX(O315-$B$15,0)*$B$16*$B$7/12)-$B$9,0)),0),0)*$B$8-(1-O$310)*IF(AND(O$309&gt;0,$B$8&gt;0),MIN(O$309*$B$17,$B$13*MAX((MIN(O315,$B$15)*$B$6+MAX(O315-$B$15,0)*$B$16*$B$7/12)-$B$9,0)),0)</f>
        <v/>
      </c>
      <c r="P316" s="179">
        <f>P315+(MIN(P315,$B$15)*$B$6+MAX(P315-$B$15,0)*$B$16*$B$7/12)-$B$9-MAX((MIN(P315,$B$15)*$B$6+MAX(P315-$B$15,0)*$B$16*$B$7/12)-$B$9-IF(AND(P$309&gt;0,$B$8&gt;0),MIN(P$309*$B$17,$B$13*MAX((MIN(P315,$B$15)*$B$6+MAX(P315-$B$15,0)*$B$16*$B$7/12)-$B$9,0)),0),0)*$B$8-(1-P$310)*IF(AND(P$309&gt;0,$B$8&gt;0),MIN(P$309*$B$17,$B$13*MAX((MIN(P315,$B$15)*$B$6+MAX(P315-$B$15,0)*$B$16*$B$7/12)-$B$9,0)),0)</f>
        <v/>
      </c>
      <c r="Q316" s="179">
        <f>Q315+(MIN(Q315,$B$15)*$B$6+MAX(Q315-$B$15,0)*$B$16*$B$7/12)-$B$9-MAX((MIN(Q315,$B$15)*$B$6+MAX(Q315-$B$15,0)*$B$16*$B$7/12)-$B$9-IF(AND(Q$309&gt;0,$B$8&gt;0),MIN(Q$309*$B$17,$B$13*MAX((MIN(Q315,$B$15)*$B$6+MAX(Q315-$B$15,0)*$B$16*$B$7/12)-$B$9,0)),0),0)*$B$8-(1-Q$310)*IF(AND(Q$309&gt;0,$B$8&gt;0),MIN(Q$309*$B$17,$B$13*MAX((MIN(Q315,$B$15)*$B$6+MAX(Q315-$B$15,0)*$B$16*$B$7/12)-$B$9,0)),0)</f>
        <v/>
      </c>
      <c r="R316" s="179">
        <f>R315+(MIN(R315,$B$15)*$B$6+MAX(R315-$B$15,0)*$B$16*$B$7/12)-$B$9-MAX((MIN(R315,$B$15)*$B$6+MAX(R315-$B$15,0)*$B$16*$B$7/12)-$B$9-IF(AND(R$309&gt;0,$B$8&gt;0),MIN(R$309*$B$17,$B$13*MAX((MIN(R315,$B$15)*$B$6+MAX(R315-$B$15,0)*$B$16*$B$7/12)-$B$9,0)),0),0)*$B$8-(1-R$310)*IF(AND(R$309&gt;0,$B$8&gt;0),MIN(R$309*$B$17,$B$13*MAX((MIN(R315,$B$15)*$B$6+MAX(R315-$B$15,0)*$B$16*$B$7/12)-$B$9,0)),0)</f>
        <v/>
      </c>
      <c r="S316" s="179">
        <f>S315+(MIN(S315,$B$15)*$B$6+MAX(S315-$B$15,0)*$B$16*$B$7/12)-$B$9-MAX((MIN(S315,$B$15)*$B$6+MAX(S315-$B$15,0)*$B$16*$B$7/12)-$B$9-IF(AND(S$309&gt;0,$B$8&gt;0),MIN(S$309*$B$17,$B$13*MAX((MIN(S315,$B$15)*$B$6+MAX(S315-$B$15,0)*$B$16*$B$7/12)-$B$9,0)),0),0)*$B$8-(1-S$310)*IF(AND(S$309&gt;0,$B$8&gt;0),MIN(S$309*$B$17,$B$13*MAX((MIN(S315,$B$15)*$B$6+MAX(S315-$B$15,0)*$B$16*$B$7/12)-$B$9,0)),0)</f>
        <v/>
      </c>
      <c r="T316" s="179">
        <f>T315+(MIN(T315,$B$15)*$B$6+MAX(T315-$B$15,0)*$B$16*$B$7/12)-$B$9-MAX((MIN(T315,$B$15)*$B$6+MAX(T315-$B$15,0)*$B$16*$B$7/12)-$B$9-IF(AND(T$309&gt;0,$B$8&gt;0),MIN(T$309*$B$17,$B$13*MAX((MIN(T315,$B$15)*$B$6+MAX(T315-$B$15,0)*$B$16*$B$7/12)-$B$9,0)),0),0)*$B$8-(1-T$310)*IF(AND(T$309&gt;0,$B$8&gt;0),MIN(T$309*$B$17,$B$13*MAX((MIN(T315,$B$15)*$B$6+MAX(T315-$B$15,0)*$B$16*$B$7/12)-$B$9,0)),0)</f>
        <v/>
      </c>
      <c r="U316" s="179">
        <f>U315+(MIN(U315,$B$15)*$B$6+MAX(U315-$B$15,0)*$B$16*$B$7/12)-$B$9-MAX((MIN(U315,$B$15)*$B$6+MAX(U315-$B$15,0)*$B$16*$B$7/12)-$B$9-IF(AND(U$309&gt;0,$B$8&gt;0),MIN(U$309*$B$17,$B$13*MAX((MIN(U315,$B$15)*$B$6+MAX(U315-$B$15,0)*$B$16*$B$7/12)-$B$9,0)),0),0)*$B$8-(1-U$310)*IF(AND(U$309&gt;0,$B$8&gt;0),MIN(U$309*$B$17,$B$13*MAX((MIN(U315,$B$15)*$B$6+MAX(U315-$B$15,0)*$B$16*$B$7/12)-$B$9,0)),0)</f>
        <v/>
      </c>
      <c r="V316" s="179">
        <f>V315+(MIN(V315,$B$15)*$B$6+MAX(V315-$B$15,0)*$B$16*$B$7/12)-$B$9-MAX((MIN(V315,$B$15)*$B$6+MAX(V315-$B$15,0)*$B$16*$B$7/12)-$B$9-IF(AND(V$309&gt;0,$B$8&gt;0),MIN(V$309*$B$17,$B$13*MAX((MIN(V315,$B$15)*$B$6+MAX(V315-$B$15,0)*$B$16*$B$7/12)-$B$9,0)),0),0)*$B$8-(1-V$310)*IF(AND(V$309&gt;0,$B$8&gt;0),MIN(V$309*$B$17,$B$13*MAX((MIN(V315,$B$15)*$B$6+MAX(V315-$B$15,0)*$B$16*$B$7/12)-$B$9,0)),0)</f>
        <v/>
      </c>
      <c r="W316" s="179">
        <f>W315+(MIN(W315,$B$15)*$B$6+MAX(W315-$B$15,0)*$B$16*$B$7/12)-$B$9-MAX((MIN(W315,$B$15)*$B$6+MAX(W315-$B$15,0)*$B$16*$B$7/12)-$B$9-IF(AND(W$309&gt;0,$B$8&gt;0),MIN(W$309*$B$17,$B$13*MAX((MIN(W315,$B$15)*$B$6+MAX(W315-$B$15,0)*$B$16*$B$7/12)-$B$9,0)),0),0)*$B$8-(1-W$310)*IF(AND(W$309&gt;0,$B$8&gt;0),MIN(W$309*$B$17,$B$13*MAX((MIN(W315,$B$15)*$B$6+MAX(W315-$B$15,0)*$B$16*$B$7/12)-$B$9,0)),0)</f>
        <v/>
      </c>
      <c r="X316" s="179">
        <f>X315+(MIN(X315,$B$15)*$B$6+MAX(X315-$B$15,0)*$B$16*$B$7/12)-$B$9-MAX((MIN(X315,$B$15)*$B$6+MAX(X315-$B$15,0)*$B$16*$B$7/12)-$B$9-IF(AND(X$309&gt;0,$B$8&gt;0),MIN(X$309*$B$17,$B$13*MAX((MIN(X315,$B$15)*$B$6+MAX(X315-$B$15,0)*$B$16*$B$7/12)-$B$9,0)),0),0)*$B$8-(1-X$310)*IF(AND(X$309&gt;0,$B$8&gt;0),MIN(X$309*$B$17,$B$13*MAX((MIN(X315,$B$15)*$B$6+MAX(X315-$B$15,0)*$B$16*$B$7/12)-$B$9,0)),0)</f>
        <v/>
      </c>
      <c r="Y316" s="179">
        <f>Y315+(MIN(Y315,$B$15)*$B$6+MAX(Y315-$B$15,0)*$B$16*$B$7/12)-$B$9-MAX((MIN(Y315,$B$15)*$B$6+MAX(Y315-$B$15,0)*$B$16*$B$7/12)-$B$9-IF(AND(Y$309&gt;0,$B$8&gt;0),MIN(Y$309*$B$17,$B$13*MAX((MIN(Y315,$B$15)*$B$6+MAX(Y315-$B$15,0)*$B$16*$B$7/12)-$B$9,0)),0),0)*$B$8-(1-Y$310)*IF(AND(Y$309&gt;0,$B$8&gt;0),MIN(Y$309*$B$17,$B$13*MAX((MIN(Y315,$B$15)*$B$6+MAX(Y315-$B$15,0)*$B$16*$B$7/12)-$B$9,0)),0)</f>
        <v/>
      </c>
      <c r="Z316" s="179">
        <f>Z315+(MIN(Z315,$B$15)*$B$6+MAX(Z315-$B$15,0)*$B$16*$B$7/12)-$B$9-MAX((MIN(Z315,$B$15)*$B$6+MAX(Z315-$B$15,0)*$B$16*$B$7/12)-$B$9-IF(AND(Z$309&gt;0,$B$8&gt;0),MIN(Z$309*$B$17,$B$13*MAX((MIN(Z315,$B$15)*$B$6+MAX(Z315-$B$15,0)*$B$16*$B$7/12)-$B$9,0)),0),0)*$B$8-(1-Z$310)*IF(AND(Z$309&gt;0,$B$8&gt;0),MIN(Z$309*$B$17,$B$13*MAX((MIN(Z315,$B$15)*$B$6+MAX(Z315-$B$15,0)*$B$16*$B$7/12)-$B$9,0)),0)</f>
        <v/>
      </c>
      <c r="AA316" s="179">
        <f>AA315+(MIN(AA315,$B$15)*$B$6+MAX(AA315-$B$15,0)*$B$16*$B$7/12)-$B$9-MAX((MIN(AA315,$B$15)*$B$6+MAX(AA315-$B$15,0)*$B$16*$B$7/12)-$B$9-IF(AND(AA$309&gt;0,$B$8&gt;0),MIN(AA$309*$B$17,$B$13*MAX((MIN(AA315,$B$15)*$B$6+MAX(AA315-$B$15,0)*$B$16*$B$7/12)-$B$9,0)),0),0)*$B$8-(1-AA$310)*IF(AND(AA$309&gt;0,$B$8&gt;0),MIN(AA$309*$B$17,$B$13*MAX((MIN(AA315,$B$15)*$B$6+MAX(AA315-$B$15,0)*$B$16*$B$7/12)-$B$9,0)),0)</f>
        <v/>
      </c>
      <c r="AB316" s="179">
        <f>AB315+(MIN(AB315,$B$15)*$B$6+MAX(AB315-$B$15,0)*$B$16*$B$7/12)-$B$9-MAX((MIN(AB315,$B$15)*$B$6+MAX(AB315-$B$15,0)*$B$16*$B$7/12)-$B$9-IF(AND(AB$309&gt;0,$B$8&gt;0),MIN(AB$309*$B$17,$B$13*MAX((MIN(AB315,$B$15)*$B$6+MAX(AB315-$B$15,0)*$B$16*$B$7/12)-$B$9,0)),0),0)*$B$8-(1-AB$310)*IF(AND(AB$309&gt;0,$B$8&gt;0),MIN(AB$309*$B$17,$B$13*MAX((MIN(AB315,$B$15)*$B$6+MAX(AB315-$B$15,0)*$B$16*$B$7/12)-$B$9,0)),0)</f>
        <v/>
      </c>
      <c r="AC316" s="179">
        <f>AC315+(MIN(AC315,$B$15)*$B$6+MAX(AC315-$B$15,0)*$B$16*$B$7/12)-$B$9-MAX((MIN(AC315,$B$15)*$B$6+MAX(AC315-$B$15,0)*$B$16*$B$7/12)-$B$9-IF(AND(AC$309&gt;0,$B$8&gt;0),MIN(AC$309*$B$17,$B$13*MAX((MIN(AC315,$B$15)*$B$6+MAX(AC315-$B$15,0)*$B$16*$B$7/12)-$B$9,0)),0),0)*$B$8-(1-AC$310)*IF(AND(AC$309&gt;0,$B$8&gt;0),MIN(AC$309*$B$17,$B$13*MAX((MIN(AC315,$B$15)*$B$6+MAX(AC315-$B$15,0)*$B$16*$B$7/12)-$B$9,0)),0)</f>
        <v/>
      </c>
      <c r="AD316" s="179">
        <f>AD315+(MIN(AD315,$B$15)*$B$6+MAX(AD315-$B$15,0)*$B$16*$B$7/12)-$B$9-MAX((MIN(AD315,$B$15)*$B$6+MAX(AD315-$B$15,0)*$B$16*$B$7/12)-$B$9-IF(AND(AD$309&gt;0,$B$8&gt;0),MIN(AD$309*$B$17,$B$13*MAX((MIN(AD315,$B$15)*$B$6+MAX(AD315-$B$15,0)*$B$16*$B$7/12)-$B$9,0)),0),0)*$B$8-(1-AD$310)*IF(AND(AD$309&gt;0,$B$8&gt;0),MIN(AD$309*$B$17,$B$13*MAX((MIN(AD315,$B$15)*$B$6+MAX(AD315-$B$15,0)*$B$16*$B$7/12)-$B$9,0)),0)</f>
        <v/>
      </c>
      <c r="AE316" s="179">
        <f>AE315+(MIN(AE315,$B$15)*$B$6+MAX(AE315-$B$15,0)*$B$16*$B$7/12)-$B$9-MAX((MIN(AE315,$B$15)*$B$6+MAX(AE315-$B$15,0)*$B$16*$B$7/12)-$B$9-IF(AND(AE$309&gt;0,$B$8&gt;0),MIN(AE$309*$B$17,$B$13*MAX((MIN(AE315,$B$15)*$B$6+MAX(AE315-$B$15,0)*$B$16*$B$7/12)-$B$9,0)),0),0)*$B$8-(1-AE$310)*IF(AND(AE$309&gt;0,$B$8&gt;0),MIN(AE$309*$B$17,$B$13*MAX((MIN(AE315,$B$15)*$B$6+MAX(AE315-$B$15,0)*$B$16*$B$7/12)-$B$9,0)),0)</f>
        <v/>
      </c>
      <c r="AF316" s="179">
        <f>AF315+(MIN(AF315,$B$15)*$B$6+MAX(AF315-$B$15,0)*$B$16*$B$7/12)-$B$9-MAX((MIN(AF315,$B$15)*$B$6+MAX(AF315-$B$15,0)*$B$16*$B$7/12)-$B$9-IF(AND(AF$309&gt;0,$B$8&gt;0),MIN(AF$309*$B$17,$B$13*MAX((MIN(AF315,$B$15)*$B$6+MAX(AF315-$B$15,0)*$B$16*$B$7/12)-$B$9,0)),0),0)*$B$8-(1-AF$310)*IF(AND(AF$309&gt;0,$B$8&gt;0),MIN(AF$309*$B$17,$B$13*MAX((MIN(AF315,$B$15)*$B$6+MAX(AF315-$B$15,0)*$B$16*$B$7/12)-$B$9,0)),0)</f>
        <v/>
      </c>
      <c r="AG316" s="179">
        <f>AG315+(MIN(AG315,$B$15)*$B$6+MAX(AG315-$B$15,0)*$B$16*$B$7/12)-$B$9-MAX((MIN(AG315,$B$15)*$B$6+MAX(AG315-$B$15,0)*$B$16*$B$7/12)-$B$9-IF(AND(AG$309&gt;0,$B$8&gt;0),MIN(AG$309*$B$17,$B$13*MAX((MIN(AG315,$B$15)*$B$6+MAX(AG315-$B$15,0)*$B$16*$B$7/12)-$B$9,0)),0),0)*$B$8-(1-AG$310)*IF(AND(AG$309&gt;0,$B$8&gt;0),MIN(AG$309*$B$17,$B$13*MAX((MIN(AG315,$B$15)*$B$6+MAX(AG315-$B$15,0)*$B$16*$B$7/12)-$B$9,0)),0)</f>
        <v/>
      </c>
      <c r="AH316" s="179">
        <f>AH315+(MIN(AH315,$B$15)*$B$6+MAX(AH315-$B$15,0)*$B$16*$B$7/12)-$B$9-MAX((MIN(AH315,$B$15)*$B$6+MAX(AH315-$B$15,0)*$B$16*$B$7/12)-$B$9-IF(AND(AH$309&gt;0,$B$8&gt;0),MIN(AH$309*$B$17,$B$13*MAX((MIN(AH315,$B$15)*$B$6+MAX(AH315-$B$15,0)*$B$16*$B$7/12)-$B$9,0)),0),0)*$B$8-(1-AH$310)*IF(AND(AH$309&gt;0,$B$8&gt;0),MIN(AH$309*$B$17,$B$13*MAX((MIN(AH315,$B$15)*$B$6+MAX(AH315-$B$15,0)*$B$16*$B$7/12)-$B$9,0)),0)</f>
        <v/>
      </c>
      <c r="AI316" s="179">
        <f>AI315+(MIN(AI315,$B$15)*$B$6+MAX(AI315-$B$15,0)*$B$16*$B$7/12)-$B$9-MAX((MIN(AI315,$B$15)*$B$6+MAX(AI315-$B$15,0)*$B$16*$B$7/12)-$B$9-IF(AND(AI$309&gt;0,$B$8&gt;0),MIN(AI$309*$B$17,$B$13*MAX((MIN(AI315,$B$15)*$B$6+MAX(AI315-$B$15,0)*$B$16*$B$7/12)-$B$9,0)),0),0)*$B$8-(1-AI$310)*IF(AND(AI$309&gt;0,$B$8&gt;0),MIN(AI$309*$B$17,$B$13*MAX((MIN(AI315,$B$15)*$B$6+MAX(AI315-$B$15,0)*$B$16*$B$7/12)-$B$9,0)),0)</f>
        <v/>
      </c>
      <c r="AJ316" s="179">
        <f>AJ315+(MIN(AJ315,$B$15)*$B$6+MAX(AJ315-$B$15,0)*$B$16*$B$7/12)-$B$9-MAX((MIN(AJ315,$B$15)*$B$6+MAX(AJ315-$B$15,0)*$B$16*$B$7/12)-$B$9-IF(AND(AJ$309&gt;0,$B$8&gt;0),MIN(AJ$309*$B$17,$B$13*MAX((MIN(AJ315,$B$15)*$B$6+MAX(AJ315-$B$15,0)*$B$16*$B$7/12)-$B$9,0)),0),0)*$B$8-(1-AJ$310)*IF(AND(AJ$309&gt;0,$B$8&gt;0),MIN(AJ$309*$B$17,$B$13*MAX((MIN(AJ315,$B$15)*$B$6+MAX(AJ315-$B$15,0)*$B$16*$B$7/12)-$B$9,0)),0)</f>
        <v/>
      </c>
      <c r="AK316" s="179">
        <f>AK315+(MIN(AK315,$B$15)*$B$6+MAX(AK315-$B$15,0)*$B$16*$B$7/12)-$B$9-MAX((MIN(AK315,$B$15)*$B$6+MAX(AK315-$B$15,0)*$B$16*$B$7/12)-$B$9-IF(AND(AK$309&gt;0,$B$8&gt;0),MIN(AK$309*$B$17,$B$13*MAX((MIN(AK315,$B$15)*$B$6+MAX(AK315-$B$15,0)*$B$16*$B$7/12)-$B$9,0)),0),0)*$B$8-(1-AK$310)*IF(AND(AK$309&gt;0,$B$8&gt;0),MIN(AK$309*$B$17,$B$13*MAX((MIN(AK315,$B$15)*$B$6+MAX(AK315-$B$15,0)*$B$16*$B$7/12)-$B$9,0)),0)</f>
        <v/>
      </c>
      <c r="AL316" s="179">
        <f>AL315+(MIN(AL315,$B$15)*$B$6+MAX(AL315-$B$15,0)*$B$16*$B$7/12)-$B$9-MAX((MIN(AL315,$B$15)*$B$6+MAX(AL315-$B$15,0)*$B$16*$B$7/12)-$B$9-IF(AND(AL$309&gt;0,$B$8&gt;0),MIN(AL$309*$B$17,$B$13*MAX((MIN(AL315,$B$15)*$B$6+MAX(AL315-$B$15,0)*$B$16*$B$7/12)-$B$9,0)),0),0)*$B$8-(1-AL$310)*IF(AND(AL$309&gt;0,$B$8&gt;0),MIN(AL$309*$B$17,$B$13*MAX((MIN(AL315,$B$15)*$B$6+MAX(AL315-$B$15,0)*$B$16*$B$7/12)-$B$9,0)),0)</f>
        <v/>
      </c>
      <c r="AM316" s="179">
        <f>AM315+(MIN(AM315,$B$15)*$B$6+MAX(AM315-$B$15,0)*$B$16*$B$7/12)-$B$9-MAX((MIN(AM315,$B$15)*$B$6+MAX(AM315-$B$15,0)*$B$16*$B$7/12)-$B$9-IF(AND(AM$309&gt;0,$B$8&gt;0),MIN(AM$309*$B$17,$B$13*MAX((MIN(AM315,$B$15)*$B$6+MAX(AM315-$B$15,0)*$B$16*$B$7/12)-$B$9,0)),0),0)*$B$8-(1-AM$310)*IF(AND(AM$309&gt;0,$B$8&gt;0),MIN(AM$309*$B$17,$B$13*MAX((MIN(AM315,$B$15)*$B$6+MAX(AM315-$B$15,0)*$B$16*$B$7/12)-$B$9,0)),0)</f>
        <v/>
      </c>
      <c r="AN316" s="179">
        <f>AN315+(MIN(AN315,$B$15)*$B$6+MAX(AN315-$B$15,0)*$B$16*$B$7/12)-$B$9-MAX((MIN(AN315,$B$15)*$B$6+MAX(AN315-$B$15,0)*$B$16*$B$7/12)-$B$9-IF(AND(AN$309&gt;0,$B$8&gt;0),MIN(AN$309*$B$17,$B$13*MAX((MIN(AN315,$B$15)*$B$6+MAX(AN315-$B$15,0)*$B$16*$B$7/12)-$B$9,0)),0),0)*$B$8-(1-AN$310)*IF(AND(AN$309&gt;0,$B$8&gt;0),MIN(AN$309*$B$17,$B$13*MAX((MIN(AN315,$B$15)*$B$6+MAX(AN315-$B$15,0)*$B$16*$B$7/12)-$B$9,0)),0)</f>
        <v/>
      </c>
      <c r="AO316" s="179">
        <f>AO315+(MIN(AO315,$B$15)*$B$6+MAX(AO315-$B$15,0)*$B$16*$B$7/12)-$B$9-MAX((MIN(AO315,$B$15)*$B$6+MAX(AO315-$B$15,0)*$B$16*$B$7/12)-$B$9-IF(AND(AO$309&gt;0,$B$8&gt;0),MIN(AO$309*$B$17,$B$13*MAX((MIN(AO315,$B$15)*$B$6+MAX(AO315-$B$15,0)*$B$16*$B$7/12)-$B$9,0)),0),0)*$B$8-(1-AO$310)*IF(AND(AO$309&gt;0,$B$8&gt;0),MIN(AO$309*$B$17,$B$13*MAX((MIN(AO315,$B$15)*$B$6+MAX(AO315-$B$15,0)*$B$16*$B$7/12)-$B$9,0)),0)</f>
        <v/>
      </c>
      <c r="AP316" s="179">
        <f>AP315+(MIN(AP315,$B$15)*$B$6+MAX(AP315-$B$15,0)*$B$16*$B$7/12)-$B$9-MAX((MIN(AP315,$B$15)*$B$6+MAX(AP315-$B$15,0)*$B$16*$B$7/12)-$B$9-IF(AND(AP$309&gt;0,$B$8&gt;0),MIN(AP$309*$B$17,$B$13*MAX((MIN(AP315,$B$15)*$B$6+MAX(AP315-$B$15,0)*$B$16*$B$7/12)-$B$9,0)),0),0)*$B$8-(1-AP$310)*IF(AND(AP$309&gt;0,$B$8&gt;0),MIN(AP$309*$B$17,$B$13*MAX((MIN(AP315,$B$15)*$B$6+MAX(AP315-$B$15,0)*$B$16*$B$7/12)-$B$9,0)),0)</f>
        <v/>
      </c>
      <c r="AQ316" s="179">
        <f>AQ315+(MIN(AQ315,$B$15)*$B$6+MAX(AQ315-$B$15,0)*$B$16*$B$7/12)-$B$9-MAX((MIN(AQ315,$B$15)*$B$6+MAX(AQ315-$B$15,0)*$B$16*$B$7/12)-$B$9-IF(AND(AQ$309&gt;0,$B$8&gt;0),MIN(AQ$309*$B$17,$B$13*MAX((MIN(AQ315,$B$15)*$B$6+MAX(AQ315-$B$15,0)*$B$16*$B$7/12)-$B$9,0)),0),0)*$B$8-(1-AQ$310)*IF(AND(AQ$309&gt;0,$B$8&gt;0),MIN(AQ$309*$B$17,$B$13*MAX((MIN(AQ315,$B$15)*$B$6+MAX(AQ315-$B$15,0)*$B$16*$B$7/12)-$B$9,0)),0)</f>
        <v/>
      </c>
    </row>
    <row r="317" hidden="1" outlineLevel="1">
      <c r="A317" s="164" t="inlineStr">
        <is>
          <t>Cycle 7</t>
        </is>
      </c>
      <c r="B317" s="179">
        <f>B316+(MIN(B316,$B$15)*$B$6+MAX(B316-$B$15,0)*$B$16*$B$7/12)-$B$9-MAX((MIN(B316,$B$15)*$B$6+MAX(B316-$B$15,0)*$B$16*$B$7/12)-$B$9-IF(AND(B$309&gt;0,$B$8&gt;0),MIN(B$309*$B$17,$B$13*MAX((MIN(B316,$B$15)*$B$6+MAX(B316-$B$15,0)*$B$16*$B$7/12)-$B$9,0)),0),0)*$B$8-(1-B$310)*IF(AND(B$309&gt;0,$B$8&gt;0),MIN(B$309*$B$17,$B$13*MAX((MIN(B316,$B$15)*$B$6+MAX(B316-$B$15,0)*$B$16*$B$7/12)-$B$9,0)),0)</f>
        <v/>
      </c>
      <c r="C317" s="179">
        <f>C316+(MIN(C316,$B$15)*$B$6+MAX(C316-$B$15,0)*$B$16*$B$7/12)-$B$9-MAX((MIN(C316,$B$15)*$B$6+MAX(C316-$B$15,0)*$B$16*$B$7/12)-$B$9-IF(AND(C$309&gt;0,$B$8&gt;0),MIN(C$309*$B$17,$B$13*MAX((MIN(C316,$B$15)*$B$6+MAX(C316-$B$15,0)*$B$16*$B$7/12)-$B$9,0)),0),0)*$B$8-(1-C$310)*IF(AND(C$309&gt;0,$B$8&gt;0),MIN(C$309*$B$17,$B$13*MAX((MIN(C316,$B$15)*$B$6+MAX(C316-$B$15,0)*$B$16*$B$7/12)-$B$9,0)),0)</f>
        <v/>
      </c>
      <c r="D317" s="179">
        <f>D316+(MIN(D316,$B$15)*$B$6+MAX(D316-$B$15,0)*$B$16*$B$7/12)-$B$9-MAX((MIN(D316,$B$15)*$B$6+MAX(D316-$B$15,0)*$B$16*$B$7/12)-$B$9-IF(AND(D$309&gt;0,$B$8&gt;0),MIN(D$309*$B$17,$B$13*MAX((MIN(D316,$B$15)*$B$6+MAX(D316-$B$15,0)*$B$16*$B$7/12)-$B$9,0)),0),0)*$B$8-(1-D$310)*IF(AND(D$309&gt;0,$B$8&gt;0),MIN(D$309*$B$17,$B$13*MAX((MIN(D316,$B$15)*$B$6+MAX(D316-$B$15,0)*$B$16*$B$7/12)-$B$9,0)),0)</f>
        <v/>
      </c>
      <c r="E317" s="179">
        <f>E316+(MIN(E316,$B$15)*$B$6+MAX(E316-$B$15,0)*$B$16*$B$7/12)-$B$9-MAX((MIN(E316,$B$15)*$B$6+MAX(E316-$B$15,0)*$B$16*$B$7/12)-$B$9-IF(AND(E$309&gt;0,$B$8&gt;0),MIN(E$309*$B$17,$B$13*MAX((MIN(E316,$B$15)*$B$6+MAX(E316-$B$15,0)*$B$16*$B$7/12)-$B$9,0)),0),0)*$B$8-(1-E$310)*IF(AND(E$309&gt;0,$B$8&gt;0),MIN(E$309*$B$17,$B$13*MAX((MIN(E316,$B$15)*$B$6+MAX(E316-$B$15,0)*$B$16*$B$7/12)-$B$9,0)),0)</f>
        <v/>
      </c>
      <c r="F317" s="179">
        <f>F316+(MIN(F316,$B$15)*$B$6+MAX(F316-$B$15,0)*$B$16*$B$7/12)-$B$9-MAX((MIN(F316,$B$15)*$B$6+MAX(F316-$B$15,0)*$B$16*$B$7/12)-$B$9-IF(AND(F$309&gt;0,$B$8&gt;0),MIN(F$309*$B$17,$B$13*MAX((MIN(F316,$B$15)*$B$6+MAX(F316-$B$15,0)*$B$16*$B$7/12)-$B$9,0)),0),0)*$B$8-(1-F$310)*IF(AND(F$309&gt;0,$B$8&gt;0),MIN(F$309*$B$17,$B$13*MAX((MIN(F316,$B$15)*$B$6+MAX(F316-$B$15,0)*$B$16*$B$7/12)-$B$9,0)),0)</f>
        <v/>
      </c>
      <c r="G317" s="179">
        <f>G316+(MIN(G316,$B$15)*$B$6+MAX(G316-$B$15,0)*$B$16*$B$7/12)-$B$9-MAX((MIN(G316,$B$15)*$B$6+MAX(G316-$B$15,0)*$B$16*$B$7/12)-$B$9-IF(AND(G$309&gt;0,$B$8&gt;0),MIN(G$309*$B$17,$B$13*MAX((MIN(G316,$B$15)*$B$6+MAX(G316-$B$15,0)*$B$16*$B$7/12)-$B$9,0)),0),0)*$B$8-(1-G$310)*IF(AND(G$309&gt;0,$B$8&gt;0),MIN(G$309*$B$17,$B$13*MAX((MIN(G316,$B$15)*$B$6+MAX(G316-$B$15,0)*$B$16*$B$7/12)-$B$9,0)),0)</f>
        <v/>
      </c>
      <c r="H317" s="179">
        <f>H316+(MIN(H316,$B$15)*$B$6+MAX(H316-$B$15,0)*$B$16*$B$7/12)-$B$9-MAX((MIN(H316,$B$15)*$B$6+MAX(H316-$B$15,0)*$B$16*$B$7/12)-$B$9-IF(AND(H$309&gt;0,$B$8&gt;0),MIN(H$309*$B$17,$B$13*MAX((MIN(H316,$B$15)*$B$6+MAX(H316-$B$15,0)*$B$16*$B$7/12)-$B$9,0)),0),0)*$B$8-(1-H$310)*IF(AND(H$309&gt;0,$B$8&gt;0),MIN(H$309*$B$17,$B$13*MAX((MIN(H316,$B$15)*$B$6+MAX(H316-$B$15,0)*$B$16*$B$7/12)-$B$9,0)),0)</f>
        <v/>
      </c>
      <c r="I317" s="179">
        <f>I316+(MIN(I316,$B$15)*$B$6+MAX(I316-$B$15,0)*$B$16*$B$7/12)-$B$9-MAX((MIN(I316,$B$15)*$B$6+MAX(I316-$B$15,0)*$B$16*$B$7/12)-$B$9-IF(AND(I$309&gt;0,$B$8&gt;0),MIN(I$309*$B$17,$B$13*MAX((MIN(I316,$B$15)*$B$6+MAX(I316-$B$15,0)*$B$16*$B$7/12)-$B$9,0)),0),0)*$B$8-(1-I$310)*IF(AND(I$309&gt;0,$B$8&gt;0),MIN(I$309*$B$17,$B$13*MAX((MIN(I316,$B$15)*$B$6+MAX(I316-$B$15,0)*$B$16*$B$7/12)-$B$9,0)),0)</f>
        <v/>
      </c>
      <c r="J317" s="179">
        <f>J316+(MIN(J316,$B$15)*$B$6+MAX(J316-$B$15,0)*$B$16*$B$7/12)-$B$9-MAX((MIN(J316,$B$15)*$B$6+MAX(J316-$B$15,0)*$B$16*$B$7/12)-$B$9-IF(AND(J$309&gt;0,$B$8&gt;0),MIN(J$309*$B$17,$B$13*MAX((MIN(J316,$B$15)*$B$6+MAX(J316-$B$15,0)*$B$16*$B$7/12)-$B$9,0)),0),0)*$B$8-(1-J$310)*IF(AND(J$309&gt;0,$B$8&gt;0),MIN(J$309*$B$17,$B$13*MAX((MIN(J316,$B$15)*$B$6+MAX(J316-$B$15,0)*$B$16*$B$7/12)-$B$9,0)),0)</f>
        <v/>
      </c>
      <c r="K317" s="179">
        <f>K316+(MIN(K316,$B$15)*$B$6+MAX(K316-$B$15,0)*$B$16*$B$7/12)-$B$9-MAX((MIN(K316,$B$15)*$B$6+MAX(K316-$B$15,0)*$B$16*$B$7/12)-$B$9-IF(AND(K$309&gt;0,$B$8&gt;0),MIN(K$309*$B$17,$B$13*MAX((MIN(K316,$B$15)*$B$6+MAX(K316-$B$15,0)*$B$16*$B$7/12)-$B$9,0)),0),0)*$B$8-(1-K$310)*IF(AND(K$309&gt;0,$B$8&gt;0),MIN(K$309*$B$17,$B$13*MAX((MIN(K316,$B$15)*$B$6+MAX(K316-$B$15,0)*$B$16*$B$7/12)-$B$9,0)),0)</f>
        <v/>
      </c>
      <c r="L317" s="179">
        <f>L316+(MIN(L316,$B$15)*$B$6+MAX(L316-$B$15,0)*$B$16*$B$7/12)-$B$9-MAX((MIN(L316,$B$15)*$B$6+MAX(L316-$B$15,0)*$B$16*$B$7/12)-$B$9-IF(AND(L$309&gt;0,$B$8&gt;0),MIN(L$309*$B$17,$B$13*MAX((MIN(L316,$B$15)*$B$6+MAX(L316-$B$15,0)*$B$16*$B$7/12)-$B$9,0)),0),0)*$B$8-(1-L$310)*IF(AND(L$309&gt;0,$B$8&gt;0),MIN(L$309*$B$17,$B$13*MAX((MIN(L316,$B$15)*$B$6+MAX(L316-$B$15,0)*$B$16*$B$7/12)-$B$9,0)),0)</f>
        <v/>
      </c>
      <c r="M317" s="179">
        <f>M316+(MIN(M316,$B$15)*$B$6+MAX(M316-$B$15,0)*$B$16*$B$7/12)-$B$9-MAX((MIN(M316,$B$15)*$B$6+MAX(M316-$B$15,0)*$B$16*$B$7/12)-$B$9-IF(AND(M$309&gt;0,$B$8&gt;0),MIN(M$309*$B$17,$B$13*MAX((MIN(M316,$B$15)*$B$6+MAX(M316-$B$15,0)*$B$16*$B$7/12)-$B$9,0)),0),0)*$B$8-(1-M$310)*IF(AND(M$309&gt;0,$B$8&gt;0),MIN(M$309*$B$17,$B$13*MAX((MIN(M316,$B$15)*$B$6+MAX(M316-$B$15,0)*$B$16*$B$7/12)-$B$9,0)),0)</f>
        <v/>
      </c>
      <c r="N317" s="179">
        <f>N316+(MIN(N316,$B$15)*$B$6+MAX(N316-$B$15,0)*$B$16*$B$7/12)-$B$9-MAX((MIN(N316,$B$15)*$B$6+MAX(N316-$B$15,0)*$B$16*$B$7/12)-$B$9-IF(AND(N$309&gt;0,$B$8&gt;0),MIN(N$309*$B$17,$B$13*MAX((MIN(N316,$B$15)*$B$6+MAX(N316-$B$15,0)*$B$16*$B$7/12)-$B$9,0)),0),0)*$B$8-(1-N$310)*IF(AND(N$309&gt;0,$B$8&gt;0),MIN(N$309*$B$17,$B$13*MAX((MIN(N316,$B$15)*$B$6+MAX(N316-$B$15,0)*$B$16*$B$7/12)-$B$9,0)),0)</f>
        <v/>
      </c>
      <c r="O317" s="179">
        <f>O316+(MIN(O316,$B$15)*$B$6+MAX(O316-$B$15,0)*$B$16*$B$7/12)-$B$9-MAX((MIN(O316,$B$15)*$B$6+MAX(O316-$B$15,0)*$B$16*$B$7/12)-$B$9-IF(AND(O$309&gt;0,$B$8&gt;0),MIN(O$309*$B$17,$B$13*MAX((MIN(O316,$B$15)*$B$6+MAX(O316-$B$15,0)*$B$16*$B$7/12)-$B$9,0)),0),0)*$B$8-(1-O$310)*IF(AND(O$309&gt;0,$B$8&gt;0),MIN(O$309*$B$17,$B$13*MAX((MIN(O316,$B$15)*$B$6+MAX(O316-$B$15,0)*$B$16*$B$7/12)-$B$9,0)),0)</f>
        <v/>
      </c>
      <c r="P317" s="179">
        <f>P316+(MIN(P316,$B$15)*$B$6+MAX(P316-$B$15,0)*$B$16*$B$7/12)-$B$9-MAX((MIN(P316,$B$15)*$B$6+MAX(P316-$B$15,0)*$B$16*$B$7/12)-$B$9-IF(AND(P$309&gt;0,$B$8&gt;0),MIN(P$309*$B$17,$B$13*MAX((MIN(P316,$B$15)*$B$6+MAX(P316-$B$15,0)*$B$16*$B$7/12)-$B$9,0)),0),0)*$B$8-(1-P$310)*IF(AND(P$309&gt;0,$B$8&gt;0),MIN(P$309*$B$17,$B$13*MAX((MIN(P316,$B$15)*$B$6+MAX(P316-$B$15,0)*$B$16*$B$7/12)-$B$9,0)),0)</f>
        <v/>
      </c>
      <c r="Q317" s="179">
        <f>Q316+(MIN(Q316,$B$15)*$B$6+MAX(Q316-$B$15,0)*$B$16*$B$7/12)-$B$9-MAX((MIN(Q316,$B$15)*$B$6+MAX(Q316-$B$15,0)*$B$16*$B$7/12)-$B$9-IF(AND(Q$309&gt;0,$B$8&gt;0),MIN(Q$309*$B$17,$B$13*MAX((MIN(Q316,$B$15)*$B$6+MAX(Q316-$B$15,0)*$B$16*$B$7/12)-$B$9,0)),0),0)*$B$8-(1-Q$310)*IF(AND(Q$309&gt;0,$B$8&gt;0),MIN(Q$309*$B$17,$B$13*MAX((MIN(Q316,$B$15)*$B$6+MAX(Q316-$B$15,0)*$B$16*$B$7/12)-$B$9,0)),0)</f>
        <v/>
      </c>
      <c r="R317" s="179">
        <f>R316+(MIN(R316,$B$15)*$B$6+MAX(R316-$B$15,0)*$B$16*$B$7/12)-$B$9-MAX((MIN(R316,$B$15)*$B$6+MAX(R316-$B$15,0)*$B$16*$B$7/12)-$B$9-IF(AND(R$309&gt;0,$B$8&gt;0),MIN(R$309*$B$17,$B$13*MAX((MIN(R316,$B$15)*$B$6+MAX(R316-$B$15,0)*$B$16*$B$7/12)-$B$9,0)),0),0)*$B$8-(1-R$310)*IF(AND(R$309&gt;0,$B$8&gt;0),MIN(R$309*$B$17,$B$13*MAX((MIN(R316,$B$15)*$B$6+MAX(R316-$B$15,0)*$B$16*$B$7/12)-$B$9,0)),0)</f>
        <v/>
      </c>
      <c r="S317" s="179">
        <f>S316+(MIN(S316,$B$15)*$B$6+MAX(S316-$B$15,0)*$B$16*$B$7/12)-$B$9-MAX((MIN(S316,$B$15)*$B$6+MAX(S316-$B$15,0)*$B$16*$B$7/12)-$B$9-IF(AND(S$309&gt;0,$B$8&gt;0),MIN(S$309*$B$17,$B$13*MAX((MIN(S316,$B$15)*$B$6+MAX(S316-$B$15,0)*$B$16*$B$7/12)-$B$9,0)),0),0)*$B$8-(1-S$310)*IF(AND(S$309&gt;0,$B$8&gt;0),MIN(S$309*$B$17,$B$13*MAX((MIN(S316,$B$15)*$B$6+MAX(S316-$B$15,0)*$B$16*$B$7/12)-$B$9,0)),0)</f>
        <v/>
      </c>
      <c r="T317" s="179">
        <f>T316+(MIN(T316,$B$15)*$B$6+MAX(T316-$B$15,0)*$B$16*$B$7/12)-$B$9-MAX((MIN(T316,$B$15)*$B$6+MAX(T316-$B$15,0)*$B$16*$B$7/12)-$B$9-IF(AND(T$309&gt;0,$B$8&gt;0),MIN(T$309*$B$17,$B$13*MAX((MIN(T316,$B$15)*$B$6+MAX(T316-$B$15,0)*$B$16*$B$7/12)-$B$9,0)),0),0)*$B$8-(1-T$310)*IF(AND(T$309&gt;0,$B$8&gt;0),MIN(T$309*$B$17,$B$13*MAX((MIN(T316,$B$15)*$B$6+MAX(T316-$B$15,0)*$B$16*$B$7/12)-$B$9,0)),0)</f>
        <v/>
      </c>
      <c r="U317" s="179">
        <f>U316+(MIN(U316,$B$15)*$B$6+MAX(U316-$B$15,0)*$B$16*$B$7/12)-$B$9-MAX((MIN(U316,$B$15)*$B$6+MAX(U316-$B$15,0)*$B$16*$B$7/12)-$B$9-IF(AND(U$309&gt;0,$B$8&gt;0),MIN(U$309*$B$17,$B$13*MAX((MIN(U316,$B$15)*$B$6+MAX(U316-$B$15,0)*$B$16*$B$7/12)-$B$9,0)),0),0)*$B$8-(1-U$310)*IF(AND(U$309&gt;0,$B$8&gt;0),MIN(U$309*$B$17,$B$13*MAX((MIN(U316,$B$15)*$B$6+MAX(U316-$B$15,0)*$B$16*$B$7/12)-$B$9,0)),0)</f>
        <v/>
      </c>
      <c r="V317" s="179">
        <f>V316+(MIN(V316,$B$15)*$B$6+MAX(V316-$B$15,0)*$B$16*$B$7/12)-$B$9-MAX((MIN(V316,$B$15)*$B$6+MAX(V316-$B$15,0)*$B$16*$B$7/12)-$B$9-IF(AND(V$309&gt;0,$B$8&gt;0),MIN(V$309*$B$17,$B$13*MAX((MIN(V316,$B$15)*$B$6+MAX(V316-$B$15,0)*$B$16*$B$7/12)-$B$9,0)),0),0)*$B$8-(1-V$310)*IF(AND(V$309&gt;0,$B$8&gt;0),MIN(V$309*$B$17,$B$13*MAX((MIN(V316,$B$15)*$B$6+MAX(V316-$B$15,0)*$B$16*$B$7/12)-$B$9,0)),0)</f>
        <v/>
      </c>
      <c r="W317" s="179">
        <f>W316+(MIN(W316,$B$15)*$B$6+MAX(W316-$B$15,0)*$B$16*$B$7/12)-$B$9-MAX((MIN(W316,$B$15)*$B$6+MAX(W316-$B$15,0)*$B$16*$B$7/12)-$B$9-IF(AND(W$309&gt;0,$B$8&gt;0),MIN(W$309*$B$17,$B$13*MAX((MIN(W316,$B$15)*$B$6+MAX(W316-$B$15,0)*$B$16*$B$7/12)-$B$9,0)),0),0)*$B$8-(1-W$310)*IF(AND(W$309&gt;0,$B$8&gt;0),MIN(W$309*$B$17,$B$13*MAX((MIN(W316,$B$15)*$B$6+MAX(W316-$B$15,0)*$B$16*$B$7/12)-$B$9,0)),0)</f>
        <v/>
      </c>
      <c r="X317" s="179">
        <f>X316+(MIN(X316,$B$15)*$B$6+MAX(X316-$B$15,0)*$B$16*$B$7/12)-$B$9-MAX((MIN(X316,$B$15)*$B$6+MAX(X316-$B$15,0)*$B$16*$B$7/12)-$B$9-IF(AND(X$309&gt;0,$B$8&gt;0),MIN(X$309*$B$17,$B$13*MAX((MIN(X316,$B$15)*$B$6+MAX(X316-$B$15,0)*$B$16*$B$7/12)-$B$9,0)),0),0)*$B$8-(1-X$310)*IF(AND(X$309&gt;0,$B$8&gt;0),MIN(X$309*$B$17,$B$13*MAX((MIN(X316,$B$15)*$B$6+MAX(X316-$B$15,0)*$B$16*$B$7/12)-$B$9,0)),0)</f>
        <v/>
      </c>
      <c r="Y317" s="179">
        <f>Y316+(MIN(Y316,$B$15)*$B$6+MAX(Y316-$B$15,0)*$B$16*$B$7/12)-$B$9-MAX((MIN(Y316,$B$15)*$B$6+MAX(Y316-$B$15,0)*$B$16*$B$7/12)-$B$9-IF(AND(Y$309&gt;0,$B$8&gt;0),MIN(Y$309*$B$17,$B$13*MAX((MIN(Y316,$B$15)*$B$6+MAX(Y316-$B$15,0)*$B$16*$B$7/12)-$B$9,0)),0),0)*$B$8-(1-Y$310)*IF(AND(Y$309&gt;0,$B$8&gt;0),MIN(Y$309*$B$17,$B$13*MAX((MIN(Y316,$B$15)*$B$6+MAX(Y316-$B$15,0)*$B$16*$B$7/12)-$B$9,0)),0)</f>
        <v/>
      </c>
      <c r="Z317" s="179">
        <f>Z316+(MIN(Z316,$B$15)*$B$6+MAX(Z316-$B$15,0)*$B$16*$B$7/12)-$B$9-MAX((MIN(Z316,$B$15)*$B$6+MAX(Z316-$B$15,0)*$B$16*$B$7/12)-$B$9-IF(AND(Z$309&gt;0,$B$8&gt;0),MIN(Z$309*$B$17,$B$13*MAX((MIN(Z316,$B$15)*$B$6+MAX(Z316-$B$15,0)*$B$16*$B$7/12)-$B$9,0)),0),0)*$B$8-(1-Z$310)*IF(AND(Z$309&gt;0,$B$8&gt;0),MIN(Z$309*$B$17,$B$13*MAX((MIN(Z316,$B$15)*$B$6+MAX(Z316-$B$15,0)*$B$16*$B$7/12)-$B$9,0)),0)</f>
        <v/>
      </c>
      <c r="AA317" s="179">
        <f>AA316+(MIN(AA316,$B$15)*$B$6+MAX(AA316-$B$15,0)*$B$16*$B$7/12)-$B$9-MAX((MIN(AA316,$B$15)*$B$6+MAX(AA316-$B$15,0)*$B$16*$B$7/12)-$B$9-IF(AND(AA$309&gt;0,$B$8&gt;0),MIN(AA$309*$B$17,$B$13*MAX((MIN(AA316,$B$15)*$B$6+MAX(AA316-$B$15,0)*$B$16*$B$7/12)-$B$9,0)),0),0)*$B$8-(1-AA$310)*IF(AND(AA$309&gt;0,$B$8&gt;0),MIN(AA$309*$B$17,$B$13*MAX((MIN(AA316,$B$15)*$B$6+MAX(AA316-$B$15,0)*$B$16*$B$7/12)-$B$9,0)),0)</f>
        <v/>
      </c>
      <c r="AB317" s="179">
        <f>AB316+(MIN(AB316,$B$15)*$B$6+MAX(AB316-$B$15,0)*$B$16*$B$7/12)-$B$9-MAX((MIN(AB316,$B$15)*$B$6+MAX(AB316-$B$15,0)*$B$16*$B$7/12)-$B$9-IF(AND(AB$309&gt;0,$B$8&gt;0),MIN(AB$309*$B$17,$B$13*MAX((MIN(AB316,$B$15)*$B$6+MAX(AB316-$B$15,0)*$B$16*$B$7/12)-$B$9,0)),0),0)*$B$8-(1-AB$310)*IF(AND(AB$309&gt;0,$B$8&gt;0),MIN(AB$309*$B$17,$B$13*MAX((MIN(AB316,$B$15)*$B$6+MAX(AB316-$B$15,0)*$B$16*$B$7/12)-$B$9,0)),0)</f>
        <v/>
      </c>
      <c r="AC317" s="179">
        <f>AC316+(MIN(AC316,$B$15)*$B$6+MAX(AC316-$B$15,0)*$B$16*$B$7/12)-$B$9-MAX((MIN(AC316,$B$15)*$B$6+MAX(AC316-$B$15,0)*$B$16*$B$7/12)-$B$9-IF(AND(AC$309&gt;0,$B$8&gt;0),MIN(AC$309*$B$17,$B$13*MAX((MIN(AC316,$B$15)*$B$6+MAX(AC316-$B$15,0)*$B$16*$B$7/12)-$B$9,0)),0),0)*$B$8-(1-AC$310)*IF(AND(AC$309&gt;0,$B$8&gt;0),MIN(AC$309*$B$17,$B$13*MAX((MIN(AC316,$B$15)*$B$6+MAX(AC316-$B$15,0)*$B$16*$B$7/12)-$B$9,0)),0)</f>
        <v/>
      </c>
      <c r="AD317" s="179">
        <f>AD316+(MIN(AD316,$B$15)*$B$6+MAX(AD316-$B$15,0)*$B$16*$B$7/12)-$B$9-MAX((MIN(AD316,$B$15)*$B$6+MAX(AD316-$B$15,0)*$B$16*$B$7/12)-$B$9-IF(AND(AD$309&gt;0,$B$8&gt;0),MIN(AD$309*$B$17,$B$13*MAX((MIN(AD316,$B$15)*$B$6+MAX(AD316-$B$15,0)*$B$16*$B$7/12)-$B$9,0)),0),0)*$B$8-(1-AD$310)*IF(AND(AD$309&gt;0,$B$8&gt;0),MIN(AD$309*$B$17,$B$13*MAX((MIN(AD316,$B$15)*$B$6+MAX(AD316-$B$15,0)*$B$16*$B$7/12)-$B$9,0)),0)</f>
        <v/>
      </c>
      <c r="AE317" s="179">
        <f>AE316+(MIN(AE316,$B$15)*$B$6+MAX(AE316-$B$15,0)*$B$16*$B$7/12)-$B$9-MAX((MIN(AE316,$B$15)*$B$6+MAX(AE316-$B$15,0)*$B$16*$B$7/12)-$B$9-IF(AND(AE$309&gt;0,$B$8&gt;0),MIN(AE$309*$B$17,$B$13*MAX((MIN(AE316,$B$15)*$B$6+MAX(AE316-$B$15,0)*$B$16*$B$7/12)-$B$9,0)),0),0)*$B$8-(1-AE$310)*IF(AND(AE$309&gt;0,$B$8&gt;0),MIN(AE$309*$B$17,$B$13*MAX((MIN(AE316,$B$15)*$B$6+MAX(AE316-$B$15,0)*$B$16*$B$7/12)-$B$9,0)),0)</f>
        <v/>
      </c>
      <c r="AF317" s="179">
        <f>AF316+(MIN(AF316,$B$15)*$B$6+MAX(AF316-$B$15,0)*$B$16*$B$7/12)-$B$9-MAX((MIN(AF316,$B$15)*$B$6+MAX(AF316-$B$15,0)*$B$16*$B$7/12)-$B$9-IF(AND(AF$309&gt;0,$B$8&gt;0),MIN(AF$309*$B$17,$B$13*MAX((MIN(AF316,$B$15)*$B$6+MAX(AF316-$B$15,0)*$B$16*$B$7/12)-$B$9,0)),0),0)*$B$8-(1-AF$310)*IF(AND(AF$309&gt;0,$B$8&gt;0),MIN(AF$309*$B$17,$B$13*MAX((MIN(AF316,$B$15)*$B$6+MAX(AF316-$B$15,0)*$B$16*$B$7/12)-$B$9,0)),0)</f>
        <v/>
      </c>
      <c r="AG317" s="179">
        <f>AG316+(MIN(AG316,$B$15)*$B$6+MAX(AG316-$B$15,0)*$B$16*$B$7/12)-$B$9-MAX((MIN(AG316,$B$15)*$B$6+MAX(AG316-$B$15,0)*$B$16*$B$7/12)-$B$9-IF(AND(AG$309&gt;0,$B$8&gt;0),MIN(AG$309*$B$17,$B$13*MAX((MIN(AG316,$B$15)*$B$6+MAX(AG316-$B$15,0)*$B$16*$B$7/12)-$B$9,0)),0),0)*$B$8-(1-AG$310)*IF(AND(AG$309&gt;0,$B$8&gt;0),MIN(AG$309*$B$17,$B$13*MAX((MIN(AG316,$B$15)*$B$6+MAX(AG316-$B$15,0)*$B$16*$B$7/12)-$B$9,0)),0)</f>
        <v/>
      </c>
      <c r="AH317" s="179">
        <f>AH316+(MIN(AH316,$B$15)*$B$6+MAX(AH316-$B$15,0)*$B$16*$B$7/12)-$B$9-MAX((MIN(AH316,$B$15)*$B$6+MAX(AH316-$B$15,0)*$B$16*$B$7/12)-$B$9-IF(AND(AH$309&gt;0,$B$8&gt;0),MIN(AH$309*$B$17,$B$13*MAX((MIN(AH316,$B$15)*$B$6+MAX(AH316-$B$15,0)*$B$16*$B$7/12)-$B$9,0)),0),0)*$B$8-(1-AH$310)*IF(AND(AH$309&gt;0,$B$8&gt;0),MIN(AH$309*$B$17,$B$13*MAX((MIN(AH316,$B$15)*$B$6+MAX(AH316-$B$15,0)*$B$16*$B$7/12)-$B$9,0)),0)</f>
        <v/>
      </c>
      <c r="AI317" s="179">
        <f>AI316+(MIN(AI316,$B$15)*$B$6+MAX(AI316-$B$15,0)*$B$16*$B$7/12)-$B$9-MAX((MIN(AI316,$B$15)*$B$6+MAX(AI316-$B$15,0)*$B$16*$B$7/12)-$B$9-IF(AND(AI$309&gt;0,$B$8&gt;0),MIN(AI$309*$B$17,$B$13*MAX((MIN(AI316,$B$15)*$B$6+MAX(AI316-$B$15,0)*$B$16*$B$7/12)-$B$9,0)),0),0)*$B$8-(1-AI$310)*IF(AND(AI$309&gt;0,$B$8&gt;0),MIN(AI$309*$B$17,$B$13*MAX((MIN(AI316,$B$15)*$B$6+MAX(AI316-$B$15,0)*$B$16*$B$7/12)-$B$9,0)),0)</f>
        <v/>
      </c>
      <c r="AJ317" s="179">
        <f>AJ316+(MIN(AJ316,$B$15)*$B$6+MAX(AJ316-$B$15,0)*$B$16*$B$7/12)-$B$9-MAX((MIN(AJ316,$B$15)*$B$6+MAX(AJ316-$B$15,0)*$B$16*$B$7/12)-$B$9-IF(AND(AJ$309&gt;0,$B$8&gt;0),MIN(AJ$309*$B$17,$B$13*MAX((MIN(AJ316,$B$15)*$B$6+MAX(AJ316-$B$15,0)*$B$16*$B$7/12)-$B$9,0)),0),0)*$B$8-(1-AJ$310)*IF(AND(AJ$309&gt;0,$B$8&gt;0),MIN(AJ$309*$B$17,$B$13*MAX((MIN(AJ316,$B$15)*$B$6+MAX(AJ316-$B$15,0)*$B$16*$B$7/12)-$B$9,0)),0)</f>
        <v/>
      </c>
      <c r="AK317" s="179">
        <f>AK316+(MIN(AK316,$B$15)*$B$6+MAX(AK316-$B$15,0)*$B$16*$B$7/12)-$B$9-MAX((MIN(AK316,$B$15)*$B$6+MAX(AK316-$B$15,0)*$B$16*$B$7/12)-$B$9-IF(AND(AK$309&gt;0,$B$8&gt;0),MIN(AK$309*$B$17,$B$13*MAX((MIN(AK316,$B$15)*$B$6+MAX(AK316-$B$15,0)*$B$16*$B$7/12)-$B$9,0)),0),0)*$B$8-(1-AK$310)*IF(AND(AK$309&gt;0,$B$8&gt;0),MIN(AK$309*$B$17,$B$13*MAX((MIN(AK316,$B$15)*$B$6+MAX(AK316-$B$15,0)*$B$16*$B$7/12)-$B$9,0)),0)</f>
        <v/>
      </c>
      <c r="AL317" s="179">
        <f>AL316+(MIN(AL316,$B$15)*$B$6+MAX(AL316-$B$15,0)*$B$16*$B$7/12)-$B$9-MAX((MIN(AL316,$B$15)*$B$6+MAX(AL316-$B$15,0)*$B$16*$B$7/12)-$B$9-IF(AND(AL$309&gt;0,$B$8&gt;0),MIN(AL$309*$B$17,$B$13*MAX((MIN(AL316,$B$15)*$B$6+MAX(AL316-$B$15,0)*$B$16*$B$7/12)-$B$9,0)),0),0)*$B$8-(1-AL$310)*IF(AND(AL$309&gt;0,$B$8&gt;0),MIN(AL$309*$B$17,$B$13*MAX((MIN(AL316,$B$15)*$B$6+MAX(AL316-$B$15,0)*$B$16*$B$7/12)-$B$9,0)),0)</f>
        <v/>
      </c>
      <c r="AM317" s="179">
        <f>AM316+(MIN(AM316,$B$15)*$B$6+MAX(AM316-$B$15,0)*$B$16*$B$7/12)-$B$9-MAX((MIN(AM316,$B$15)*$B$6+MAX(AM316-$B$15,0)*$B$16*$B$7/12)-$B$9-IF(AND(AM$309&gt;0,$B$8&gt;0),MIN(AM$309*$B$17,$B$13*MAX((MIN(AM316,$B$15)*$B$6+MAX(AM316-$B$15,0)*$B$16*$B$7/12)-$B$9,0)),0),0)*$B$8-(1-AM$310)*IF(AND(AM$309&gt;0,$B$8&gt;0),MIN(AM$309*$B$17,$B$13*MAX((MIN(AM316,$B$15)*$B$6+MAX(AM316-$B$15,0)*$B$16*$B$7/12)-$B$9,0)),0)</f>
        <v/>
      </c>
      <c r="AN317" s="179">
        <f>AN316+(MIN(AN316,$B$15)*$B$6+MAX(AN316-$B$15,0)*$B$16*$B$7/12)-$B$9-MAX((MIN(AN316,$B$15)*$B$6+MAX(AN316-$B$15,0)*$B$16*$B$7/12)-$B$9-IF(AND(AN$309&gt;0,$B$8&gt;0),MIN(AN$309*$B$17,$B$13*MAX((MIN(AN316,$B$15)*$B$6+MAX(AN316-$B$15,0)*$B$16*$B$7/12)-$B$9,0)),0),0)*$B$8-(1-AN$310)*IF(AND(AN$309&gt;0,$B$8&gt;0),MIN(AN$309*$B$17,$B$13*MAX((MIN(AN316,$B$15)*$B$6+MAX(AN316-$B$15,0)*$B$16*$B$7/12)-$B$9,0)),0)</f>
        <v/>
      </c>
      <c r="AO317" s="179">
        <f>AO316+(MIN(AO316,$B$15)*$B$6+MAX(AO316-$B$15,0)*$B$16*$B$7/12)-$B$9-MAX((MIN(AO316,$B$15)*$B$6+MAX(AO316-$B$15,0)*$B$16*$B$7/12)-$B$9-IF(AND(AO$309&gt;0,$B$8&gt;0),MIN(AO$309*$B$17,$B$13*MAX((MIN(AO316,$B$15)*$B$6+MAX(AO316-$B$15,0)*$B$16*$B$7/12)-$B$9,0)),0),0)*$B$8-(1-AO$310)*IF(AND(AO$309&gt;0,$B$8&gt;0),MIN(AO$309*$B$17,$B$13*MAX((MIN(AO316,$B$15)*$B$6+MAX(AO316-$B$15,0)*$B$16*$B$7/12)-$B$9,0)),0)</f>
        <v/>
      </c>
      <c r="AP317" s="179">
        <f>AP316+(MIN(AP316,$B$15)*$B$6+MAX(AP316-$B$15,0)*$B$16*$B$7/12)-$B$9-MAX((MIN(AP316,$B$15)*$B$6+MAX(AP316-$B$15,0)*$B$16*$B$7/12)-$B$9-IF(AND(AP$309&gt;0,$B$8&gt;0),MIN(AP$309*$B$17,$B$13*MAX((MIN(AP316,$B$15)*$B$6+MAX(AP316-$B$15,0)*$B$16*$B$7/12)-$B$9,0)),0),0)*$B$8-(1-AP$310)*IF(AND(AP$309&gt;0,$B$8&gt;0),MIN(AP$309*$B$17,$B$13*MAX((MIN(AP316,$B$15)*$B$6+MAX(AP316-$B$15,0)*$B$16*$B$7/12)-$B$9,0)),0)</f>
        <v/>
      </c>
      <c r="AQ317" s="179">
        <f>AQ316+(MIN(AQ316,$B$15)*$B$6+MAX(AQ316-$B$15,0)*$B$16*$B$7/12)-$B$9-MAX((MIN(AQ316,$B$15)*$B$6+MAX(AQ316-$B$15,0)*$B$16*$B$7/12)-$B$9-IF(AND(AQ$309&gt;0,$B$8&gt;0),MIN(AQ$309*$B$17,$B$13*MAX((MIN(AQ316,$B$15)*$B$6+MAX(AQ316-$B$15,0)*$B$16*$B$7/12)-$B$9,0)),0),0)*$B$8-(1-AQ$310)*IF(AND(AQ$309&gt;0,$B$8&gt;0),MIN(AQ$309*$B$17,$B$13*MAX((MIN(AQ316,$B$15)*$B$6+MAX(AQ316-$B$15,0)*$B$16*$B$7/12)-$B$9,0)),0)</f>
        <v/>
      </c>
    </row>
    <row r="318" hidden="1" outlineLevel="1">
      <c r="A318" s="164" t="inlineStr">
        <is>
          <t>Cycle 8</t>
        </is>
      </c>
      <c r="B318" s="179">
        <f>B317+(MIN(B317,$B$15)*$B$6+MAX(B317-$B$15,0)*$B$16*$B$7/12)-$B$9-MAX((MIN(B317,$B$15)*$B$6+MAX(B317-$B$15,0)*$B$16*$B$7/12)-$B$9-IF(AND(B$309&gt;0,$B$8&gt;0),MIN(B$309*$B$17,$B$13*MAX((MIN(B317,$B$15)*$B$6+MAX(B317-$B$15,0)*$B$16*$B$7/12)-$B$9,0)),0),0)*$B$8-(1-B$310)*IF(AND(B$309&gt;0,$B$8&gt;0),MIN(B$309*$B$17,$B$13*MAX((MIN(B317,$B$15)*$B$6+MAX(B317-$B$15,0)*$B$16*$B$7/12)-$B$9,0)),0)</f>
        <v/>
      </c>
      <c r="C318" s="179">
        <f>C317+(MIN(C317,$B$15)*$B$6+MAX(C317-$B$15,0)*$B$16*$B$7/12)-$B$9-MAX((MIN(C317,$B$15)*$B$6+MAX(C317-$B$15,0)*$B$16*$B$7/12)-$B$9-IF(AND(C$309&gt;0,$B$8&gt;0),MIN(C$309*$B$17,$B$13*MAX((MIN(C317,$B$15)*$B$6+MAX(C317-$B$15,0)*$B$16*$B$7/12)-$B$9,0)),0),0)*$B$8-(1-C$310)*IF(AND(C$309&gt;0,$B$8&gt;0),MIN(C$309*$B$17,$B$13*MAX((MIN(C317,$B$15)*$B$6+MAX(C317-$B$15,0)*$B$16*$B$7/12)-$B$9,0)),0)</f>
        <v/>
      </c>
      <c r="D318" s="179">
        <f>D317+(MIN(D317,$B$15)*$B$6+MAX(D317-$B$15,0)*$B$16*$B$7/12)-$B$9-MAX((MIN(D317,$B$15)*$B$6+MAX(D317-$B$15,0)*$B$16*$B$7/12)-$B$9-IF(AND(D$309&gt;0,$B$8&gt;0),MIN(D$309*$B$17,$B$13*MAX((MIN(D317,$B$15)*$B$6+MAX(D317-$B$15,0)*$B$16*$B$7/12)-$B$9,0)),0),0)*$B$8-(1-D$310)*IF(AND(D$309&gt;0,$B$8&gt;0),MIN(D$309*$B$17,$B$13*MAX((MIN(D317,$B$15)*$B$6+MAX(D317-$B$15,0)*$B$16*$B$7/12)-$B$9,0)),0)</f>
        <v/>
      </c>
      <c r="E318" s="179">
        <f>E317+(MIN(E317,$B$15)*$B$6+MAX(E317-$B$15,0)*$B$16*$B$7/12)-$B$9-MAX((MIN(E317,$B$15)*$B$6+MAX(E317-$B$15,0)*$B$16*$B$7/12)-$B$9-IF(AND(E$309&gt;0,$B$8&gt;0),MIN(E$309*$B$17,$B$13*MAX((MIN(E317,$B$15)*$B$6+MAX(E317-$B$15,0)*$B$16*$B$7/12)-$B$9,0)),0),0)*$B$8-(1-E$310)*IF(AND(E$309&gt;0,$B$8&gt;0),MIN(E$309*$B$17,$B$13*MAX((MIN(E317,$B$15)*$B$6+MAX(E317-$B$15,0)*$B$16*$B$7/12)-$B$9,0)),0)</f>
        <v/>
      </c>
      <c r="F318" s="179">
        <f>F317+(MIN(F317,$B$15)*$B$6+MAX(F317-$B$15,0)*$B$16*$B$7/12)-$B$9-MAX((MIN(F317,$B$15)*$B$6+MAX(F317-$B$15,0)*$B$16*$B$7/12)-$B$9-IF(AND(F$309&gt;0,$B$8&gt;0),MIN(F$309*$B$17,$B$13*MAX((MIN(F317,$B$15)*$B$6+MAX(F317-$B$15,0)*$B$16*$B$7/12)-$B$9,0)),0),0)*$B$8-(1-F$310)*IF(AND(F$309&gt;0,$B$8&gt;0),MIN(F$309*$B$17,$B$13*MAX((MIN(F317,$B$15)*$B$6+MAX(F317-$B$15,0)*$B$16*$B$7/12)-$B$9,0)),0)</f>
        <v/>
      </c>
      <c r="G318" s="179">
        <f>G317+(MIN(G317,$B$15)*$B$6+MAX(G317-$B$15,0)*$B$16*$B$7/12)-$B$9-MAX((MIN(G317,$B$15)*$B$6+MAX(G317-$B$15,0)*$B$16*$B$7/12)-$B$9-IF(AND(G$309&gt;0,$B$8&gt;0),MIN(G$309*$B$17,$B$13*MAX((MIN(G317,$B$15)*$B$6+MAX(G317-$B$15,0)*$B$16*$B$7/12)-$B$9,0)),0),0)*$B$8-(1-G$310)*IF(AND(G$309&gt;0,$B$8&gt;0),MIN(G$309*$B$17,$B$13*MAX((MIN(G317,$B$15)*$B$6+MAX(G317-$B$15,0)*$B$16*$B$7/12)-$B$9,0)),0)</f>
        <v/>
      </c>
      <c r="H318" s="179">
        <f>H317+(MIN(H317,$B$15)*$B$6+MAX(H317-$B$15,0)*$B$16*$B$7/12)-$B$9-MAX((MIN(H317,$B$15)*$B$6+MAX(H317-$B$15,0)*$B$16*$B$7/12)-$B$9-IF(AND(H$309&gt;0,$B$8&gt;0),MIN(H$309*$B$17,$B$13*MAX((MIN(H317,$B$15)*$B$6+MAX(H317-$B$15,0)*$B$16*$B$7/12)-$B$9,0)),0),0)*$B$8-(1-H$310)*IF(AND(H$309&gt;0,$B$8&gt;0),MIN(H$309*$B$17,$B$13*MAX((MIN(H317,$B$15)*$B$6+MAX(H317-$B$15,0)*$B$16*$B$7/12)-$B$9,0)),0)</f>
        <v/>
      </c>
      <c r="I318" s="179">
        <f>I317+(MIN(I317,$B$15)*$B$6+MAX(I317-$B$15,0)*$B$16*$B$7/12)-$B$9-MAX((MIN(I317,$B$15)*$B$6+MAX(I317-$B$15,0)*$B$16*$B$7/12)-$B$9-IF(AND(I$309&gt;0,$B$8&gt;0),MIN(I$309*$B$17,$B$13*MAX((MIN(I317,$B$15)*$B$6+MAX(I317-$B$15,0)*$B$16*$B$7/12)-$B$9,0)),0),0)*$B$8-(1-I$310)*IF(AND(I$309&gt;0,$B$8&gt;0),MIN(I$309*$B$17,$B$13*MAX((MIN(I317,$B$15)*$B$6+MAX(I317-$B$15,0)*$B$16*$B$7/12)-$B$9,0)),0)</f>
        <v/>
      </c>
      <c r="J318" s="179">
        <f>J317+(MIN(J317,$B$15)*$B$6+MAX(J317-$B$15,0)*$B$16*$B$7/12)-$B$9-MAX((MIN(J317,$B$15)*$B$6+MAX(J317-$B$15,0)*$B$16*$B$7/12)-$B$9-IF(AND(J$309&gt;0,$B$8&gt;0),MIN(J$309*$B$17,$B$13*MAX((MIN(J317,$B$15)*$B$6+MAX(J317-$B$15,0)*$B$16*$B$7/12)-$B$9,0)),0),0)*$B$8-(1-J$310)*IF(AND(J$309&gt;0,$B$8&gt;0),MIN(J$309*$B$17,$B$13*MAX((MIN(J317,$B$15)*$B$6+MAX(J317-$B$15,0)*$B$16*$B$7/12)-$B$9,0)),0)</f>
        <v/>
      </c>
      <c r="K318" s="179">
        <f>K317+(MIN(K317,$B$15)*$B$6+MAX(K317-$B$15,0)*$B$16*$B$7/12)-$B$9-MAX((MIN(K317,$B$15)*$B$6+MAX(K317-$B$15,0)*$B$16*$B$7/12)-$B$9-IF(AND(K$309&gt;0,$B$8&gt;0),MIN(K$309*$B$17,$B$13*MAX((MIN(K317,$B$15)*$B$6+MAX(K317-$B$15,0)*$B$16*$B$7/12)-$B$9,0)),0),0)*$B$8-(1-K$310)*IF(AND(K$309&gt;0,$B$8&gt;0),MIN(K$309*$B$17,$B$13*MAX((MIN(K317,$B$15)*$B$6+MAX(K317-$B$15,0)*$B$16*$B$7/12)-$B$9,0)),0)</f>
        <v/>
      </c>
      <c r="L318" s="179">
        <f>L317+(MIN(L317,$B$15)*$B$6+MAX(L317-$B$15,0)*$B$16*$B$7/12)-$B$9-MAX((MIN(L317,$B$15)*$B$6+MAX(L317-$B$15,0)*$B$16*$B$7/12)-$B$9-IF(AND(L$309&gt;0,$B$8&gt;0),MIN(L$309*$B$17,$B$13*MAX((MIN(L317,$B$15)*$B$6+MAX(L317-$B$15,0)*$B$16*$B$7/12)-$B$9,0)),0),0)*$B$8-(1-L$310)*IF(AND(L$309&gt;0,$B$8&gt;0),MIN(L$309*$B$17,$B$13*MAX((MIN(L317,$B$15)*$B$6+MAX(L317-$B$15,0)*$B$16*$B$7/12)-$B$9,0)),0)</f>
        <v/>
      </c>
      <c r="M318" s="179">
        <f>M317+(MIN(M317,$B$15)*$B$6+MAX(M317-$B$15,0)*$B$16*$B$7/12)-$B$9-MAX((MIN(M317,$B$15)*$B$6+MAX(M317-$B$15,0)*$B$16*$B$7/12)-$B$9-IF(AND(M$309&gt;0,$B$8&gt;0),MIN(M$309*$B$17,$B$13*MAX((MIN(M317,$B$15)*$B$6+MAX(M317-$B$15,0)*$B$16*$B$7/12)-$B$9,0)),0),0)*$B$8-(1-M$310)*IF(AND(M$309&gt;0,$B$8&gt;0),MIN(M$309*$B$17,$B$13*MAX((MIN(M317,$B$15)*$B$6+MAX(M317-$B$15,0)*$B$16*$B$7/12)-$B$9,0)),0)</f>
        <v/>
      </c>
      <c r="N318" s="179">
        <f>N317+(MIN(N317,$B$15)*$B$6+MAX(N317-$B$15,0)*$B$16*$B$7/12)-$B$9-MAX((MIN(N317,$B$15)*$B$6+MAX(N317-$B$15,0)*$B$16*$B$7/12)-$B$9-IF(AND(N$309&gt;0,$B$8&gt;0),MIN(N$309*$B$17,$B$13*MAX((MIN(N317,$B$15)*$B$6+MAX(N317-$B$15,0)*$B$16*$B$7/12)-$B$9,0)),0),0)*$B$8-(1-N$310)*IF(AND(N$309&gt;0,$B$8&gt;0),MIN(N$309*$B$17,$B$13*MAX((MIN(N317,$B$15)*$B$6+MAX(N317-$B$15,0)*$B$16*$B$7/12)-$B$9,0)),0)</f>
        <v/>
      </c>
      <c r="O318" s="179">
        <f>O317+(MIN(O317,$B$15)*$B$6+MAX(O317-$B$15,0)*$B$16*$B$7/12)-$B$9-MAX((MIN(O317,$B$15)*$B$6+MAX(O317-$B$15,0)*$B$16*$B$7/12)-$B$9-IF(AND(O$309&gt;0,$B$8&gt;0),MIN(O$309*$B$17,$B$13*MAX((MIN(O317,$B$15)*$B$6+MAX(O317-$B$15,0)*$B$16*$B$7/12)-$B$9,0)),0),0)*$B$8-(1-O$310)*IF(AND(O$309&gt;0,$B$8&gt;0),MIN(O$309*$B$17,$B$13*MAX((MIN(O317,$B$15)*$B$6+MAX(O317-$B$15,0)*$B$16*$B$7/12)-$B$9,0)),0)</f>
        <v/>
      </c>
      <c r="P318" s="179">
        <f>P317+(MIN(P317,$B$15)*$B$6+MAX(P317-$B$15,0)*$B$16*$B$7/12)-$B$9-MAX((MIN(P317,$B$15)*$B$6+MAX(P317-$B$15,0)*$B$16*$B$7/12)-$B$9-IF(AND(P$309&gt;0,$B$8&gt;0),MIN(P$309*$B$17,$B$13*MAX((MIN(P317,$B$15)*$B$6+MAX(P317-$B$15,0)*$B$16*$B$7/12)-$B$9,0)),0),0)*$B$8-(1-P$310)*IF(AND(P$309&gt;0,$B$8&gt;0),MIN(P$309*$B$17,$B$13*MAX((MIN(P317,$B$15)*$B$6+MAX(P317-$B$15,0)*$B$16*$B$7/12)-$B$9,0)),0)</f>
        <v/>
      </c>
      <c r="Q318" s="179">
        <f>Q317+(MIN(Q317,$B$15)*$B$6+MAX(Q317-$B$15,0)*$B$16*$B$7/12)-$B$9-MAX((MIN(Q317,$B$15)*$B$6+MAX(Q317-$B$15,0)*$B$16*$B$7/12)-$B$9-IF(AND(Q$309&gt;0,$B$8&gt;0),MIN(Q$309*$B$17,$B$13*MAX((MIN(Q317,$B$15)*$B$6+MAX(Q317-$B$15,0)*$B$16*$B$7/12)-$B$9,0)),0),0)*$B$8-(1-Q$310)*IF(AND(Q$309&gt;0,$B$8&gt;0),MIN(Q$309*$B$17,$B$13*MAX((MIN(Q317,$B$15)*$B$6+MAX(Q317-$B$15,0)*$B$16*$B$7/12)-$B$9,0)),0)</f>
        <v/>
      </c>
      <c r="R318" s="179">
        <f>R317+(MIN(R317,$B$15)*$B$6+MAX(R317-$B$15,0)*$B$16*$B$7/12)-$B$9-MAX((MIN(R317,$B$15)*$B$6+MAX(R317-$B$15,0)*$B$16*$B$7/12)-$B$9-IF(AND(R$309&gt;0,$B$8&gt;0),MIN(R$309*$B$17,$B$13*MAX((MIN(R317,$B$15)*$B$6+MAX(R317-$B$15,0)*$B$16*$B$7/12)-$B$9,0)),0),0)*$B$8-(1-R$310)*IF(AND(R$309&gt;0,$B$8&gt;0),MIN(R$309*$B$17,$B$13*MAX((MIN(R317,$B$15)*$B$6+MAX(R317-$B$15,0)*$B$16*$B$7/12)-$B$9,0)),0)</f>
        <v/>
      </c>
      <c r="S318" s="179">
        <f>S317+(MIN(S317,$B$15)*$B$6+MAX(S317-$B$15,0)*$B$16*$B$7/12)-$B$9-MAX((MIN(S317,$B$15)*$B$6+MAX(S317-$B$15,0)*$B$16*$B$7/12)-$B$9-IF(AND(S$309&gt;0,$B$8&gt;0),MIN(S$309*$B$17,$B$13*MAX((MIN(S317,$B$15)*$B$6+MAX(S317-$B$15,0)*$B$16*$B$7/12)-$B$9,0)),0),0)*$B$8-(1-S$310)*IF(AND(S$309&gt;0,$B$8&gt;0),MIN(S$309*$B$17,$B$13*MAX((MIN(S317,$B$15)*$B$6+MAX(S317-$B$15,0)*$B$16*$B$7/12)-$B$9,0)),0)</f>
        <v/>
      </c>
      <c r="T318" s="179">
        <f>T317+(MIN(T317,$B$15)*$B$6+MAX(T317-$B$15,0)*$B$16*$B$7/12)-$B$9-MAX((MIN(T317,$B$15)*$B$6+MAX(T317-$B$15,0)*$B$16*$B$7/12)-$B$9-IF(AND(T$309&gt;0,$B$8&gt;0),MIN(T$309*$B$17,$B$13*MAX((MIN(T317,$B$15)*$B$6+MAX(T317-$B$15,0)*$B$16*$B$7/12)-$B$9,0)),0),0)*$B$8-(1-T$310)*IF(AND(T$309&gt;0,$B$8&gt;0),MIN(T$309*$B$17,$B$13*MAX((MIN(T317,$B$15)*$B$6+MAX(T317-$B$15,0)*$B$16*$B$7/12)-$B$9,0)),0)</f>
        <v/>
      </c>
      <c r="U318" s="179">
        <f>U317+(MIN(U317,$B$15)*$B$6+MAX(U317-$B$15,0)*$B$16*$B$7/12)-$B$9-MAX((MIN(U317,$B$15)*$B$6+MAX(U317-$B$15,0)*$B$16*$B$7/12)-$B$9-IF(AND(U$309&gt;0,$B$8&gt;0),MIN(U$309*$B$17,$B$13*MAX((MIN(U317,$B$15)*$B$6+MAX(U317-$B$15,0)*$B$16*$B$7/12)-$B$9,0)),0),0)*$B$8-(1-U$310)*IF(AND(U$309&gt;0,$B$8&gt;0),MIN(U$309*$B$17,$B$13*MAX((MIN(U317,$B$15)*$B$6+MAX(U317-$B$15,0)*$B$16*$B$7/12)-$B$9,0)),0)</f>
        <v/>
      </c>
      <c r="V318" s="179">
        <f>V317+(MIN(V317,$B$15)*$B$6+MAX(V317-$B$15,0)*$B$16*$B$7/12)-$B$9-MAX((MIN(V317,$B$15)*$B$6+MAX(V317-$B$15,0)*$B$16*$B$7/12)-$B$9-IF(AND(V$309&gt;0,$B$8&gt;0),MIN(V$309*$B$17,$B$13*MAX((MIN(V317,$B$15)*$B$6+MAX(V317-$B$15,0)*$B$16*$B$7/12)-$B$9,0)),0),0)*$B$8-(1-V$310)*IF(AND(V$309&gt;0,$B$8&gt;0),MIN(V$309*$B$17,$B$13*MAX((MIN(V317,$B$15)*$B$6+MAX(V317-$B$15,0)*$B$16*$B$7/12)-$B$9,0)),0)</f>
        <v/>
      </c>
      <c r="W318" s="179">
        <f>W317+(MIN(W317,$B$15)*$B$6+MAX(W317-$B$15,0)*$B$16*$B$7/12)-$B$9-MAX((MIN(W317,$B$15)*$B$6+MAX(W317-$B$15,0)*$B$16*$B$7/12)-$B$9-IF(AND(W$309&gt;0,$B$8&gt;0),MIN(W$309*$B$17,$B$13*MAX((MIN(W317,$B$15)*$B$6+MAX(W317-$B$15,0)*$B$16*$B$7/12)-$B$9,0)),0),0)*$B$8-(1-W$310)*IF(AND(W$309&gt;0,$B$8&gt;0),MIN(W$309*$B$17,$B$13*MAX((MIN(W317,$B$15)*$B$6+MAX(W317-$B$15,0)*$B$16*$B$7/12)-$B$9,0)),0)</f>
        <v/>
      </c>
      <c r="X318" s="179">
        <f>X317+(MIN(X317,$B$15)*$B$6+MAX(X317-$B$15,0)*$B$16*$B$7/12)-$B$9-MAX((MIN(X317,$B$15)*$B$6+MAX(X317-$B$15,0)*$B$16*$B$7/12)-$B$9-IF(AND(X$309&gt;0,$B$8&gt;0),MIN(X$309*$B$17,$B$13*MAX((MIN(X317,$B$15)*$B$6+MAX(X317-$B$15,0)*$B$16*$B$7/12)-$B$9,0)),0),0)*$B$8-(1-X$310)*IF(AND(X$309&gt;0,$B$8&gt;0),MIN(X$309*$B$17,$B$13*MAX((MIN(X317,$B$15)*$B$6+MAX(X317-$B$15,0)*$B$16*$B$7/12)-$B$9,0)),0)</f>
        <v/>
      </c>
      <c r="Y318" s="179">
        <f>Y317+(MIN(Y317,$B$15)*$B$6+MAX(Y317-$B$15,0)*$B$16*$B$7/12)-$B$9-MAX((MIN(Y317,$B$15)*$B$6+MAX(Y317-$B$15,0)*$B$16*$B$7/12)-$B$9-IF(AND(Y$309&gt;0,$B$8&gt;0),MIN(Y$309*$B$17,$B$13*MAX((MIN(Y317,$B$15)*$B$6+MAX(Y317-$B$15,0)*$B$16*$B$7/12)-$B$9,0)),0),0)*$B$8-(1-Y$310)*IF(AND(Y$309&gt;0,$B$8&gt;0),MIN(Y$309*$B$17,$B$13*MAX((MIN(Y317,$B$15)*$B$6+MAX(Y317-$B$15,0)*$B$16*$B$7/12)-$B$9,0)),0)</f>
        <v/>
      </c>
      <c r="Z318" s="179">
        <f>Z317+(MIN(Z317,$B$15)*$B$6+MAX(Z317-$B$15,0)*$B$16*$B$7/12)-$B$9-MAX((MIN(Z317,$B$15)*$B$6+MAX(Z317-$B$15,0)*$B$16*$B$7/12)-$B$9-IF(AND(Z$309&gt;0,$B$8&gt;0),MIN(Z$309*$B$17,$B$13*MAX((MIN(Z317,$B$15)*$B$6+MAX(Z317-$B$15,0)*$B$16*$B$7/12)-$B$9,0)),0),0)*$B$8-(1-Z$310)*IF(AND(Z$309&gt;0,$B$8&gt;0),MIN(Z$309*$B$17,$B$13*MAX((MIN(Z317,$B$15)*$B$6+MAX(Z317-$B$15,0)*$B$16*$B$7/12)-$B$9,0)),0)</f>
        <v/>
      </c>
      <c r="AA318" s="179">
        <f>AA317+(MIN(AA317,$B$15)*$B$6+MAX(AA317-$B$15,0)*$B$16*$B$7/12)-$B$9-MAX((MIN(AA317,$B$15)*$B$6+MAX(AA317-$B$15,0)*$B$16*$B$7/12)-$B$9-IF(AND(AA$309&gt;0,$B$8&gt;0),MIN(AA$309*$B$17,$B$13*MAX((MIN(AA317,$B$15)*$B$6+MAX(AA317-$B$15,0)*$B$16*$B$7/12)-$B$9,0)),0),0)*$B$8-(1-AA$310)*IF(AND(AA$309&gt;0,$B$8&gt;0),MIN(AA$309*$B$17,$B$13*MAX((MIN(AA317,$B$15)*$B$6+MAX(AA317-$B$15,0)*$B$16*$B$7/12)-$B$9,0)),0)</f>
        <v/>
      </c>
      <c r="AB318" s="179">
        <f>AB317+(MIN(AB317,$B$15)*$B$6+MAX(AB317-$B$15,0)*$B$16*$B$7/12)-$B$9-MAX((MIN(AB317,$B$15)*$B$6+MAX(AB317-$B$15,0)*$B$16*$B$7/12)-$B$9-IF(AND(AB$309&gt;0,$B$8&gt;0),MIN(AB$309*$B$17,$B$13*MAX((MIN(AB317,$B$15)*$B$6+MAX(AB317-$B$15,0)*$B$16*$B$7/12)-$B$9,0)),0),0)*$B$8-(1-AB$310)*IF(AND(AB$309&gt;0,$B$8&gt;0),MIN(AB$309*$B$17,$B$13*MAX((MIN(AB317,$B$15)*$B$6+MAX(AB317-$B$15,0)*$B$16*$B$7/12)-$B$9,0)),0)</f>
        <v/>
      </c>
      <c r="AC318" s="179">
        <f>AC317+(MIN(AC317,$B$15)*$B$6+MAX(AC317-$B$15,0)*$B$16*$B$7/12)-$B$9-MAX((MIN(AC317,$B$15)*$B$6+MAX(AC317-$B$15,0)*$B$16*$B$7/12)-$B$9-IF(AND(AC$309&gt;0,$B$8&gt;0),MIN(AC$309*$B$17,$B$13*MAX((MIN(AC317,$B$15)*$B$6+MAX(AC317-$B$15,0)*$B$16*$B$7/12)-$B$9,0)),0),0)*$B$8-(1-AC$310)*IF(AND(AC$309&gt;0,$B$8&gt;0),MIN(AC$309*$B$17,$B$13*MAX((MIN(AC317,$B$15)*$B$6+MAX(AC317-$B$15,0)*$B$16*$B$7/12)-$B$9,0)),0)</f>
        <v/>
      </c>
      <c r="AD318" s="179">
        <f>AD317+(MIN(AD317,$B$15)*$B$6+MAX(AD317-$B$15,0)*$B$16*$B$7/12)-$B$9-MAX((MIN(AD317,$B$15)*$B$6+MAX(AD317-$B$15,0)*$B$16*$B$7/12)-$B$9-IF(AND(AD$309&gt;0,$B$8&gt;0),MIN(AD$309*$B$17,$B$13*MAX((MIN(AD317,$B$15)*$B$6+MAX(AD317-$B$15,0)*$B$16*$B$7/12)-$B$9,0)),0),0)*$B$8-(1-AD$310)*IF(AND(AD$309&gt;0,$B$8&gt;0),MIN(AD$309*$B$17,$B$13*MAX((MIN(AD317,$B$15)*$B$6+MAX(AD317-$B$15,0)*$B$16*$B$7/12)-$B$9,0)),0)</f>
        <v/>
      </c>
      <c r="AE318" s="179">
        <f>AE317+(MIN(AE317,$B$15)*$B$6+MAX(AE317-$B$15,0)*$B$16*$B$7/12)-$B$9-MAX((MIN(AE317,$B$15)*$B$6+MAX(AE317-$B$15,0)*$B$16*$B$7/12)-$B$9-IF(AND(AE$309&gt;0,$B$8&gt;0),MIN(AE$309*$B$17,$B$13*MAX((MIN(AE317,$B$15)*$B$6+MAX(AE317-$B$15,0)*$B$16*$B$7/12)-$B$9,0)),0),0)*$B$8-(1-AE$310)*IF(AND(AE$309&gt;0,$B$8&gt;0),MIN(AE$309*$B$17,$B$13*MAX((MIN(AE317,$B$15)*$B$6+MAX(AE317-$B$15,0)*$B$16*$B$7/12)-$B$9,0)),0)</f>
        <v/>
      </c>
      <c r="AF318" s="179">
        <f>AF317+(MIN(AF317,$B$15)*$B$6+MAX(AF317-$B$15,0)*$B$16*$B$7/12)-$B$9-MAX((MIN(AF317,$B$15)*$B$6+MAX(AF317-$B$15,0)*$B$16*$B$7/12)-$B$9-IF(AND(AF$309&gt;0,$B$8&gt;0),MIN(AF$309*$B$17,$B$13*MAX((MIN(AF317,$B$15)*$B$6+MAX(AF317-$B$15,0)*$B$16*$B$7/12)-$B$9,0)),0),0)*$B$8-(1-AF$310)*IF(AND(AF$309&gt;0,$B$8&gt;0),MIN(AF$309*$B$17,$B$13*MAX((MIN(AF317,$B$15)*$B$6+MAX(AF317-$B$15,0)*$B$16*$B$7/12)-$B$9,0)),0)</f>
        <v/>
      </c>
      <c r="AG318" s="179">
        <f>AG317+(MIN(AG317,$B$15)*$B$6+MAX(AG317-$B$15,0)*$B$16*$B$7/12)-$B$9-MAX((MIN(AG317,$B$15)*$B$6+MAX(AG317-$B$15,0)*$B$16*$B$7/12)-$B$9-IF(AND(AG$309&gt;0,$B$8&gt;0),MIN(AG$309*$B$17,$B$13*MAX((MIN(AG317,$B$15)*$B$6+MAX(AG317-$B$15,0)*$B$16*$B$7/12)-$B$9,0)),0),0)*$B$8-(1-AG$310)*IF(AND(AG$309&gt;0,$B$8&gt;0),MIN(AG$309*$B$17,$B$13*MAX((MIN(AG317,$B$15)*$B$6+MAX(AG317-$B$15,0)*$B$16*$B$7/12)-$B$9,0)),0)</f>
        <v/>
      </c>
      <c r="AH318" s="179">
        <f>AH317+(MIN(AH317,$B$15)*$B$6+MAX(AH317-$B$15,0)*$B$16*$B$7/12)-$B$9-MAX((MIN(AH317,$B$15)*$B$6+MAX(AH317-$B$15,0)*$B$16*$B$7/12)-$B$9-IF(AND(AH$309&gt;0,$B$8&gt;0),MIN(AH$309*$B$17,$B$13*MAX((MIN(AH317,$B$15)*$B$6+MAX(AH317-$B$15,0)*$B$16*$B$7/12)-$B$9,0)),0),0)*$B$8-(1-AH$310)*IF(AND(AH$309&gt;0,$B$8&gt;0),MIN(AH$309*$B$17,$B$13*MAX((MIN(AH317,$B$15)*$B$6+MAX(AH317-$B$15,0)*$B$16*$B$7/12)-$B$9,0)),0)</f>
        <v/>
      </c>
      <c r="AI318" s="179">
        <f>AI317+(MIN(AI317,$B$15)*$B$6+MAX(AI317-$B$15,0)*$B$16*$B$7/12)-$B$9-MAX((MIN(AI317,$B$15)*$B$6+MAX(AI317-$B$15,0)*$B$16*$B$7/12)-$B$9-IF(AND(AI$309&gt;0,$B$8&gt;0),MIN(AI$309*$B$17,$B$13*MAX((MIN(AI317,$B$15)*$B$6+MAX(AI317-$B$15,0)*$B$16*$B$7/12)-$B$9,0)),0),0)*$B$8-(1-AI$310)*IF(AND(AI$309&gt;0,$B$8&gt;0),MIN(AI$309*$B$17,$B$13*MAX((MIN(AI317,$B$15)*$B$6+MAX(AI317-$B$15,0)*$B$16*$B$7/12)-$B$9,0)),0)</f>
        <v/>
      </c>
      <c r="AJ318" s="179">
        <f>AJ317+(MIN(AJ317,$B$15)*$B$6+MAX(AJ317-$B$15,0)*$B$16*$B$7/12)-$B$9-MAX((MIN(AJ317,$B$15)*$B$6+MAX(AJ317-$B$15,0)*$B$16*$B$7/12)-$B$9-IF(AND(AJ$309&gt;0,$B$8&gt;0),MIN(AJ$309*$B$17,$B$13*MAX((MIN(AJ317,$B$15)*$B$6+MAX(AJ317-$B$15,0)*$B$16*$B$7/12)-$B$9,0)),0),0)*$B$8-(1-AJ$310)*IF(AND(AJ$309&gt;0,$B$8&gt;0),MIN(AJ$309*$B$17,$B$13*MAX((MIN(AJ317,$B$15)*$B$6+MAX(AJ317-$B$15,0)*$B$16*$B$7/12)-$B$9,0)),0)</f>
        <v/>
      </c>
      <c r="AK318" s="179">
        <f>AK317+(MIN(AK317,$B$15)*$B$6+MAX(AK317-$B$15,0)*$B$16*$B$7/12)-$B$9-MAX((MIN(AK317,$B$15)*$B$6+MAX(AK317-$B$15,0)*$B$16*$B$7/12)-$B$9-IF(AND(AK$309&gt;0,$B$8&gt;0),MIN(AK$309*$B$17,$B$13*MAX((MIN(AK317,$B$15)*$B$6+MAX(AK317-$B$15,0)*$B$16*$B$7/12)-$B$9,0)),0),0)*$B$8-(1-AK$310)*IF(AND(AK$309&gt;0,$B$8&gt;0),MIN(AK$309*$B$17,$B$13*MAX((MIN(AK317,$B$15)*$B$6+MAX(AK317-$B$15,0)*$B$16*$B$7/12)-$B$9,0)),0)</f>
        <v/>
      </c>
      <c r="AL318" s="179">
        <f>AL317+(MIN(AL317,$B$15)*$B$6+MAX(AL317-$B$15,0)*$B$16*$B$7/12)-$B$9-MAX((MIN(AL317,$B$15)*$B$6+MAX(AL317-$B$15,0)*$B$16*$B$7/12)-$B$9-IF(AND(AL$309&gt;0,$B$8&gt;0),MIN(AL$309*$B$17,$B$13*MAX((MIN(AL317,$B$15)*$B$6+MAX(AL317-$B$15,0)*$B$16*$B$7/12)-$B$9,0)),0),0)*$B$8-(1-AL$310)*IF(AND(AL$309&gt;0,$B$8&gt;0),MIN(AL$309*$B$17,$B$13*MAX((MIN(AL317,$B$15)*$B$6+MAX(AL317-$B$15,0)*$B$16*$B$7/12)-$B$9,0)),0)</f>
        <v/>
      </c>
      <c r="AM318" s="179">
        <f>AM317+(MIN(AM317,$B$15)*$B$6+MAX(AM317-$B$15,0)*$B$16*$B$7/12)-$B$9-MAX((MIN(AM317,$B$15)*$B$6+MAX(AM317-$B$15,0)*$B$16*$B$7/12)-$B$9-IF(AND(AM$309&gt;0,$B$8&gt;0),MIN(AM$309*$B$17,$B$13*MAX((MIN(AM317,$B$15)*$B$6+MAX(AM317-$B$15,0)*$B$16*$B$7/12)-$B$9,0)),0),0)*$B$8-(1-AM$310)*IF(AND(AM$309&gt;0,$B$8&gt;0),MIN(AM$309*$B$17,$B$13*MAX((MIN(AM317,$B$15)*$B$6+MAX(AM317-$B$15,0)*$B$16*$B$7/12)-$B$9,0)),0)</f>
        <v/>
      </c>
      <c r="AN318" s="179">
        <f>AN317+(MIN(AN317,$B$15)*$B$6+MAX(AN317-$B$15,0)*$B$16*$B$7/12)-$B$9-MAX((MIN(AN317,$B$15)*$B$6+MAX(AN317-$B$15,0)*$B$16*$B$7/12)-$B$9-IF(AND(AN$309&gt;0,$B$8&gt;0),MIN(AN$309*$B$17,$B$13*MAX((MIN(AN317,$B$15)*$B$6+MAX(AN317-$B$15,0)*$B$16*$B$7/12)-$B$9,0)),0),0)*$B$8-(1-AN$310)*IF(AND(AN$309&gt;0,$B$8&gt;0),MIN(AN$309*$B$17,$B$13*MAX((MIN(AN317,$B$15)*$B$6+MAX(AN317-$B$15,0)*$B$16*$B$7/12)-$B$9,0)),0)</f>
        <v/>
      </c>
      <c r="AO318" s="179">
        <f>AO317+(MIN(AO317,$B$15)*$B$6+MAX(AO317-$B$15,0)*$B$16*$B$7/12)-$B$9-MAX((MIN(AO317,$B$15)*$B$6+MAX(AO317-$B$15,0)*$B$16*$B$7/12)-$B$9-IF(AND(AO$309&gt;0,$B$8&gt;0),MIN(AO$309*$B$17,$B$13*MAX((MIN(AO317,$B$15)*$B$6+MAX(AO317-$B$15,0)*$B$16*$B$7/12)-$B$9,0)),0),0)*$B$8-(1-AO$310)*IF(AND(AO$309&gt;0,$B$8&gt;0),MIN(AO$309*$B$17,$B$13*MAX((MIN(AO317,$B$15)*$B$6+MAX(AO317-$B$15,0)*$B$16*$B$7/12)-$B$9,0)),0)</f>
        <v/>
      </c>
      <c r="AP318" s="179">
        <f>AP317+(MIN(AP317,$B$15)*$B$6+MAX(AP317-$B$15,0)*$B$16*$B$7/12)-$B$9-MAX((MIN(AP317,$B$15)*$B$6+MAX(AP317-$B$15,0)*$B$16*$B$7/12)-$B$9-IF(AND(AP$309&gt;0,$B$8&gt;0),MIN(AP$309*$B$17,$B$13*MAX((MIN(AP317,$B$15)*$B$6+MAX(AP317-$B$15,0)*$B$16*$B$7/12)-$B$9,0)),0),0)*$B$8-(1-AP$310)*IF(AND(AP$309&gt;0,$B$8&gt;0),MIN(AP$309*$B$17,$B$13*MAX((MIN(AP317,$B$15)*$B$6+MAX(AP317-$B$15,0)*$B$16*$B$7/12)-$B$9,0)),0)</f>
        <v/>
      </c>
      <c r="AQ318" s="179">
        <f>AQ317+(MIN(AQ317,$B$15)*$B$6+MAX(AQ317-$B$15,0)*$B$16*$B$7/12)-$B$9-MAX((MIN(AQ317,$B$15)*$B$6+MAX(AQ317-$B$15,0)*$B$16*$B$7/12)-$B$9-IF(AND(AQ$309&gt;0,$B$8&gt;0),MIN(AQ$309*$B$17,$B$13*MAX((MIN(AQ317,$B$15)*$B$6+MAX(AQ317-$B$15,0)*$B$16*$B$7/12)-$B$9,0)),0),0)*$B$8-(1-AQ$310)*IF(AND(AQ$309&gt;0,$B$8&gt;0),MIN(AQ$309*$B$17,$B$13*MAX((MIN(AQ317,$B$15)*$B$6+MAX(AQ317-$B$15,0)*$B$16*$B$7/12)-$B$9,0)),0)</f>
        <v/>
      </c>
    </row>
    <row r="319" hidden="1" outlineLevel="1">
      <c r="A319" s="164" t="inlineStr">
        <is>
          <t>Cycle 9</t>
        </is>
      </c>
      <c r="B319" s="179">
        <f>B318+(MIN(B318,$B$15)*$B$6+MAX(B318-$B$15,0)*$B$16*$B$7/12)-$B$9-MAX((MIN(B318,$B$15)*$B$6+MAX(B318-$B$15,0)*$B$16*$B$7/12)-$B$9-IF(AND(B$309&gt;0,$B$8&gt;0),MIN(B$309*$B$17,$B$13*MAX((MIN(B318,$B$15)*$B$6+MAX(B318-$B$15,0)*$B$16*$B$7/12)-$B$9,0)),0),0)*$B$8-(1-B$310)*IF(AND(B$309&gt;0,$B$8&gt;0),MIN(B$309*$B$17,$B$13*MAX((MIN(B318,$B$15)*$B$6+MAX(B318-$B$15,0)*$B$16*$B$7/12)-$B$9,0)),0)</f>
        <v/>
      </c>
      <c r="C319" s="179">
        <f>C318+(MIN(C318,$B$15)*$B$6+MAX(C318-$B$15,0)*$B$16*$B$7/12)-$B$9-MAX((MIN(C318,$B$15)*$B$6+MAX(C318-$B$15,0)*$B$16*$B$7/12)-$B$9-IF(AND(C$309&gt;0,$B$8&gt;0),MIN(C$309*$B$17,$B$13*MAX((MIN(C318,$B$15)*$B$6+MAX(C318-$B$15,0)*$B$16*$B$7/12)-$B$9,0)),0),0)*$B$8-(1-C$310)*IF(AND(C$309&gt;0,$B$8&gt;0),MIN(C$309*$B$17,$B$13*MAX((MIN(C318,$B$15)*$B$6+MAX(C318-$B$15,0)*$B$16*$B$7/12)-$B$9,0)),0)</f>
        <v/>
      </c>
      <c r="D319" s="179">
        <f>D318+(MIN(D318,$B$15)*$B$6+MAX(D318-$B$15,0)*$B$16*$B$7/12)-$B$9-MAX((MIN(D318,$B$15)*$B$6+MAX(D318-$B$15,0)*$B$16*$B$7/12)-$B$9-IF(AND(D$309&gt;0,$B$8&gt;0),MIN(D$309*$B$17,$B$13*MAX((MIN(D318,$B$15)*$B$6+MAX(D318-$B$15,0)*$B$16*$B$7/12)-$B$9,0)),0),0)*$B$8-(1-D$310)*IF(AND(D$309&gt;0,$B$8&gt;0),MIN(D$309*$B$17,$B$13*MAX((MIN(D318,$B$15)*$B$6+MAX(D318-$B$15,0)*$B$16*$B$7/12)-$B$9,0)),0)</f>
        <v/>
      </c>
      <c r="E319" s="179">
        <f>E318+(MIN(E318,$B$15)*$B$6+MAX(E318-$B$15,0)*$B$16*$B$7/12)-$B$9-MAX((MIN(E318,$B$15)*$B$6+MAX(E318-$B$15,0)*$B$16*$B$7/12)-$B$9-IF(AND(E$309&gt;0,$B$8&gt;0),MIN(E$309*$B$17,$B$13*MAX((MIN(E318,$B$15)*$B$6+MAX(E318-$B$15,0)*$B$16*$B$7/12)-$B$9,0)),0),0)*$B$8-(1-E$310)*IF(AND(E$309&gt;0,$B$8&gt;0),MIN(E$309*$B$17,$B$13*MAX((MIN(E318,$B$15)*$B$6+MAX(E318-$B$15,0)*$B$16*$B$7/12)-$B$9,0)),0)</f>
        <v/>
      </c>
      <c r="F319" s="179">
        <f>F318+(MIN(F318,$B$15)*$B$6+MAX(F318-$B$15,0)*$B$16*$B$7/12)-$B$9-MAX((MIN(F318,$B$15)*$B$6+MAX(F318-$B$15,0)*$B$16*$B$7/12)-$B$9-IF(AND(F$309&gt;0,$B$8&gt;0),MIN(F$309*$B$17,$B$13*MAX((MIN(F318,$B$15)*$B$6+MAX(F318-$B$15,0)*$B$16*$B$7/12)-$B$9,0)),0),0)*$B$8-(1-F$310)*IF(AND(F$309&gt;0,$B$8&gt;0),MIN(F$309*$B$17,$B$13*MAX((MIN(F318,$B$15)*$B$6+MAX(F318-$B$15,0)*$B$16*$B$7/12)-$B$9,0)),0)</f>
        <v/>
      </c>
      <c r="G319" s="179">
        <f>G318+(MIN(G318,$B$15)*$B$6+MAX(G318-$B$15,0)*$B$16*$B$7/12)-$B$9-MAX((MIN(G318,$B$15)*$B$6+MAX(G318-$B$15,0)*$B$16*$B$7/12)-$B$9-IF(AND(G$309&gt;0,$B$8&gt;0),MIN(G$309*$B$17,$B$13*MAX((MIN(G318,$B$15)*$B$6+MAX(G318-$B$15,0)*$B$16*$B$7/12)-$B$9,0)),0),0)*$B$8-(1-G$310)*IF(AND(G$309&gt;0,$B$8&gt;0),MIN(G$309*$B$17,$B$13*MAX((MIN(G318,$B$15)*$B$6+MAX(G318-$B$15,0)*$B$16*$B$7/12)-$B$9,0)),0)</f>
        <v/>
      </c>
      <c r="H319" s="179">
        <f>H318+(MIN(H318,$B$15)*$B$6+MAX(H318-$B$15,0)*$B$16*$B$7/12)-$B$9-MAX((MIN(H318,$B$15)*$B$6+MAX(H318-$B$15,0)*$B$16*$B$7/12)-$B$9-IF(AND(H$309&gt;0,$B$8&gt;0),MIN(H$309*$B$17,$B$13*MAX((MIN(H318,$B$15)*$B$6+MAX(H318-$B$15,0)*$B$16*$B$7/12)-$B$9,0)),0),0)*$B$8-(1-H$310)*IF(AND(H$309&gt;0,$B$8&gt;0),MIN(H$309*$B$17,$B$13*MAX((MIN(H318,$B$15)*$B$6+MAX(H318-$B$15,0)*$B$16*$B$7/12)-$B$9,0)),0)</f>
        <v/>
      </c>
      <c r="I319" s="179">
        <f>I318+(MIN(I318,$B$15)*$B$6+MAX(I318-$B$15,0)*$B$16*$B$7/12)-$B$9-MAX((MIN(I318,$B$15)*$B$6+MAX(I318-$B$15,0)*$B$16*$B$7/12)-$B$9-IF(AND(I$309&gt;0,$B$8&gt;0),MIN(I$309*$B$17,$B$13*MAX((MIN(I318,$B$15)*$B$6+MAX(I318-$B$15,0)*$B$16*$B$7/12)-$B$9,0)),0),0)*$B$8-(1-I$310)*IF(AND(I$309&gt;0,$B$8&gt;0),MIN(I$309*$B$17,$B$13*MAX((MIN(I318,$B$15)*$B$6+MAX(I318-$B$15,0)*$B$16*$B$7/12)-$B$9,0)),0)</f>
        <v/>
      </c>
      <c r="J319" s="179">
        <f>J318+(MIN(J318,$B$15)*$B$6+MAX(J318-$B$15,0)*$B$16*$B$7/12)-$B$9-MAX((MIN(J318,$B$15)*$B$6+MAX(J318-$B$15,0)*$B$16*$B$7/12)-$B$9-IF(AND(J$309&gt;0,$B$8&gt;0),MIN(J$309*$B$17,$B$13*MAX((MIN(J318,$B$15)*$B$6+MAX(J318-$B$15,0)*$B$16*$B$7/12)-$B$9,0)),0),0)*$B$8-(1-J$310)*IF(AND(J$309&gt;0,$B$8&gt;0),MIN(J$309*$B$17,$B$13*MAX((MIN(J318,$B$15)*$B$6+MAX(J318-$B$15,0)*$B$16*$B$7/12)-$B$9,0)),0)</f>
        <v/>
      </c>
      <c r="K319" s="179">
        <f>K318+(MIN(K318,$B$15)*$B$6+MAX(K318-$B$15,0)*$B$16*$B$7/12)-$B$9-MAX((MIN(K318,$B$15)*$B$6+MAX(K318-$B$15,0)*$B$16*$B$7/12)-$B$9-IF(AND(K$309&gt;0,$B$8&gt;0),MIN(K$309*$B$17,$B$13*MAX((MIN(K318,$B$15)*$B$6+MAX(K318-$B$15,0)*$B$16*$B$7/12)-$B$9,0)),0),0)*$B$8-(1-K$310)*IF(AND(K$309&gt;0,$B$8&gt;0),MIN(K$309*$B$17,$B$13*MAX((MIN(K318,$B$15)*$B$6+MAX(K318-$B$15,0)*$B$16*$B$7/12)-$B$9,0)),0)</f>
        <v/>
      </c>
      <c r="L319" s="179">
        <f>L318+(MIN(L318,$B$15)*$B$6+MAX(L318-$B$15,0)*$B$16*$B$7/12)-$B$9-MAX((MIN(L318,$B$15)*$B$6+MAX(L318-$B$15,0)*$B$16*$B$7/12)-$B$9-IF(AND(L$309&gt;0,$B$8&gt;0),MIN(L$309*$B$17,$B$13*MAX((MIN(L318,$B$15)*$B$6+MAX(L318-$B$15,0)*$B$16*$B$7/12)-$B$9,0)),0),0)*$B$8-(1-L$310)*IF(AND(L$309&gt;0,$B$8&gt;0),MIN(L$309*$B$17,$B$13*MAX((MIN(L318,$B$15)*$B$6+MAX(L318-$B$15,0)*$B$16*$B$7/12)-$B$9,0)),0)</f>
        <v/>
      </c>
      <c r="M319" s="179">
        <f>M318+(MIN(M318,$B$15)*$B$6+MAX(M318-$B$15,0)*$B$16*$B$7/12)-$B$9-MAX((MIN(M318,$B$15)*$B$6+MAX(M318-$B$15,0)*$B$16*$B$7/12)-$B$9-IF(AND(M$309&gt;0,$B$8&gt;0),MIN(M$309*$B$17,$B$13*MAX((MIN(M318,$B$15)*$B$6+MAX(M318-$B$15,0)*$B$16*$B$7/12)-$B$9,0)),0),0)*$B$8-(1-M$310)*IF(AND(M$309&gt;0,$B$8&gt;0),MIN(M$309*$B$17,$B$13*MAX((MIN(M318,$B$15)*$B$6+MAX(M318-$B$15,0)*$B$16*$B$7/12)-$B$9,0)),0)</f>
        <v/>
      </c>
      <c r="N319" s="179">
        <f>N318+(MIN(N318,$B$15)*$B$6+MAX(N318-$B$15,0)*$B$16*$B$7/12)-$B$9-MAX((MIN(N318,$B$15)*$B$6+MAX(N318-$B$15,0)*$B$16*$B$7/12)-$B$9-IF(AND(N$309&gt;0,$B$8&gt;0),MIN(N$309*$B$17,$B$13*MAX((MIN(N318,$B$15)*$B$6+MAX(N318-$B$15,0)*$B$16*$B$7/12)-$B$9,0)),0),0)*$B$8-(1-N$310)*IF(AND(N$309&gt;0,$B$8&gt;0),MIN(N$309*$B$17,$B$13*MAX((MIN(N318,$B$15)*$B$6+MAX(N318-$B$15,0)*$B$16*$B$7/12)-$B$9,0)),0)</f>
        <v/>
      </c>
      <c r="O319" s="179">
        <f>O318+(MIN(O318,$B$15)*$B$6+MAX(O318-$B$15,0)*$B$16*$B$7/12)-$B$9-MAX((MIN(O318,$B$15)*$B$6+MAX(O318-$B$15,0)*$B$16*$B$7/12)-$B$9-IF(AND(O$309&gt;0,$B$8&gt;0),MIN(O$309*$B$17,$B$13*MAX((MIN(O318,$B$15)*$B$6+MAX(O318-$B$15,0)*$B$16*$B$7/12)-$B$9,0)),0),0)*$B$8-(1-O$310)*IF(AND(O$309&gt;0,$B$8&gt;0),MIN(O$309*$B$17,$B$13*MAX((MIN(O318,$B$15)*$B$6+MAX(O318-$B$15,0)*$B$16*$B$7/12)-$B$9,0)),0)</f>
        <v/>
      </c>
      <c r="P319" s="179">
        <f>P318+(MIN(P318,$B$15)*$B$6+MAX(P318-$B$15,0)*$B$16*$B$7/12)-$B$9-MAX((MIN(P318,$B$15)*$B$6+MAX(P318-$B$15,0)*$B$16*$B$7/12)-$B$9-IF(AND(P$309&gt;0,$B$8&gt;0),MIN(P$309*$B$17,$B$13*MAX((MIN(P318,$B$15)*$B$6+MAX(P318-$B$15,0)*$B$16*$B$7/12)-$B$9,0)),0),0)*$B$8-(1-P$310)*IF(AND(P$309&gt;0,$B$8&gt;0),MIN(P$309*$B$17,$B$13*MAX((MIN(P318,$B$15)*$B$6+MAX(P318-$B$15,0)*$B$16*$B$7/12)-$B$9,0)),0)</f>
        <v/>
      </c>
      <c r="Q319" s="179">
        <f>Q318+(MIN(Q318,$B$15)*$B$6+MAX(Q318-$B$15,0)*$B$16*$B$7/12)-$B$9-MAX((MIN(Q318,$B$15)*$B$6+MAX(Q318-$B$15,0)*$B$16*$B$7/12)-$B$9-IF(AND(Q$309&gt;0,$B$8&gt;0),MIN(Q$309*$B$17,$B$13*MAX((MIN(Q318,$B$15)*$B$6+MAX(Q318-$B$15,0)*$B$16*$B$7/12)-$B$9,0)),0),0)*$B$8-(1-Q$310)*IF(AND(Q$309&gt;0,$B$8&gt;0),MIN(Q$309*$B$17,$B$13*MAX((MIN(Q318,$B$15)*$B$6+MAX(Q318-$B$15,0)*$B$16*$B$7/12)-$B$9,0)),0)</f>
        <v/>
      </c>
      <c r="R319" s="179">
        <f>R318+(MIN(R318,$B$15)*$B$6+MAX(R318-$B$15,0)*$B$16*$B$7/12)-$B$9-MAX((MIN(R318,$B$15)*$B$6+MAX(R318-$B$15,0)*$B$16*$B$7/12)-$B$9-IF(AND(R$309&gt;0,$B$8&gt;0),MIN(R$309*$B$17,$B$13*MAX((MIN(R318,$B$15)*$B$6+MAX(R318-$B$15,0)*$B$16*$B$7/12)-$B$9,0)),0),0)*$B$8-(1-R$310)*IF(AND(R$309&gt;0,$B$8&gt;0),MIN(R$309*$B$17,$B$13*MAX((MIN(R318,$B$15)*$B$6+MAX(R318-$B$15,0)*$B$16*$B$7/12)-$B$9,0)),0)</f>
        <v/>
      </c>
      <c r="S319" s="179">
        <f>S318+(MIN(S318,$B$15)*$B$6+MAX(S318-$B$15,0)*$B$16*$B$7/12)-$B$9-MAX((MIN(S318,$B$15)*$B$6+MAX(S318-$B$15,0)*$B$16*$B$7/12)-$B$9-IF(AND(S$309&gt;0,$B$8&gt;0),MIN(S$309*$B$17,$B$13*MAX((MIN(S318,$B$15)*$B$6+MAX(S318-$B$15,0)*$B$16*$B$7/12)-$B$9,0)),0),0)*$B$8-(1-S$310)*IF(AND(S$309&gt;0,$B$8&gt;0),MIN(S$309*$B$17,$B$13*MAX((MIN(S318,$B$15)*$B$6+MAX(S318-$B$15,0)*$B$16*$B$7/12)-$B$9,0)),0)</f>
        <v/>
      </c>
      <c r="T319" s="179">
        <f>T318+(MIN(T318,$B$15)*$B$6+MAX(T318-$B$15,0)*$B$16*$B$7/12)-$B$9-MAX((MIN(T318,$B$15)*$B$6+MAX(T318-$B$15,0)*$B$16*$B$7/12)-$B$9-IF(AND(T$309&gt;0,$B$8&gt;0),MIN(T$309*$B$17,$B$13*MAX((MIN(T318,$B$15)*$B$6+MAX(T318-$B$15,0)*$B$16*$B$7/12)-$B$9,0)),0),0)*$B$8-(1-T$310)*IF(AND(T$309&gt;0,$B$8&gt;0),MIN(T$309*$B$17,$B$13*MAX((MIN(T318,$B$15)*$B$6+MAX(T318-$B$15,0)*$B$16*$B$7/12)-$B$9,0)),0)</f>
        <v/>
      </c>
      <c r="U319" s="179">
        <f>U318+(MIN(U318,$B$15)*$B$6+MAX(U318-$B$15,0)*$B$16*$B$7/12)-$B$9-MAX((MIN(U318,$B$15)*$B$6+MAX(U318-$B$15,0)*$B$16*$B$7/12)-$B$9-IF(AND(U$309&gt;0,$B$8&gt;0),MIN(U$309*$B$17,$B$13*MAX((MIN(U318,$B$15)*$B$6+MAX(U318-$B$15,0)*$B$16*$B$7/12)-$B$9,0)),0),0)*$B$8-(1-U$310)*IF(AND(U$309&gt;0,$B$8&gt;0),MIN(U$309*$B$17,$B$13*MAX((MIN(U318,$B$15)*$B$6+MAX(U318-$B$15,0)*$B$16*$B$7/12)-$B$9,0)),0)</f>
        <v/>
      </c>
      <c r="V319" s="179">
        <f>V318+(MIN(V318,$B$15)*$B$6+MAX(V318-$B$15,0)*$B$16*$B$7/12)-$B$9-MAX((MIN(V318,$B$15)*$B$6+MAX(V318-$B$15,0)*$B$16*$B$7/12)-$B$9-IF(AND(V$309&gt;0,$B$8&gt;0),MIN(V$309*$B$17,$B$13*MAX((MIN(V318,$B$15)*$B$6+MAX(V318-$B$15,0)*$B$16*$B$7/12)-$B$9,0)),0),0)*$B$8-(1-V$310)*IF(AND(V$309&gt;0,$B$8&gt;0),MIN(V$309*$B$17,$B$13*MAX((MIN(V318,$B$15)*$B$6+MAX(V318-$B$15,0)*$B$16*$B$7/12)-$B$9,0)),0)</f>
        <v/>
      </c>
      <c r="W319" s="179">
        <f>W318+(MIN(W318,$B$15)*$B$6+MAX(W318-$B$15,0)*$B$16*$B$7/12)-$B$9-MAX((MIN(W318,$B$15)*$B$6+MAX(W318-$B$15,0)*$B$16*$B$7/12)-$B$9-IF(AND(W$309&gt;0,$B$8&gt;0),MIN(W$309*$B$17,$B$13*MAX((MIN(W318,$B$15)*$B$6+MAX(W318-$B$15,0)*$B$16*$B$7/12)-$B$9,0)),0),0)*$B$8-(1-W$310)*IF(AND(W$309&gt;0,$B$8&gt;0),MIN(W$309*$B$17,$B$13*MAX((MIN(W318,$B$15)*$B$6+MAX(W318-$B$15,0)*$B$16*$B$7/12)-$B$9,0)),0)</f>
        <v/>
      </c>
      <c r="X319" s="179">
        <f>X318+(MIN(X318,$B$15)*$B$6+MAX(X318-$B$15,0)*$B$16*$B$7/12)-$B$9-MAX((MIN(X318,$B$15)*$B$6+MAX(X318-$B$15,0)*$B$16*$B$7/12)-$B$9-IF(AND(X$309&gt;0,$B$8&gt;0),MIN(X$309*$B$17,$B$13*MAX((MIN(X318,$B$15)*$B$6+MAX(X318-$B$15,0)*$B$16*$B$7/12)-$B$9,0)),0),0)*$B$8-(1-X$310)*IF(AND(X$309&gt;0,$B$8&gt;0),MIN(X$309*$B$17,$B$13*MAX((MIN(X318,$B$15)*$B$6+MAX(X318-$B$15,0)*$B$16*$B$7/12)-$B$9,0)),0)</f>
        <v/>
      </c>
      <c r="Y319" s="179">
        <f>Y318+(MIN(Y318,$B$15)*$B$6+MAX(Y318-$B$15,0)*$B$16*$B$7/12)-$B$9-MAX((MIN(Y318,$B$15)*$B$6+MAX(Y318-$B$15,0)*$B$16*$B$7/12)-$B$9-IF(AND(Y$309&gt;0,$B$8&gt;0),MIN(Y$309*$B$17,$B$13*MAX((MIN(Y318,$B$15)*$B$6+MAX(Y318-$B$15,0)*$B$16*$B$7/12)-$B$9,0)),0),0)*$B$8-(1-Y$310)*IF(AND(Y$309&gt;0,$B$8&gt;0),MIN(Y$309*$B$17,$B$13*MAX((MIN(Y318,$B$15)*$B$6+MAX(Y318-$B$15,0)*$B$16*$B$7/12)-$B$9,0)),0)</f>
        <v/>
      </c>
      <c r="Z319" s="179">
        <f>Z318+(MIN(Z318,$B$15)*$B$6+MAX(Z318-$B$15,0)*$B$16*$B$7/12)-$B$9-MAX((MIN(Z318,$B$15)*$B$6+MAX(Z318-$B$15,0)*$B$16*$B$7/12)-$B$9-IF(AND(Z$309&gt;0,$B$8&gt;0),MIN(Z$309*$B$17,$B$13*MAX((MIN(Z318,$B$15)*$B$6+MAX(Z318-$B$15,0)*$B$16*$B$7/12)-$B$9,0)),0),0)*$B$8-(1-Z$310)*IF(AND(Z$309&gt;0,$B$8&gt;0),MIN(Z$309*$B$17,$B$13*MAX((MIN(Z318,$B$15)*$B$6+MAX(Z318-$B$15,0)*$B$16*$B$7/12)-$B$9,0)),0)</f>
        <v/>
      </c>
      <c r="AA319" s="179">
        <f>AA318+(MIN(AA318,$B$15)*$B$6+MAX(AA318-$B$15,0)*$B$16*$B$7/12)-$B$9-MAX((MIN(AA318,$B$15)*$B$6+MAX(AA318-$B$15,0)*$B$16*$B$7/12)-$B$9-IF(AND(AA$309&gt;0,$B$8&gt;0),MIN(AA$309*$B$17,$B$13*MAX((MIN(AA318,$B$15)*$B$6+MAX(AA318-$B$15,0)*$B$16*$B$7/12)-$B$9,0)),0),0)*$B$8-(1-AA$310)*IF(AND(AA$309&gt;0,$B$8&gt;0),MIN(AA$309*$B$17,$B$13*MAX((MIN(AA318,$B$15)*$B$6+MAX(AA318-$B$15,0)*$B$16*$B$7/12)-$B$9,0)),0)</f>
        <v/>
      </c>
      <c r="AB319" s="179">
        <f>AB318+(MIN(AB318,$B$15)*$B$6+MAX(AB318-$B$15,0)*$B$16*$B$7/12)-$B$9-MAX((MIN(AB318,$B$15)*$B$6+MAX(AB318-$B$15,0)*$B$16*$B$7/12)-$B$9-IF(AND(AB$309&gt;0,$B$8&gt;0),MIN(AB$309*$B$17,$B$13*MAX((MIN(AB318,$B$15)*$B$6+MAX(AB318-$B$15,0)*$B$16*$B$7/12)-$B$9,0)),0),0)*$B$8-(1-AB$310)*IF(AND(AB$309&gt;0,$B$8&gt;0),MIN(AB$309*$B$17,$B$13*MAX((MIN(AB318,$B$15)*$B$6+MAX(AB318-$B$15,0)*$B$16*$B$7/12)-$B$9,0)),0)</f>
        <v/>
      </c>
      <c r="AC319" s="179">
        <f>AC318+(MIN(AC318,$B$15)*$B$6+MAX(AC318-$B$15,0)*$B$16*$B$7/12)-$B$9-MAX((MIN(AC318,$B$15)*$B$6+MAX(AC318-$B$15,0)*$B$16*$B$7/12)-$B$9-IF(AND(AC$309&gt;0,$B$8&gt;0),MIN(AC$309*$B$17,$B$13*MAX((MIN(AC318,$B$15)*$B$6+MAX(AC318-$B$15,0)*$B$16*$B$7/12)-$B$9,0)),0),0)*$B$8-(1-AC$310)*IF(AND(AC$309&gt;0,$B$8&gt;0),MIN(AC$309*$B$17,$B$13*MAX((MIN(AC318,$B$15)*$B$6+MAX(AC318-$B$15,0)*$B$16*$B$7/12)-$B$9,0)),0)</f>
        <v/>
      </c>
      <c r="AD319" s="179">
        <f>AD318+(MIN(AD318,$B$15)*$B$6+MAX(AD318-$B$15,0)*$B$16*$B$7/12)-$B$9-MAX((MIN(AD318,$B$15)*$B$6+MAX(AD318-$B$15,0)*$B$16*$B$7/12)-$B$9-IF(AND(AD$309&gt;0,$B$8&gt;0),MIN(AD$309*$B$17,$B$13*MAX((MIN(AD318,$B$15)*$B$6+MAX(AD318-$B$15,0)*$B$16*$B$7/12)-$B$9,0)),0),0)*$B$8-(1-AD$310)*IF(AND(AD$309&gt;0,$B$8&gt;0),MIN(AD$309*$B$17,$B$13*MAX((MIN(AD318,$B$15)*$B$6+MAX(AD318-$B$15,0)*$B$16*$B$7/12)-$B$9,0)),0)</f>
        <v/>
      </c>
      <c r="AE319" s="179">
        <f>AE318+(MIN(AE318,$B$15)*$B$6+MAX(AE318-$B$15,0)*$B$16*$B$7/12)-$B$9-MAX((MIN(AE318,$B$15)*$B$6+MAX(AE318-$B$15,0)*$B$16*$B$7/12)-$B$9-IF(AND(AE$309&gt;0,$B$8&gt;0),MIN(AE$309*$B$17,$B$13*MAX((MIN(AE318,$B$15)*$B$6+MAX(AE318-$B$15,0)*$B$16*$B$7/12)-$B$9,0)),0),0)*$B$8-(1-AE$310)*IF(AND(AE$309&gt;0,$B$8&gt;0),MIN(AE$309*$B$17,$B$13*MAX((MIN(AE318,$B$15)*$B$6+MAX(AE318-$B$15,0)*$B$16*$B$7/12)-$B$9,0)),0)</f>
        <v/>
      </c>
      <c r="AF319" s="179">
        <f>AF318+(MIN(AF318,$B$15)*$B$6+MAX(AF318-$B$15,0)*$B$16*$B$7/12)-$B$9-MAX((MIN(AF318,$B$15)*$B$6+MAX(AF318-$B$15,0)*$B$16*$B$7/12)-$B$9-IF(AND(AF$309&gt;0,$B$8&gt;0),MIN(AF$309*$B$17,$B$13*MAX((MIN(AF318,$B$15)*$B$6+MAX(AF318-$B$15,0)*$B$16*$B$7/12)-$B$9,0)),0),0)*$B$8-(1-AF$310)*IF(AND(AF$309&gt;0,$B$8&gt;0),MIN(AF$309*$B$17,$B$13*MAX((MIN(AF318,$B$15)*$B$6+MAX(AF318-$B$15,0)*$B$16*$B$7/12)-$B$9,0)),0)</f>
        <v/>
      </c>
      <c r="AG319" s="179">
        <f>AG318+(MIN(AG318,$B$15)*$B$6+MAX(AG318-$B$15,0)*$B$16*$B$7/12)-$B$9-MAX((MIN(AG318,$B$15)*$B$6+MAX(AG318-$B$15,0)*$B$16*$B$7/12)-$B$9-IF(AND(AG$309&gt;0,$B$8&gt;0),MIN(AG$309*$B$17,$B$13*MAX((MIN(AG318,$B$15)*$B$6+MAX(AG318-$B$15,0)*$B$16*$B$7/12)-$B$9,0)),0),0)*$B$8-(1-AG$310)*IF(AND(AG$309&gt;0,$B$8&gt;0),MIN(AG$309*$B$17,$B$13*MAX((MIN(AG318,$B$15)*$B$6+MAX(AG318-$B$15,0)*$B$16*$B$7/12)-$B$9,0)),0)</f>
        <v/>
      </c>
      <c r="AH319" s="179">
        <f>AH318+(MIN(AH318,$B$15)*$B$6+MAX(AH318-$B$15,0)*$B$16*$B$7/12)-$B$9-MAX((MIN(AH318,$B$15)*$B$6+MAX(AH318-$B$15,0)*$B$16*$B$7/12)-$B$9-IF(AND(AH$309&gt;0,$B$8&gt;0),MIN(AH$309*$B$17,$B$13*MAX((MIN(AH318,$B$15)*$B$6+MAX(AH318-$B$15,0)*$B$16*$B$7/12)-$B$9,0)),0),0)*$B$8-(1-AH$310)*IF(AND(AH$309&gt;0,$B$8&gt;0),MIN(AH$309*$B$17,$B$13*MAX((MIN(AH318,$B$15)*$B$6+MAX(AH318-$B$15,0)*$B$16*$B$7/12)-$B$9,0)),0)</f>
        <v/>
      </c>
      <c r="AI319" s="179">
        <f>AI318+(MIN(AI318,$B$15)*$B$6+MAX(AI318-$B$15,0)*$B$16*$B$7/12)-$B$9-MAX((MIN(AI318,$B$15)*$B$6+MAX(AI318-$B$15,0)*$B$16*$B$7/12)-$B$9-IF(AND(AI$309&gt;0,$B$8&gt;0),MIN(AI$309*$B$17,$B$13*MAX((MIN(AI318,$B$15)*$B$6+MAX(AI318-$B$15,0)*$B$16*$B$7/12)-$B$9,0)),0),0)*$B$8-(1-AI$310)*IF(AND(AI$309&gt;0,$B$8&gt;0),MIN(AI$309*$B$17,$B$13*MAX((MIN(AI318,$B$15)*$B$6+MAX(AI318-$B$15,0)*$B$16*$B$7/12)-$B$9,0)),0)</f>
        <v/>
      </c>
      <c r="AJ319" s="179">
        <f>AJ318+(MIN(AJ318,$B$15)*$B$6+MAX(AJ318-$B$15,0)*$B$16*$B$7/12)-$B$9-MAX((MIN(AJ318,$B$15)*$B$6+MAX(AJ318-$B$15,0)*$B$16*$B$7/12)-$B$9-IF(AND(AJ$309&gt;0,$B$8&gt;0),MIN(AJ$309*$B$17,$B$13*MAX((MIN(AJ318,$B$15)*$B$6+MAX(AJ318-$B$15,0)*$B$16*$B$7/12)-$B$9,0)),0),0)*$B$8-(1-AJ$310)*IF(AND(AJ$309&gt;0,$B$8&gt;0),MIN(AJ$309*$B$17,$B$13*MAX((MIN(AJ318,$B$15)*$B$6+MAX(AJ318-$B$15,0)*$B$16*$B$7/12)-$B$9,0)),0)</f>
        <v/>
      </c>
      <c r="AK319" s="179">
        <f>AK318+(MIN(AK318,$B$15)*$B$6+MAX(AK318-$B$15,0)*$B$16*$B$7/12)-$B$9-MAX((MIN(AK318,$B$15)*$B$6+MAX(AK318-$B$15,0)*$B$16*$B$7/12)-$B$9-IF(AND(AK$309&gt;0,$B$8&gt;0),MIN(AK$309*$B$17,$B$13*MAX((MIN(AK318,$B$15)*$B$6+MAX(AK318-$B$15,0)*$B$16*$B$7/12)-$B$9,0)),0),0)*$B$8-(1-AK$310)*IF(AND(AK$309&gt;0,$B$8&gt;0),MIN(AK$309*$B$17,$B$13*MAX((MIN(AK318,$B$15)*$B$6+MAX(AK318-$B$15,0)*$B$16*$B$7/12)-$B$9,0)),0)</f>
        <v/>
      </c>
      <c r="AL319" s="179">
        <f>AL318+(MIN(AL318,$B$15)*$B$6+MAX(AL318-$B$15,0)*$B$16*$B$7/12)-$B$9-MAX((MIN(AL318,$B$15)*$B$6+MAX(AL318-$B$15,0)*$B$16*$B$7/12)-$B$9-IF(AND(AL$309&gt;0,$B$8&gt;0),MIN(AL$309*$B$17,$B$13*MAX((MIN(AL318,$B$15)*$B$6+MAX(AL318-$B$15,0)*$B$16*$B$7/12)-$B$9,0)),0),0)*$B$8-(1-AL$310)*IF(AND(AL$309&gt;0,$B$8&gt;0),MIN(AL$309*$B$17,$B$13*MAX((MIN(AL318,$B$15)*$B$6+MAX(AL318-$B$15,0)*$B$16*$B$7/12)-$B$9,0)),0)</f>
        <v/>
      </c>
      <c r="AM319" s="179">
        <f>AM318+(MIN(AM318,$B$15)*$B$6+MAX(AM318-$B$15,0)*$B$16*$B$7/12)-$B$9-MAX((MIN(AM318,$B$15)*$B$6+MAX(AM318-$B$15,0)*$B$16*$B$7/12)-$B$9-IF(AND(AM$309&gt;0,$B$8&gt;0),MIN(AM$309*$B$17,$B$13*MAX((MIN(AM318,$B$15)*$B$6+MAX(AM318-$B$15,0)*$B$16*$B$7/12)-$B$9,0)),0),0)*$B$8-(1-AM$310)*IF(AND(AM$309&gt;0,$B$8&gt;0),MIN(AM$309*$B$17,$B$13*MAX((MIN(AM318,$B$15)*$B$6+MAX(AM318-$B$15,0)*$B$16*$B$7/12)-$B$9,0)),0)</f>
        <v/>
      </c>
      <c r="AN319" s="179">
        <f>AN318+(MIN(AN318,$B$15)*$B$6+MAX(AN318-$B$15,0)*$B$16*$B$7/12)-$B$9-MAX((MIN(AN318,$B$15)*$B$6+MAX(AN318-$B$15,0)*$B$16*$B$7/12)-$B$9-IF(AND(AN$309&gt;0,$B$8&gt;0),MIN(AN$309*$B$17,$B$13*MAX((MIN(AN318,$B$15)*$B$6+MAX(AN318-$B$15,0)*$B$16*$B$7/12)-$B$9,0)),0),0)*$B$8-(1-AN$310)*IF(AND(AN$309&gt;0,$B$8&gt;0),MIN(AN$309*$B$17,$B$13*MAX((MIN(AN318,$B$15)*$B$6+MAX(AN318-$B$15,0)*$B$16*$B$7/12)-$B$9,0)),0)</f>
        <v/>
      </c>
      <c r="AO319" s="179">
        <f>AO318+(MIN(AO318,$B$15)*$B$6+MAX(AO318-$B$15,0)*$B$16*$B$7/12)-$B$9-MAX((MIN(AO318,$B$15)*$B$6+MAX(AO318-$B$15,0)*$B$16*$B$7/12)-$B$9-IF(AND(AO$309&gt;0,$B$8&gt;0),MIN(AO$309*$B$17,$B$13*MAX((MIN(AO318,$B$15)*$B$6+MAX(AO318-$B$15,0)*$B$16*$B$7/12)-$B$9,0)),0),0)*$B$8-(1-AO$310)*IF(AND(AO$309&gt;0,$B$8&gt;0),MIN(AO$309*$B$17,$B$13*MAX((MIN(AO318,$B$15)*$B$6+MAX(AO318-$B$15,0)*$B$16*$B$7/12)-$B$9,0)),0)</f>
        <v/>
      </c>
      <c r="AP319" s="179">
        <f>AP318+(MIN(AP318,$B$15)*$B$6+MAX(AP318-$B$15,0)*$B$16*$B$7/12)-$B$9-MAX((MIN(AP318,$B$15)*$B$6+MAX(AP318-$B$15,0)*$B$16*$B$7/12)-$B$9-IF(AND(AP$309&gt;0,$B$8&gt;0),MIN(AP$309*$B$17,$B$13*MAX((MIN(AP318,$B$15)*$B$6+MAX(AP318-$B$15,0)*$B$16*$B$7/12)-$B$9,0)),0),0)*$B$8-(1-AP$310)*IF(AND(AP$309&gt;0,$B$8&gt;0),MIN(AP$309*$B$17,$B$13*MAX((MIN(AP318,$B$15)*$B$6+MAX(AP318-$B$15,0)*$B$16*$B$7/12)-$B$9,0)),0)</f>
        <v/>
      </c>
      <c r="AQ319" s="179">
        <f>AQ318+(MIN(AQ318,$B$15)*$B$6+MAX(AQ318-$B$15,0)*$B$16*$B$7/12)-$B$9-MAX((MIN(AQ318,$B$15)*$B$6+MAX(AQ318-$B$15,0)*$B$16*$B$7/12)-$B$9-IF(AND(AQ$309&gt;0,$B$8&gt;0),MIN(AQ$309*$B$17,$B$13*MAX((MIN(AQ318,$B$15)*$B$6+MAX(AQ318-$B$15,0)*$B$16*$B$7/12)-$B$9,0)),0),0)*$B$8-(1-AQ$310)*IF(AND(AQ$309&gt;0,$B$8&gt;0),MIN(AQ$309*$B$17,$B$13*MAX((MIN(AQ318,$B$15)*$B$6+MAX(AQ318-$B$15,0)*$B$16*$B$7/12)-$B$9,0)),0)</f>
        <v/>
      </c>
    </row>
    <row r="320" hidden="1" outlineLevel="1">
      <c r="A320" s="164" t="inlineStr">
        <is>
          <t>Cycle 10</t>
        </is>
      </c>
      <c r="B320" s="179">
        <f>B319+(MIN(B319,$B$15)*$B$6+MAX(B319-$B$15,0)*$B$16*$B$7/12)-$B$9-MAX((MIN(B319,$B$15)*$B$6+MAX(B319-$B$15,0)*$B$16*$B$7/12)-$B$9-IF(AND(B$309&gt;0,$B$8&gt;0),MIN(B$309*$B$17,$B$13*MAX((MIN(B319,$B$15)*$B$6+MAX(B319-$B$15,0)*$B$16*$B$7/12)-$B$9,0)),0),0)*$B$8-(1-B$310)*IF(AND(B$309&gt;0,$B$8&gt;0),MIN(B$309*$B$17,$B$13*MAX((MIN(B319,$B$15)*$B$6+MAX(B319-$B$15,0)*$B$16*$B$7/12)-$B$9,0)),0)</f>
        <v/>
      </c>
      <c r="C320" s="179">
        <f>C319+(MIN(C319,$B$15)*$B$6+MAX(C319-$B$15,0)*$B$16*$B$7/12)-$B$9-MAX((MIN(C319,$B$15)*$B$6+MAX(C319-$B$15,0)*$B$16*$B$7/12)-$B$9-IF(AND(C$309&gt;0,$B$8&gt;0),MIN(C$309*$B$17,$B$13*MAX((MIN(C319,$B$15)*$B$6+MAX(C319-$B$15,0)*$B$16*$B$7/12)-$B$9,0)),0),0)*$B$8-(1-C$310)*IF(AND(C$309&gt;0,$B$8&gt;0),MIN(C$309*$B$17,$B$13*MAX((MIN(C319,$B$15)*$B$6+MAX(C319-$B$15,0)*$B$16*$B$7/12)-$B$9,0)),0)</f>
        <v/>
      </c>
      <c r="D320" s="179">
        <f>D319+(MIN(D319,$B$15)*$B$6+MAX(D319-$B$15,0)*$B$16*$B$7/12)-$B$9-MAX((MIN(D319,$B$15)*$B$6+MAX(D319-$B$15,0)*$B$16*$B$7/12)-$B$9-IF(AND(D$309&gt;0,$B$8&gt;0),MIN(D$309*$B$17,$B$13*MAX((MIN(D319,$B$15)*$B$6+MAX(D319-$B$15,0)*$B$16*$B$7/12)-$B$9,0)),0),0)*$B$8-(1-D$310)*IF(AND(D$309&gt;0,$B$8&gt;0),MIN(D$309*$B$17,$B$13*MAX((MIN(D319,$B$15)*$B$6+MAX(D319-$B$15,0)*$B$16*$B$7/12)-$B$9,0)),0)</f>
        <v/>
      </c>
      <c r="E320" s="179">
        <f>E319+(MIN(E319,$B$15)*$B$6+MAX(E319-$B$15,0)*$B$16*$B$7/12)-$B$9-MAX((MIN(E319,$B$15)*$B$6+MAX(E319-$B$15,0)*$B$16*$B$7/12)-$B$9-IF(AND(E$309&gt;0,$B$8&gt;0),MIN(E$309*$B$17,$B$13*MAX((MIN(E319,$B$15)*$B$6+MAX(E319-$B$15,0)*$B$16*$B$7/12)-$B$9,0)),0),0)*$B$8-(1-E$310)*IF(AND(E$309&gt;0,$B$8&gt;0),MIN(E$309*$B$17,$B$13*MAX((MIN(E319,$B$15)*$B$6+MAX(E319-$B$15,0)*$B$16*$B$7/12)-$B$9,0)),0)</f>
        <v/>
      </c>
      <c r="F320" s="179">
        <f>F319+(MIN(F319,$B$15)*$B$6+MAX(F319-$B$15,0)*$B$16*$B$7/12)-$B$9-MAX((MIN(F319,$B$15)*$B$6+MAX(F319-$B$15,0)*$B$16*$B$7/12)-$B$9-IF(AND(F$309&gt;0,$B$8&gt;0),MIN(F$309*$B$17,$B$13*MAX((MIN(F319,$B$15)*$B$6+MAX(F319-$B$15,0)*$B$16*$B$7/12)-$B$9,0)),0),0)*$B$8-(1-F$310)*IF(AND(F$309&gt;0,$B$8&gt;0),MIN(F$309*$B$17,$B$13*MAX((MIN(F319,$B$15)*$B$6+MAX(F319-$B$15,0)*$B$16*$B$7/12)-$B$9,0)),0)</f>
        <v/>
      </c>
      <c r="G320" s="179">
        <f>G319+(MIN(G319,$B$15)*$B$6+MAX(G319-$B$15,0)*$B$16*$B$7/12)-$B$9-MAX((MIN(G319,$B$15)*$B$6+MAX(G319-$B$15,0)*$B$16*$B$7/12)-$B$9-IF(AND(G$309&gt;0,$B$8&gt;0),MIN(G$309*$B$17,$B$13*MAX((MIN(G319,$B$15)*$B$6+MAX(G319-$B$15,0)*$B$16*$B$7/12)-$B$9,0)),0),0)*$B$8-(1-G$310)*IF(AND(G$309&gt;0,$B$8&gt;0),MIN(G$309*$B$17,$B$13*MAX((MIN(G319,$B$15)*$B$6+MAX(G319-$B$15,0)*$B$16*$B$7/12)-$B$9,0)),0)</f>
        <v/>
      </c>
      <c r="H320" s="179">
        <f>H319+(MIN(H319,$B$15)*$B$6+MAX(H319-$B$15,0)*$B$16*$B$7/12)-$B$9-MAX((MIN(H319,$B$15)*$B$6+MAX(H319-$B$15,0)*$B$16*$B$7/12)-$B$9-IF(AND(H$309&gt;0,$B$8&gt;0),MIN(H$309*$B$17,$B$13*MAX((MIN(H319,$B$15)*$B$6+MAX(H319-$B$15,0)*$B$16*$B$7/12)-$B$9,0)),0),0)*$B$8-(1-H$310)*IF(AND(H$309&gt;0,$B$8&gt;0),MIN(H$309*$B$17,$B$13*MAX((MIN(H319,$B$15)*$B$6+MAX(H319-$B$15,0)*$B$16*$B$7/12)-$B$9,0)),0)</f>
        <v/>
      </c>
      <c r="I320" s="179">
        <f>I319+(MIN(I319,$B$15)*$B$6+MAX(I319-$B$15,0)*$B$16*$B$7/12)-$B$9-MAX((MIN(I319,$B$15)*$B$6+MAX(I319-$B$15,0)*$B$16*$B$7/12)-$B$9-IF(AND(I$309&gt;0,$B$8&gt;0),MIN(I$309*$B$17,$B$13*MAX((MIN(I319,$B$15)*$B$6+MAX(I319-$B$15,0)*$B$16*$B$7/12)-$B$9,0)),0),0)*$B$8-(1-I$310)*IF(AND(I$309&gt;0,$B$8&gt;0),MIN(I$309*$B$17,$B$13*MAX((MIN(I319,$B$15)*$B$6+MAX(I319-$B$15,0)*$B$16*$B$7/12)-$B$9,0)),0)</f>
        <v/>
      </c>
      <c r="J320" s="179">
        <f>J319+(MIN(J319,$B$15)*$B$6+MAX(J319-$B$15,0)*$B$16*$B$7/12)-$B$9-MAX((MIN(J319,$B$15)*$B$6+MAX(J319-$B$15,0)*$B$16*$B$7/12)-$B$9-IF(AND(J$309&gt;0,$B$8&gt;0),MIN(J$309*$B$17,$B$13*MAX((MIN(J319,$B$15)*$B$6+MAX(J319-$B$15,0)*$B$16*$B$7/12)-$B$9,0)),0),0)*$B$8-(1-J$310)*IF(AND(J$309&gt;0,$B$8&gt;0),MIN(J$309*$B$17,$B$13*MAX((MIN(J319,$B$15)*$B$6+MAX(J319-$B$15,0)*$B$16*$B$7/12)-$B$9,0)),0)</f>
        <v/>
      </c>
      <c r="K320" s="179">
        <f>K319+(MIN(K319,$B$15)*$B$6+MAX(K319-$B$15,0)*$B$16*$B$7/12)-$B$9-MAX((MIN(K319,$B$15)*$B$6+MAX(K319-$B$15,0)*$B$16*$B$7/12)-$B$9-IF(AND(K$309&gt;0,$B$8&gt;0),MIN(K$309*$B$17,$B$13*MAX((MIN(K319,$B$15)*$B$6+MAX(K319-$B$15,0)*$B$16*$B$7/12)-$B$9,0)),0),0)*$B$8-(1-K$310)*IF(AND(K$309&gt;0,$B$8&gt;0),MIN(K$309*$B$17,$B$13*MAX((MIN(K319,$B$15)*$B$6+MAX(K319-$B$15,0)*$B$16*$B$7/12)-$B$9,0)),0)</f>
        <v/>
      </c>
      <c r="L320" s="179">
        <f>L319+(MIN(L319,$B$15)*$B$6+MAX(L319-$B$15,0)*$B$16*$B$7/12)-$B$9-MAX((MIN(L319,$B$15)*$B$6+MAX(L319-$B$15,0)*$B$16*$B$7/12)-$B$9-IF(AND(L$309&gt;0,$B$8&gt;0),MIN(L$309*$B$17,$B$13*MAX((MIN(L319,$B$15)*$B$6+MAX(L319-$B$15,0)*$B$16*$B$7/12)-$B$9,0)),0),0)*$B$8-(1-L$310)*IF(AND(L$309&gt;0,$B$8&gt;0),MIN(L$309*$B$17,$B$13*MAX((MIN(L319,$B$15)*$B$6+MAX(L319-$B$15,0)*$B$16*$B$7/12)-$B$9,0)),0)</f>
        <v/>
      </c>
      <c r="M320" s="179">
        <f>M319+(MIN(M319,$B$15)*$B$6+MAX(M319-$B$15,0)*$B$16*$B$7/12)-$B$9-MAX((MIN(M319,$B$15)*$B$6+MAX(M319-$B$15,0)*$B$16*$B$7/12)-$B$9-IF(AND(M$309&gt;0,$B$8&gt;0),MIN(M$309*$B$17,$B$13*MAX((MIN(M319,$B$15)*$B$6+MAX(M319-$B$15,0)*$B$16*$B$7/12)-$B$9,0)),0),0)*$B$8-(1-M$310)*IF(AND(M$309&gt;0,$B$8&gt;0),MIN(M$309*$B$17,$B$13*MAX((MIN(M319,$B$15)*$B$6+MAX(M319-$B$15,0)*$B$16*$B$7/12)-$B$9,0)),0)</f>
        <v/>
      </c>
      <c r="N320" s="179">
        <f>N319+(MIN(N319,$B$15)*$B$6+MAX(N319-$B$15,0)*$B$16*$B$7/12)-$B$9-MAX((MIN(N319,$B$15)*$B$6+MAX(N319-$B$15,0)*$B$16*$B$7/12)-$B$9-IF(AND(N$309&gt;0,$B$8&gt;0),MIN(N$309*$B$17,$B$13*MAX((MIN(N319,$B$15)*$B$6+MAX(N319-$B$15,0)*$B$16*$B$7/12)-$B$9,0)),0),0)*$B$8-(1-N$310)*IF(AND(N$309&gt;0,$B$8&gt;0),MIN(N$309*$B$17,$B$13*MAX((MIN(N319,$B$15)*$B$6+MAX(N319-$B$15,0)*$B$16*$B$7/12)-$B$9,0)),0)</f>
        <v/>
      </c>
      <c r="O320" s="179">
        <f>O319+(MIN(O319,$B$15)*$B$6+MAX(O319-$B$15,0)*$B$16*$B$7/12)-$B$9-MAX((MIN(O319,$B$15)*$B$6+MAX(O319-$B$15,0)*$B$16*$B$7/12)-$B$9-IF(AND(O$309&gt;0,$B$8&gt;0),MIN(O$309*$B$17,$B$13*MAX((MIN(O319,$B$15)*$B$6+MAX(O319-$B$15,0)*$B$16*$B$7/12)-$B$9,0)),0),0)*$B$8-(1-O$310)*IF(AND(O$309&gt;0,$B$8&gt;0),MIN(O$309*$B$17,$B$13*MAX((MIN(O319,$B$15)*$B$6+MAX(O319-$B$15,0)*$B$16*$B$7/12)-$B$9,0)),0)</f>
        <v/>
      </c>
      <c r="P320" s="179">
        <f>P319+(MIN(P319,$B$15)*$B$6+MAX(P319-$B$15,0)*$B$16*$B$7/12)-$B$9-MAX((MIN(P319,$B$15)*$B$6+MAX(P319-$B$15,0)*$B$16*$B$7/12)-$B$9-IF(AND(P$309&gt;0,$B$8&gt;0),MIN(P$309*$B$17,$B$13*MAX((MIN(P319,$B$15)*$B$6+MAX(P319-$B$15,0)*$B$16*$B$7/12)-$B$9,0)),0),0)*$B$8-(1-P$310)*IF(AND(P$309&gt;0,$B$8&gt;0),MIN(P$309*$B$17,$B$13*MAX((MIN(P319,$B$15)*$B$6+MAX(P319-$B$15,0)*$B$16*$B$7/12)-$B$9,0)),0)</f>
        <v/>
      </c>
      <c r="Q320" s="179">
        <f>Q319+(MIN(Q319,$B$15)*$B$6+MAX(Q319-$B$15,0)*$B$16*$B$7/12)-$B$9-MAX((MIN(Q319,$B$15)*$B$6+MAX(Q319-$B$15,0)*$B$16*$B$7/12)-$B$9-IF(AND(Q$309&gt;0,$B$8&gt;0),MIN(Q$309*$B$17,$B$13*MAX((MIN(Q319,$B$15)*$B$6+MAX(Q319-$B$15,0)*$B$16*$B$7/12)-$B$9,0)),0),0)*$B$8-(1-Q$310)*IF(AND(Q$309&gt;0,$B$8&gt;0),MIN(Q$309*$B$17,$B$13*MAX((MIN(Q319,$B$15)*$B$6+MAX(Q319-$B$15,0)*$B$16*$B$7/12)-$B$9,0)),0)</f>
        <v/>
      </c>
      <c r="R320" s="179">
        <f>R319+(MIN(R319,$B$15)*$B$6+MAX(R319-$B$15,0)*$B$16*$B$7/12)-$B$9-MAX((MIN(R319,$B$15)*$B$6+MAX(R319-$B$15,0)*$B$16*$B$7/12)-$B$9-IF(AND(R$309&gt;0,$B$8&gt;0),MIN(R$309*$B$17,$B$13*MAX((MIN(R319,$B$15)*$B$6+MAX(R319-$B$15,0)*$B$16*$B$7/12)-$B$9,0)),0),0)*$B$8-(1-R$310)*IF(AND(R$309&gt;0,$B$8&gt;0),MIN(R$309*$B$17,$B$13*MAX((MIN(R319,$B$15)*$B$6+MAX(R319-$B$15,0)*$B$16*$B$7/12)-$B$9,0)),0)</f>
        <v/>
      </c>
      <c r="S320" s="179">
        <f>S319+(MIN(S319,$B$15)*$B$6+MAX(S319-$B$15,0)*$B$16*$B$7/12)-$B$9-MAX((MIN(S319,$B$15)*$B$6+MAX(S319-$B$15,0)*$B$16*$B$7/12)-$B$9-IF(AND(S$309&gt;0,$B$8&gt;0),MIN(S$309*$B$17,$B$13*MAX((MIN(S319,$B$15)*$B$6+MAX(S319-$B$15,0)*$B$16*$B$7/12)-$B$9,0)),0),0)*$B$8-(1-S$310)*IF(AND(S$309&gt;0,$B$8&gt;0),MIN(S$309*$B$17,$B$13*MAX((MIN(S319,$B$15)*$B$6+MAX(S319-$B$15,0)*$B$16*$B$7/12)-$B$9,0)),0)</f>
        <v/>
      </c>
      <c r="T320" s="179">
        <f>T319+(MIN(T319,$B$15)*$B$6+MAX(T319-$B$15,0)*$B$16*$B$7/12)-$B$9-MAX((MIN(T319,$B$15)*$B$6+MAX(T319-$B$15,0)*$B$16*$B$7/12)-$B$9-IF(AND(T$309&gt;0,$B$8&gt;0),MIN(T$309*$B$17,$B$13*MAX((MIN(T319,$B$15)*$B$6+MAX(T319-$B$15,0)*$B$16*$B$7/12)-$B$9,0)),0),0)*$B$8-(1-T$310)*IF(AND(T$309&gt;0,$B$8&gt;0),MIN(T$309*$B$17,$B$13*MAX((MIN(T319,$B$15)*$B$6+MAX(T319-$B$15,0)*$B$16*$B$7/12)-$B$9,0)),0)</f>
        <v/>
      </c>
      <c r="U320" s="179">
        <f>U319+(MIN(U319,$B$15)*$B$6+MAX(U319-$B$15,0)*$B$16*$B$7/12)-$B$9-MAX((MIN(U319,$B$15)*$B$6+MAX(U319-$B$15,0)*$B$16*$B$7/12)-$B$9-IF(AND(U$309&gt;0,$B$8&gt;0),MIN(U$309*$B$17,$B$13*MAX((MIN(U319,$B$15)*$B$6+MAX(U319-$B$15,0)*$B$16*$B$7/12)-$B$9,0)),0),0)*$B$8-(1-U$310)*IF(AND(U$309&gt;0,$B$8&gt;0),MIN(U$309*$B$17,$B$13*MAX((MIN(U319,$B$15)*$B$6+MAX(U319-$B$15,0)*$B$16*$B$7/12)-$B$9,0)),0)</f>
        <v/>
      </c>
      <c r="V320" s="179">
        <f>V319+(MIN(V319,$B$15)*$B$6+MAX(V319-$B$15,0)*$B$16*$B$7/12)-$B$9-MAX((MIN(V319,$B$15)*$B$6+MAX(V319-$B$15,0)*$B$16*$B$7/12)-$B$9-IF(AND(V$309&gt;0,$B$8&gt;0),MIN(V$309*$B$17,$B$13*MAX((MIN(V319,$B$15)*$B$6+MAX(V319-$B$15,0)*$B$16*$B$7/12)-$B$9,0)),0),0)*$B$8-(1-V$310)*IF(AND(V$309&gt;0,$B$8&gt;0),MIN(V$309*$B$17,$B$13*MAX((MIN(V319,$B$15)*$B$6+MAX(V319-$B$15,0)*$B$16*$B$7/12)-$B$9,0)),0)</f>
        <v/>
      </c>
      <c r="W320" s="179">
        <f>W319+(MIN(W319,$B$15)*$B$6+MAX(W319-$B$15,0)*$B$16*$B$7/12)-$B$9-MAX((MIN(W319,$B$15)*$B$6+MAX(W319-$B$15,0)*$B$16*$B$7/12)-$B$9-IF(AND(W$309&gt;0,$B$8&gt;0),MIN(W$309*$B$17,$B$13*MAX((MIN(W319,$B$15)*$B$6+MAX(W319-$B$15,0)*$B$16*$B$7/12)-$B$9,0)),0),0)*$B$8-(1-W$310)*IF(AND(W$309&gt;0,$B$8&gt;0),MIN(W$309*$B$17,$B$13*MAX((MIN(W319,$B$15)*$B$6+MAX(W319-$B$15,0)*$B$16*$B$7/12)-$B$9,0)),0)</f>
        <v/>
      </c>
      <c r="X320" s="179">
        <f>X319+(MIN(X319,$B$15)*$B$6+MAX(X319-$B$15,0)*$B$16*$B$7/12)-$B$9-MAX((MIN(X319,$B$15)*$B$6+MAX(X319-$B$15,0)*$B$16*$B$7/12)-$B$9-IF(AND(X$309&gt;0,$B$8&gt;0),MIN(X$309*$B$17,$B$13*MAX((MIN(X319,$B$15)*$B$6+MAX(X319-$B$15,0)*$B$16*$B$7/12)-$B$9,0)),0),0)*$B$8-(1-X$310)*IF(AND(X$309&gt;0,$B$8&gt;0),MIN(X$309*$B$17,$B$13*MAX((MIN(X319,$B$15)*$B$6+MAX(X319-$B$15,0)*$B$16*$B$7/12)-$B$9,0)),0)</f>
        <v/>
      </c>
      <c r="Y320" s="179">
        <f>Y319+(MIN(Y319,$B$15)*$B$6+MAX(Y319-$B$15,0)*$B$16*$B$7/12)-$B$9-MAX((MIN(Y319,$B$15)*$B$6+MAX(Y319-$B$15,0)*$B$16*$B$7/12)-$B$9-IF(AND(Y$309&gt;0,$B$8&gt;0),MIN(Y$309*$B$17,$B$13*MAX((MIN(Y319,$B$15)*$B$6+MAX(Y319-$B$15,0)*$B$16*$B$7/12)-$B$9,0)),0),0)*$B$8-(1-Y$310)*IF(AND(Y$309&gt;0,$B$8&gt;0),MIN(Y$309*$B$17,$B$13*MAX((MIN(Y319,$B$15)*$B$6+MAX(Y319-$B$15,0)*$B$16*$B$7/12)-$B$9,0)),0)</f>
        <v/>
      </c>
      <c r="Z320" s="179">
        <f>Z319+(MIN(Z319,$B$15)*$B$6+MAX(Z319-$B$15,0)*$B$16*$B$7/12)-$B$9-MAX((MIN(Z319,$B$15)*$B$6+MAX(Z319-$B$15,0)*$B$16*$B$7/12)-$B$9-IF(AND(Z$309&gt;0,$B$8&gt;0),MIN(Z$309*$B$17,$B$13*MAX((MIN(Z319,$B$15)*$B$6+MAX(Z319-$B$15,0)*$B$16*$B$7/12)-$B$9,0)),0),0)*$B$8-(1-Z$310)*IF(AND(Z$309&gt;0,$B$8&gt;0),MIN(Z$309*$B$17,$B$13*MAX((MIN(Z319,$B$15)*$B$6+MAX(Z319-$B$15,0)*$B$16*$B$7/12)-$B$9,0)),0)</f>
        <v/>
      </c>
      <c r="AA320" s="179">
        <f>AA319+(MIN(AA319,$B$15)*$B$6+MAX(AA319-$B$15,0)*$B$16*$B$7/12)-$B$9-MAX((MIN(AA319,$B$15)*$B$6+MAX(AA319-$B$15,0)*$B$16*$B$7/12)-$B$9-IF(AND(AA$309&gt;0,$B$8&gt;0),MIN(AA$309*$B$17,$B$13*MAX((MIN(AA319,$B$15)*$B$6+MAX(AA319-$B$15,0)*$B$16*$B$7/12)-$B$9,0)),0),0)*$B$8-(1-AA$310)*IF(AND(AA$309&gt;0,$B$8&gt;0),MIN(AA$309*$B$17,$B$13*MAX((MIN(AA319,$B$15)*$B$6+MAX(AA319-$B$15,0)*$B$16*$B$7/12)-$B$9,0)),0)</f>
        <v/>
      </c>
      <c r="AB320" s="179">
        <f>AB319+(MIN(AB319,$B$15)*$B$6+MAX(AB319-$B$15,0)*$B$16*$B$7/12)-$B$9-MAX((MIN(AB319,$B$15)*$B$6+MAX(AB319-$B$15,0)*$B$16*$B$7/12)-$B$9-IF(AND(AB$309&gt;0,$B$8&gt;0),MIN(AB$309*$B$17,$B$13*MAX((MIN(AB319,$B$15)*$B$6+MAX(AB319-$B$15,0)*$B$16*$B$7/12)-$B$9,0)),0),0)*$B$8-(1-AB$310)*IF(AND(AB$309&gt;0,$B$8&gt;0),MIN(AB$309*$B$17,$B$13*MAX((MIN(AB319,$B$15)*$B$6+MAX(AB319-$B$15,0)*$B$16*$B$7/12)-$B$9,0)),0)</f>
        <v/>
      </c>
      <c r="AC320" s="179">
        <f>AC319+(MIN(AC319,$B$15)*$B$6+MAX(AC319-$B$15,0)*$B$16*$B$7/12)-$B$9-MAX((MIN(AC319,$B$15)*$B$6+MAX(AC319-$B$15,0)*$B$16*$B$7/12)-$B$9-IF(AND(AC$309&gt;0,$B$8&gt;0),MIN(AC$309*$B$17,$B$13*MAX((MIN(AC319,$B$15)*$B$6+MAX(AC319-$B$15,0)*$B$16*$B$7/12)-$B$9,0)),0),0)*$B$8-(1-AC$310)*IF(AND(AC$309&gt;0,$B$8&gt;0),MIN(AC$309*$B$17,$B$13*MAX((MIN(AC319,$B$15)*$B$6+MAX(AC319-$B$15,0)*$B$16*$B$7/12)-$B$9,0)),0)</f>
        <v/>
      </c>
      <c r="AD320" s="179">
        <f>AD319+(MIN(AD319,$B$15)*$B$6+MAX(AD319-$B$15,0)*$B$16*$B$7/12)-$B$9-MAX((MIN(AD319,$B$15)*$B$6+MAX(AD319-$B$15,0)*$B$16*$B$7/12)-$B$9-IF(AND(AD$309&gt;0,$B$8&gt;0),MIN(AD$309*$B$17,$B$13*MAX((MIN(AD319,$B$15)*$B$6+MAX(AD319-$B$15,0)*$B$16*$B$7/12)-$B$9,0)),0),0)*$B$8-(1-AD$310)*IF(AND(AD$309&gt;0,$B$8&gt;0),MIN(AD$309*$B$17,$B$13*MAX((MIN(AD319,$B$15)*$B$6+MAX(AD319-$B$15,0)*$B$16*$B$7/12)-$B$9,0)),0)</f>
        <v/>
      </c>
      <c r="AE320" s="179">
        <f>AE319+(MIN(AE319,$B$15)*$B$6+MAX(AE319-$B$15,0)*$B$16*$B$7/12)-$B$9-MAX((MIN(AE319,$B$15)*$B$6+MAX(AE319-$B$15,0)*$B$16*$B$7/12)-$B$9-IF(AND(AE$309&gt;0,$B$8&gt;0),MIN(AE$309*$B$17,$B$13*MAX((MIN(AE319,$B$15)*$B$6+MAX(AE319-$B$15,0)*$B$16*$B$7/12)-$B$9,0)),0),0)*$B$8-(1-AE$310)*IF(AND(AE$309&gt;0,$B$8&gt;0),MIN(AE$309*$B$17,$B$13*MAX((MIN(AE319,$B$15)*$B$6+MAX(AE319-$B$15,0)*$B$16*$B$7/12)-$B$9,0)),0)</f>
        <v/>
      </c>
      <c r="AF320" s="179">
        <f>AF319+(MIN(AF319,$B$15)*$B$6+MAX(AF319-$B$15,0)*$B$16*$B$7/12)-$B$9-MAX((MIN(AF319,$B$15)*$B$6+MAX(AF319-$B$15,0)*$B$16*$B$7/12)-$B$9-IF(AND(AF$309&gt;0,$B$8&gt;0),MIN(AF$309*$B$17,$B$13*MAX((MIN(AF319,$B$15)*$B$6+MAX(AF319-$B$15,0)*$B$16*$B$7/12)-$B$9,0)),0),0)*$B$8-(1-AF$310)*IF(AND(AF$309&gt;0,$B$8&gt;0),MIN(AF$309*$B$17,$B$13*MAX((MIN(AF319,$B$15)*$B$6+MAX(AF319-$B$15,0)*$B$16*$B$7/12)-$B$9,0)),0)</f>
        <v/>
      </c>
      <c r="AG320" s="179">
        <f>AG319+(MIN(AG319,$B$15)*$B$6+MAX(AG319-$B$15,0)*$B$16*$B$7/12)-$B$9-MAX((MIN(AG319,$B$15)*$B$6+MAX(AG319-$B$15,0)*$B$16*$B$7/12)-$B$9-IF(AND(AG$309&gt;0,$B$8&gt;0),MIN(AG$309*$B$17,$B$13*MAX((MIN(AG319,$B$15)*$B$6+MAX(AG319-$B$15,0)*$B$16*$B$7/12)-$B$9,0)),0),0)*$B$8-(1-AG$310)*IF(AND(AG$309&gt;0,$B$8&gt;0),MIN(AG$309*$B$17,$B$13*MAX((MIN(AG319,$B$15)*$B$6+MAX(AG319-$B$15,0)*$B$16*$B$7/12)-$B$9,0)),0)</f>
        <v/>
      </c>
      <c r="AH320" s="179">
        <f>AH319+(MIN(AH319,$B$15)*$B$6+MAX(AH319-$B$15,0)*$B$16*$B$7/12)-$B$9-MAX((MIN(AH319,$B$15)*$B$6+MAX(AH319-$B$15,0)*$B$16*$B$7/12)-$B$9-IF(AND(AH$309&gt;0,$B$8&gt;0),MIN(AH$309*$B$17,$B$13*MAX((MIN(AH319,$B$15)*$B$6+MAX(AH319-$B$15,0)*$B$16*$B$7/12)-$B$9,0)),0),0)*$B$8-(1-AH$310)*IF(AND(AH$309&gt;0,$B$8&gt;0),MIN(AH$309*$B$17,$B$13*MAX((MIN(AH319,$B$15)*$B$6+MAX(AH319-$B$15,0)*$B$16*$B$7/12)-$B$9,0)),0)</f>
        <v/>
      </c>
      <c r="AI320" s="179">
        <f>AI319+(MIN(AI319,$B$15)*$B$6+MAX(AI319-$B$15,0)*$B$16*$B$7/12)-$B$9-MAX((MIN(AI319,$B$15)*$B$6+MAX(AI319-$B$15,0)*$B$16*$B$7/12)-$B$9-IF(AND(AI$309&gt;0,$B$8&gt;0),MIN(AI$309*$B$17,$B$13*MAX((MIN(AI319,$B$15)*$B$6+MAX(AI319-$B$15,0)*$B$16*$B$7/12)-$B$9,0)),0),0)*$B$8-(1-AI$310)*IF(AND(AI$309&gt;0,$B$8&gt;0),MIN(AI$309*$B$17,$B$13*MAX((MIN(AI319,$B$15)*$B$6+MAX(AI319-$B$15,0)*$B$16*$B$7/12)-$B$9,0)),0)</f>
        <v/>
      </c>
      <c r="AJ320" s="179">
        <f>AJ319+(MIN(AJ319,$B$15)*$B$6+MAX(AJ319-$B$15,0)*$B$16*$B$7/12)-$B$9-MAX((MIN(AJ319,$B$15)*$B$6+MAX(AJ319-$B$15,0)*$B$16*$B$7/12)-$B$9-IF(AND(AJ$309&gt;0,$B$8&gt;0),MIN(AJ$309*$B$17,$B$13*MAX((MIN(AJ319,$B$15)*$B$6+MAX(AJ319-$B$15,0)*$B$16*$B$7/12)-$B$9,0)),0),0)*$B$8-(1-AJ$310)*IF(AND(AJ$309&gt;0,$B$8&gt;0),MIN(AJ$309*$B$17,$B$13*MAX((MIN(AJ319,$B$15)*$B$6+MAX(AJ319-$B$15,0)*$B$16*$B$7/12)-$B$9,0)),0)</f>
        <v/>
      </c>
      <c r="AK320" s="179">
        <f>AK319+(MIN(AK319,$B$15)*$B$6+MAX(AK319-$B$15,0)*$B$16*$B$7/12)-$B$9-MAX((MIN(AK319,$B$15)*$B$6+MAX(AK319-$B$15,0)*$B$16*$B$7/12)-$B$9-IF(AND(AK$309&gt;0,$B$8&gt;0),MIN(AK$309*$B$17,$B$13*MAX((MIN(AK319,$B$15)*$B$6+MAX(AK319-$B$15,0)*$B$16*$B$7/12)-$B$9,0)),0),0)*$B$8-(1-AK$310)*IF(AND(AK$309&gt;0,$B$8&gt;0),MIN(AK$309*$B$17,$B$13*MAX((MIN(AK319,$B$15)*$B$6+MAX(AK319-$B$15,0)*$B$16*$B$7/12)-$B$9,0)),0)</f>
        <v/>
      </c>
      <c r="AL320" s="179">
        <f>AL319+(MIN(AL319,$B$15)*$B$6+MAX(AL319-$B$15,0)*$B$16*$B$7/12)-$B$9-MAX((MIN(AL319,$B$15)*$B$6+MAX(AL319-$B$15,0)*$B$16*$B$7/12)-$B$9-IF(AND(AL$309&gt;0,$B$8&gt;0),MIN(AL$309*$B$17,$B$13*MAX((MIN(AL319,$B$15)*$B$6+MAX(AL319-$B$15,0)*$B$16*$B$7/12)-$B$9,0)),0),0)*$B$8-(1-AL$310)*IF(AND(AL$309&gt;0,$B$8&gt;0),MIN(AL$309*$B$17,$B$13*MAX((MIN(AL319,$B$15)*$B$6+MAX(AL319-$B$15,0)*$B$16*$B$7/12)-$B$9,0)),0)</f>
        <v/>
      </c>
      <c r="AM320" s="179">
        <f>AM319+(MIN(AM319,$B$15)*$B$6+MAX(AM319-$B$15,0)*$B$16*$B$7/12)-$B$9-MAX((MIN(AM319,$B$15)*$B$6+MAX(AM319-$B$15,0)*$B$16*$B$7/12)-$B$9-IF(AND(AM$309&gt;0,$B$8&gt;0),MIN(AM$309*$B$17,$B$13*MAX((MIN(AM319,$B$15)*$B$6+MAX(AM319-$B$15,0)*$B$16*$B$7/12)-$B$9,0)),0),0)*$B$8-(1-AM$310)*IF(AND(AM$309&gt;0,$B$8&gt;0),MIN(AM$309*$B$17,$B$13*MAX((MIN(AM319,$B$15)*$B$6+MAX(AM319-$B$15,0)*$B$16*$B$7/12)-$B$9,0)),0)</f>
        <v/>
      </c>
      <c r="AN320" s="179">
        <f>AN319+(MIN(AN319,$B$15)*$B$6+MAX(AN319-$B$15,0)*$B$16*$B$7/12)-$B$9-MAX((MIN(AN319,$B$15)*$B$6+MAX(AN319-$B$15,0)*$B$16*$B$7/12)-$B$9-IF(AND(AN$309&gt;0,$B$8&gt;0),MIN(AN$309*$B$17,$B$13*MAX((MIN(AN319,$B$15)*$B$6+MAX(AN319-$B$15,0)*$B$16*$B$7/12)-$B$9,0)),0),0)*$B$8-(1-AN$310)*IF(AND(AN$309&gt;0,$B$8&gt;0),MIN(AN$309*$B$17,$B$13*MAX((MIN(AN319,$B$15)*$B$6+MAX(AN319-$B$15,0)*$B$16*$B$7/12)-$B$9,0)),0)</f>
        <v/>
      </c>
      <c r="AO320" s="179">
        <f>AO319+(MIN(AO319,$B$15)*$B$6+MAX(AO319-$B$15,0)*$B$16*$B$7/12)-$B$9-MAX((MIN(AO319,$B$15)*$B$6+MAX(AO319-$B$15,0)*$B$16*$B$7/12)-$B$9-IF(AND(AO$309&gt;0,$B$8&gt;0),MIN(AO$309*$B$17,$B$13*MAX((MIN(AO319,$B$15)*$B$6+MAX(AO319-$B$15,0)*$B$16*$B$7/12)-$B$9,0)),0),0)*$B$8-(1-AO$310)*IF(AND(AO$309&gt;0,$B$8&gt;0),MIN(AO$309*$B$17,$B$13*MAX((MIN(AO319,$B$15)*$B$6+MAX(AO319-$B$15,0)*$B$16*$B$7/12)-$B$9,0)),0)</f>
        <v/>
      </c>
      <c r="AP320" s="179">
        <f>AP319+(MIN(AP319,$B$15)*$B$6+MAX(AP319-$B$15,0)*$B$16*$B$7/12)-$B$9-MAX((MIN(AP319,$B$15)*$B$6+MAX(AP319-$B$15,0)*$B$16*$B$7/12)-$B$9-IF(AND(AP$309&gt;0,$B$8&gt;0),MIN(AP$309*$B$17,$B$13*MAX((MIN(AP319,$B$15)*$B$6+MAX(AP319-$B$15,0)*$B$16*$B$7/12)-$B$9,0)),0),0)*$B$8-(1-AP$310)*IF(AND(AP$309&gt;0,$B$8&gt;0),MIN(AP$309*$B$17,$B$13*MAX((MIN(AP319,$B$15)*$B$6+MAX(AP319-$B$15,0)*$B$16*$B$7/12)-$B$9,0)),0)</f>
        <v/>
      </c>
      <c r="AQ320" s="179">
        <f>AQ319+(MIN(AQ319,$B$15)*$B$6+MAX(AQ319-$B$15,0)*$B$16*$B$7/12)-$B$9-MAX((MIN(AQ319,$B$15)*$B$6+MAX(AQ319-$B$15,0)*$B$16*$B$7/12)-$B$9-IF(AND(AQ$309&gt;0,$B$8&gt;0),MIN(AQ$309*$B$17,$B$13*MAX((MIN(AQ319,$B$15)*$B$6+MAX(AQ319-$B$15,0)*$B$16*$B$7/12)-$B$9,0)),0),0)*$B$8-(1-AQ$310)*IF(AND(AQ$309&gt;0,$B$8&gt;0),MIN(AQ$309*$B$17,$B$13*MAX((MIN(AQ319,$B$15)*$B$6+MAX(AQ319-$B$15,0)*$B$16*$B$7/12)-$B$9,0)),0)</f>
        <v/>
      </c>
    </row>
    <row r="321" hidden="1" outlineLevel="1">
      <c r="A321" s="164" t="inlineStr">
        <is>
          <t>Cycle 11</t>
        </is>
      </c>
      <c r="B321" s="179">
        <f>B320+(MIN(B320,$B$15)*$B$6+MAX(B320-$B$15,0)*$B$16*$B$7/12)-$B$9-MAX((MIN(B320,$B$15)*$B$6+MAX(B320-$B$15,0)*$B$16*$B$7/12)-$B$9-IF(AND(B$309&gt;0,$B$8&gt;0),MIN(B$309*$B$17,$B$13*MAX((MIN(B320,$B$15)*$B$6+MAX(B320-$B$15,0)*$B$16*$B$7/12)-$B$9,0)),0),0)*$B$8-(1-B$310)*IF(AND(B$309&gt;0,$B$8&gt;0),MIN(B$309*$B$17,$B$13*MAX((MIN(B320,$B$15)*$B$6+MAX(B320-$B$15,0)*$B$16*$B$7/12)-$B$9,0)),0)</f>
        <v/>
      </c>
      <c r="C321" s="179">
        <f>C320+(MIN(C320,$B$15)*$B$6+MAX(C320-$B$15,0)*$B$16*$B$7/12)-$B$9-MAX((MIN(C320,$B$15)*$B$6+MAX(C320-$B$15,0)*$B$16*$B$7/12)-$B$9-IF(AND(C$309&gt;0,$B$8&gt;0),MIN(C$309*$B$17,$B$13*MAX((MIN(C320,$B$15)*$B$6+MAX(C320-$B$15,0)*$B$16*$B$7/12)-$B$9,0)),0),0)*$B$8-(1-C$310)*IF(AND(C$309&gt;0,$B$8&gt;0),MIN(C$309*$B$17,$B$13*MAX((MIN(C320,$B$15)*$B$6+MAX(C320-$B$15,0)*$B$16*$B$7/12)-$B$9,0)),0)</f>
        <v/>
      </c>
      <c r="D321" s="179">
        <f>D320+(MIN(D320,$B$15)*$B$6+MAX(D320-$B$15,0)*$B$16*$B$7/12)-$B$9-MAX((MIN(D320,$B$15)*$B$6+MAX(D320-$B$15,0)*$B$16*$B$7/12)-$B$9-IF(AND(D$309&gt;0,$B$8&gt;0),MIN(D$309*$B$17,$B$13*MAX((MIN(D320,$B$15)*$B$6+MAX(D320-$B$15,0)*$B$16*$B$7/12)-$B$9,0)),0),0)*$B$8-(1-D$310)*IF(AND(D$309&gt;0,$B$8&gt;0),MIN(D$309*$B$17,$B$13*MAX((MIN(D320,$B$15)*$B$6+MAX(D320-$B$15,0)*$B$16*$B$7/12)-$B$9,0)),0)</f>
        <v/>
      </c>
      <c r="E321" s="179">
        <f>E320+(MIN(E320,$B$15)*$B$6+MAX(E320-$B$15,0)*$B$16*$B$7/12)-$B$9-MAX((MIN(E320,$B$15)*$B$6+MAX(E320-$B$15,0)*$B$16*$B$7/12)-$B$9-IF(AND(E$309&gt;0,$B$8&gt;0),MIN(E$309*$B$17,$B$13*MAX((MIN(E320,$B$15)*$B$6+MAX(E320-$B$15,0)*$B$16*$B$7/12)-$B$9,0)),0),0)*$B$8-(1-E$310)*IF(AND(E$309&gt;0,$B$8&gt;0),MIN(E$309*$B$17,$B$13*MAX((MIN(E320,$B$15)*$B$6+MAX(E320-$B$15,0)*$B$16*$B$7/12)-$B$9,0)),0)</f>
        <v/>
      </c>
      <c r="F321" s="179">
        <f>F320+(MIN(F320,$B$15)*$B$6+MAX(F320-$B$15,0)*$B$16*$B$7/12)-$B$9-MAX((MIN(F320,$B$15)*$B$6+MAX(F320-$B$15,0)*$B$16*$B$7/12)-$B$9-IF(AND(F$309&gt;0,$B$8&gt;0),MIN(F$309*$B$17,$B$13*MAX((MIN(F320,$B$15)*$B$6+MAX(F320-$B$15,0)*$B$16*$B$7/12)-$B$9,0)),0),0)*$B$8-(1-F$310)*IF(AND(F$309&gt;0,$B$8&gt;0),MIN(F$309*$B$17,$B$13*MAX((MIN(F320,$B$15)*$B$6+MAX(F320-$B$15,0)*$B$16*$B$7/12)-$B$9,0)),0)</f>
        <v/>
      </c>
      <c r="G321" s="179">
        <f>G320+(MIN(G320,$B$15)*$B$6+MAX(G320-$B$15,0)*$B$16*$B$7/12)-$B$9-MAX((MIN(G320,$B$15)*$B$6+MAX(G320-$B$15,0)*$B$16*$B$7/12)-$B$9-IF(AND(G$309&gt;0,$B$8&gt;0),MIN(G$309*$B$17,$B$13*MAX((MIN(G320,$B$15)*$B$6+MAX(G320-$B$15,0)*$B$16*$B$7/12)-$B$9,0)),0),0)*$B$8-(1-G$310)*IF(AND(G$309&gt;0,$B$8&gt;0),MIN(G$309*$B$17,$B$13*MAX((MIN(G320,$B$15)*$B$6+MAX(G320-$B$15,0)*$B$16*$B$7/12)-$B$9,0)),0)</f>
        <v/>
      </c>
      <c r="H321" s="179">
        <f>H320+(MIN(H320,$B$15)*$B$6+MAX(H320-$B$15,0)*$B$16*$B$7/12)-$B$9-MAX((MIN(H320,$B$15)*$B$6+MAX(H320-$B$15,0)*$B$16*$B$7/12)-$B$9-IF(AND(H$309&gt;0,$B$8&gt;0),MIN(H$309*$B$17,$B$13*MAX((MIN(H320,$B$15)*$B$6+MAX(H320-$B$15,0)*$B$16*$B$7/12)-$B$9,0)),0),0)*$B$8-(1-H$310)*IF(AND(H$309&gt;0,$B$8&gt;0),MIN(H$309*$B$17,$B$13*MAX((MIN(H320,$B$15)*$B$6+MAX(H320-$B$15,0)*$B$16*$B$7/12)-$B$9,0)),0)</f>
        <v/>
      </c>
      <c r="I321" s="179">
        <f>I320+(MIN(I320,$B$15)*$B$6+MAX(I320-$B$15,0)*$B$16*$B$7/12)-$B$9-MAX((MIN(I320,$B$15)*$B$6+MAX(I320-$B$15,0)*$B$16*$B$7/12)-$B$9-IF(AND(I$309&gt;0,$B$8&gt;0),MIN(I$309*$B$17,$B$13*MAX((MIN(I320,$B$15)*$B$6+MAX(I320-$B$15,0)*$B$16*$B$7/12)-$B$9,0)),0),0)*$B$8-(1-I$310)*IF(AND(I$309&gt;0,$B$8&gt;0),MIN(I$309*$B$17,$B$13*MAX((MIN(I320,$B$15)*$B$6+MAX(I320-$B$15,0)*$B$16*$B$7/12)-$B$9,0)),0)</f>
        <v/>
      </c>
      <c r="J321" s="179">
        <f>J320+(MIN(J320,$B$15)*$B$6+MAX(J320-$B$15,0)*$B$16*$B$7/12)-$B$9-MAX((MIN(J320,$B$15)*$B$6+MAX(J320-$B$15,0)*$B$16*$B$7/12)-$B$9-IF(AND(J$309&gt;0,$B$8&gt;0),MIN(J$309*$B$17,$B$13*MAX((MIN(J320,$B$15)*$B$6+MAX(J320-$B$15,0)*$B$16*$B$7/12)-$B$9,0)),0),0)*$B$8-(1-J$310)*IF(AND(J$309&gt;0,$B$8&gt;0),MIN(J$309*$B$17,$B$13*MAX((MIN(J320,$B$15)*$B$6+MAX(J320-$B$15,0)*$B$16*$B$7/12)-$B$9,0)),0)</f>
        <v/>
      </c>
      <c r="K321" s="179">
        <f>K320+(MIN(K320,$B$15)*$B$6+MAX(K320-$B$15,0)*$B$16*$B$7/12)-$B$9-MAX((MIN(K320,$B$15)*$B$6+MAX(K320-$B$15,0)*$B$16*$B$7/12)-$B$9-IF(AND(K$309&gt;0,$B$8&gt;0),MIN(K$309*$B$17,$B$13*MAX((MIN(K320,$B$15)*$B$6+MAX(K320-$B$15,0)*$B$16*$B$7/12)-$B$9,0)),0),0)*$B$8-(1-K$310)*IF(AND(K$309&gt;0,$B$8&gt;0),MIN(K$309*$B$17,$B$13*MAX((MIN(K320,$B$15)*$B$6+MAX(K320-$B$15,0)*$B$16*$B$7/12)-$B$9,0)),0)</f>
        <v/>
      </c>
      <c r="L321" s="179">
        <f>L320+(MIN(L320,$B$15)*$B$6+MAX(L320-$B$15,0)*$B$16*$B$7/12)-$B$9-MAX((MIN(L320,$B$15)*$B$6+MAX(L320-$B$15,0)*$B$16*$B$7/12)-$B$9-IF(AND(L$309&gt;0,$B$8&gt;0),MIN(L$309*$B$17,$B$13*MAX((MIN(L320,$B$15)*$B$6+MAX(L320-$B$15,0)*$B$16*$B$7/12)-$B$9,0)),0),0)*$B$8-(1-L$310)*IF(AND(L$309&gt;0,$B$8&gt;0),MIN(L$309*$B$17,$B$13*MAX((MIN(L320,$B$15)*$B$6+MAX(L320-$B$15,0)*$B$16*$B$7/12)-$B$9,0)),0)</f>
        <v/>
      </c>
      <c r="M321" s="179">
        <f>M320+(MIN(M320,$B$15)*$B$6+MAX(M320-$B$15,0)*$B$16*$B$7/12)-$B$9-MAX((MIN(M320,$B$15)*$B$6+MAX(M320-$B$15,0)*$B$16*$B$7/12)-$B$9-IF(AND(M$309&gt;0,$B$8&gt;0),MIN(M$309*$B$17,$B$13*MAX((MIN(M320,$B$15)*$B$6+MAX(M320-$B$15,0)*$B$16*$B$7/12)-$B$9,0)),0),0)*$B$8-(1-M$310)*IF(AND(M$309&gt;0,$B$8&gt;0),MIN(M$309*$B$17,$B$13*MAX((MIN(M320,$B$15)*$B$6+MAX(M320-$B$15,0)*$B$16*$B$7/12)-$B$9,0)),0)</f>
        <v/>
      </c>
      <c r="N321" s="179">
        <f>N320+(MIN(N320,$B$15)*$B$6+MAX(N320-$B$15,0)*$B$16*$B$7/12)-$B$9-MAX((MIN(N320,$B$15)*$B$6+MAX(N320-$B$15,0)*$B$16*$B$7/12)-$B$9-IF(AND(N$309&gt;0,$B$8&gt;0),MIN(N$309*$B$17,$B$13*MAX((MIN(N320,$B$15)*$B$6+MAX(N320-$B$15,0)*$B$16*$B$7/12)-$B$9,0)),0),0)*$B$8-(1-N$310)*IF(AND(N$309&gt;0,$B$8&gt;0),MIN(N$309*$B$17,$B$13*MAX((MIN(N320,$B$15)*$B$6+MAX(N320-$B$15,0)*$B$16*$B$7/12)-$B$9,0)),0)</f>
        <v/>
      </c>
      <c r="O321" s="179">
        <f>O320+(MIN(O320,$B$15)*$B$6+MAX(O320-$B$15,0)*$B$16*$B$7/12)-$B$9-MAX((MIN(O320,$B$15)*$B$6+MAX(O320-$B$15,0)*$B$16*$B$7/12)-$B$9-IF(AND(O$309&gt;0,$B$8&gt;0),MIN(O$309*$B$17,$B$13*MAX((MIN(O320,$B$15)*$B$6+MAX(O320-$B$15,0)*$B$16*$B$7/12)-$B$9,0)),0),0)*$B$8-(1-O$310)*IF(AND(O$309&gt;0,$B$8&gt;0),MIN(O$309*$B$17,$B$13*MAX((MIN(O320,$B$15)*$B$6+MAX(O320-$B$15,0)*$B$16*$B$7/12)-$B$9,0)),0)</f>
        <v/>
      </c>
      <c r="P321" s="179">
        <f>P320+(MIN(P320,$B$15)*$B$6+MAX(P320-$B$15,0)*$B$16*$B$7/12)-$B$9-MAX((MIN(P320,$B$15)*$B$6+MAX(P320-$B$15,0)*$B$16*$B$7/12)-$B$9-IF(AND(P$309&gt;0,$B$8&gt;0),MIN(P$309*$B$17,$B$13*MAX((MIN(P320,$B$15)*$B$6+MAX(P320-$B$15,0)*$B$16*$B$7/12)-$B$9,0)),0),0)*$B$8-(1-P$310)*IF(AND(P$309&gt;0,$B$8&gt;0),MIN(P$309*$B$17,$B$13*MAX((MIN(P320,$B$15)*$B$6+MAX(P320-$B$15,0)*$B$16*$B$7/12)-$B$9,0)),0)</f>
        <v/>
      </c>
      <c r="Q321" s="179">
        <f>Q320+(MIN(Q320,$B$15)*$B$6+MAX(Q320-$B$15,0)*$B$16*$B$7/12)-$B$9-MAX((MIN(Q320,$B$15)*$B$6+MAX(Q320-$B$15,0)*$B$16*$B$7/12)-$B$9-IF(AND(Q$309&gt;0,$B$8&gt;0),MIN(Q$309*$B$17,$B$13*MAX((MIN(Q320,$B$15)*$B$6+MAX(Q320-$B$15,0)*$B$16*$B$7/12)-$B$9,0)),0),0)*$B$8-(1-Q$310)*IF(AND(Q$309&gt;0,$B$8&gt;0),MIN(Q$309*$B$17,$B$13*MAX((MIN(Q320,$B$15)*$B$6+MAX(Q320-$B$15,0)*$B$16*$B$7/12)-$B$9,0)),0)</f>
        <v/>
      </c>
      <c r="R321" s="179">
        <f>R320+(MIN(R320,$B$15)*$B$6+MAX(R320-$B$15,0)*$B$16*$B$7/12)-$B$9-MAX((MIN(R320,$B$15)*$B$6+MAX(R320-$B$15,0)*$B$16*$B$7/12)-$B$9-IF(AND(R$309&gt;0,$B$8&gt;0),MIN(R$309*$B$17,$B$13*MAX((MIN(R320,$B$15)*$B$6+MAX(R320-$B$15,0)*$B$16*$B$7/12)-$B$9,0)),0),0)*$B$8-(1-R$310)*IF(AND(R$309&gt;0,$B$8&gt;0),MIN(R$309*$B$17,$B$13*MAX((MIN(R320,$B$15)*$B$6+MAX(R320-$B$15,0)*$B$16*$B$7/12)-$B$9,0)),0)</f>
        <v/>
      </c>
      <c r="S321" s="179">
        <f>S320+(MIN(S320,$B$15)*$B$6+MAX(S320-$B$15,0)*$B$16*$B$7/12)-$B$9-MAX((MIN(S320,$B$15)*$B$6+MAX(S320-$B$15,0)*$B$16*$B$7/12)-$B$9-IF(AND(S$309&gt;0,$B$8&gt;0),MIN(S$309*$B$17,$B$13*MAX((MIN(S320,$B$15)*$B$6+MAX(S320-$B$15,0)*$B$16*$B$7/12)-$B$9,0)),0),0)*$B$8-(1-S$310)*IF(AND(S$309&gt;0,$B$8&gt;0),MIN(S$309*$B$17,$B$13*MAX((MIN(S320,$B$15)*$B$6+MAX(S320-$B$15,0)*$B$16*$B$7/12)-$B$9,0)),0)</f>
        <v/>
      </c>
      <c r="T321" s="179">
        <f>T320+(MIN(T320,$B$15)*$B$6+MAX(T320-$B$15,0)*$B$16*$B$7/12)-$B$9-MAX((MIN(T320,$B$15)*$B$6+MAX(T320-$B$15,0)*$B$16*$B$7/12)-$B$9-IF(AND(T$309&gt;0,$B$8&gt;0),MIN(T$309*$B$17,$B$13*MAX((MIN(T320,$B$15)*$B$6+MAX(T320-$B$15,0)*$B$16*$B$7/12)-$B$9,0)),0),0)*$B$8-(1-T$310)*IF(AND(T$309&gt;0,$B$8&gt;0),MIN(T$309*$B$17,$B$13*MAX((MIN(T320,$B$15)*$B$6+MAX(T320-$B$15,0)*$B$16*$B$7/12)-$B$9,0)),0)</f>
        <v/>
      </c>
      <c r="U321" s="179">
        <f>U320+(MIN(U320,$B$15)*$B$6+MAX(U320-$B$15,0)*$B$16*$B$7/12)-$B$9-MAX((MIN(U320,$B$15)*$B$6+MAX(U320-$B$15,0)*$B$16*$B$7/12)-$B$9-IF(AND(U$309&gt;0,$B$8&gt;0),MIN(U$309*$B$17,$B$13*MAX((MIN(U320,$B$15)*$B$6+MAX(U320-$B$15,0)*$B$16*$B$7/12)-$B$9,0)),0),0)*$B$8-(1-U$310)*IF(AND(U$309&gt;0,$B$8&gt;0),MIN(U$309*$B$17,$B$13*MAX((MIN(U320,$B$15)*$B$6+MAX(U320-$B$15,0)*$B$16*$B$7/12)-$B$9,0)),0)</f>
        <v/>
      </c>
      <c r="V321" s="179">
        <f>V320+(MIN(V320,$B$15)*$B$6+MAX(V320-$B$15,0)*$B$16*$B$7/12)-$B$9-MAX((MIN(V320,$B$15)*$B$6+MAX(V320-$B$15,0)*$B$16*$B$7/12)-$B$9-IF(AND(V$309&gt;0,$B$8&gt;0),MIN(V$309*$B$17,$B$13*MAX((MIN(V320,$B$15)*$B$6+MAX(V320-$B$15,0)*$B$16*$B$7/12)-$B$9,0)),0),0)*$B$8-(1-V$310)*IF(AND(V$309&gt;0,$B$8&gt;0),MIN(V$309*$B$17,$B$13*MAX((MIN(V320,$B$15)*$B$6+MAX(V320-$B$15,0)*$B$16*$B$7/12)-$B$9,0)),0)</f>
        <v/>
      </c>
      <c r="W321" s="179">
        <f>W320+(MIN(W320,$B$15)*$B$6+MAX(W320-$B$15,0)*$B$16*$B$7/12)-$B$9-MAX((MIN(W320,$B$15)*$B$6+MAX(W320-$B$15,0)*$B$16*$B$7/12)-$B$9-IF(AND(W$309&gt;0,$B$8&gt;0),MIN(W$309*$B$17,$B$13*MAX((MIN(W320,$B$15)*$B$6+MAX(W320-$B$15,0)*$B$16*$B$7/12)-$B$9,0)),0),0)*$B$8-(1-W$310)*IF(AND(W$309&gt;0,$B$8&gt;0),MIN(W$309*$B$17,$B$13*MAX((MIN(W320,$B$15)*$B$6+MAX(W320-$B$15,0)*$B$16*$B$7/12)-$B$9,0)),0)</f>
        <v/>
      </c>
      <c r="X321" s="179">
        <f>X320+(MIN(X320,$B$15)*$B$6+MAX(X320-$B$15,0)*$B$16*$B$7/12)-$B$9-MAX((MIN(X320,$B$15)*$B$6+MAX(X320-$B$15,0)*$B$16*$B$7/12)-$B$9-IF(AND(X$309&gt;0,$B$8&gt;0),MIN(X$309*$B$17,$B$13*MAX((MIN(X320,$B$15)*$B$6+MAX(X320-$B$15,0)*$B$16*$B$7/12)-$B$9,0)),0),0)*$B$8-(1-X$310)*IF(AND(X$309&gt;0,$B$8&gt;0),MIN(X$309*$B$17,$B$13*MAX((MIN(X320,$B$15)*$B$6+MAX(X320-$B$15,0)*$B$16*$B$7/12)-$B$9,0)),0)</f>
        <v/>
      </c>
      <c r="Y321" s="179">
        <f>Y320+(MIN(Y320,$B$15)*$B$6+MAX(Y320-$B$15,0)*$B$16*$B$7/12)-$B$9-MAX((MIN(Y320,$B$15)*$B$6+MAX(Y320-$B$15,0)*$B$16*$B$7/12)-$B$9-IF(AND(Y$309&gt;0,$B$8&gt;0),MIN(Y$309*$B$17,$B$13*MAX((MIN(Y320,$B$15)*$B$6+MAX(Y320-$B$15,0)*$B$16*$B$7/12)-$B$9,0)),0),0)*$B$8-(1-Y$310)*IF(AND(Y$309&gt;0,$B$8&gt;0),MIN(Y$309*$B$17,$B$13*MAX((MIN(Y320,$B$15)*$B$6+MAX(Y320-$B$15,0)*$B$16*$B$7/12)-$B$9,0)),0)</f>
        <v/>
      </c>
      <c r="Z321" s="179">
        <f>Z320+(MIN(Z320,$B$15)*$B$6+MAX(Z320-$B$15,0)*$B$16*$B$7/12)-$B$9-MAX((MIN(Z320,$B$15)*$B$6+MAX(Z320-$B$15,0)*$B$16*$B$7/12)-$B$9-IF(AND(Z$309&gt;0,$B$8&gt;0),MIN(Z$309*$B$17,$B$13*MAX((MIN(Z320,$B$15)*$B$6+MAX(Z320-$B$15,0)*$B$16*$B$7/12)-$B$9,0)),0),0)*$B$8-(1-Z$310)*IF(AND(Z$309&gt;0,$B$8&gt;0),MIN(Z$309*$B$17,$B$13*MAX((MIN(Z320,$B$15)*$B$6+MAX(Z320-$B$15,0)*$B$16*$B$7/12)-$B$9,0)),0)</f>
        <v/>
      </c>
      <c r="AA321" s="179">
        <f>AA320+(MIN(AA320,$B$15)*$B$6+MAX(AA320-$B$15,0)*$B$16*$B$7/12)-$B$9-MAX((MIN(AA320,$B$15)*$B$6+MAX(AA320-$B$15,0)*$B$16*$B$7/12)-$B$9-IF(AND(AA$309&gt;0,$B$8&gt;0),MIN(AA$309*$B$17,$B$13*MAX((MIN(AA320,$B$15)*$B$6+MAX(AA320-$B$15,0)*$B$16*$B$7/12)-$B$9,0)),0),0)*$B$8-(1-AA$310)*IF(AND(AA$309&gt;0,$B$8&gt;0),MIN(AA$309*$B$17,$B$13*MAX((MIN(AA320,$B$15)*$B$6+MAX(AA320-$B$15,0)*$B$16*$B$7/12)-$B$9,0)),0)</f>
        <v/>
      </c>
      <c r="AB321" s="179">
        <f>AB320+(MIN(AB320,$B$15)*$B$6+MAX(AB320-$B$15,0)*$B$16*$B$7/12)-$B$9-MAX((MIN(AB320,$B$15)*$B$6+MAX(AB320-$B$15,0)*$B$16*$B$7/12)-$B$9-IF(AND(AB$309&gt;0,$B$8&gt;0),MIN(AB$309*$B$17,$B$13*MAX((MIN(AB320,$B$15)*$B$6+MAX(AB320-$B$15,0)*$B$16*$B$7/12)-$B$9,0)),0),0)*$B$8-(1-AB$310)*IF(AND(AB$309&gt;0,$B$8&gt;0),MIN(AB$309*$B$17,$B$13*MAX((MIN(AB320,$B$15)*$B$6+MAX(AB320-$B$15,0)*$B$16*$B$7/12)-$B$9,0)),0)</f>
        <v/>
      </c>
      <c r="AC321" s="179">
        <f>AC320+(MIN(AC320,$B$15)*$B$6+MAX(AC320-$B$15,0)*$B$16*$B$7/12)-$B$9-MAX((MIN(AC320,$B$15)*$B$6+MAX(AC320-$B$15,0)*$B$16*$B$7/12)-$B$9-IF(AND(AC$309&gt;0,$B$8&gt;0),MIN(AC$309*$B$17,$B$13*MAX((MIN(AC320,$B$15)*$B$6+MAX(AC320-$B$15,0)*$B$16*$B$7/12)-$B$9,0)),0),0)*$B$8-(1-AC$310)*IF(AND(AC$309&gt;0,$B$8&gt;0),MIN(AC$309*$B$17,$B$13*MAX((MIN(AC320,$B$15)*$B$6+MAX(AC320-$B$15,0)*$B$16*$B$7/12)-$B$9,0)),0)</f>
        <v/>
      </c>
      <c r="AD321" s="179">
        <f>AD320+(MIN(AD320,$B$15)*$B$6+MAX(AD320-$B$15,0)*$B$16*$B$7/12)-$B$9-MAX((MIN(AD320,$B$15)*$B$6+MAX(AD320-$B$15,0)*$B$16*$B$7/12)-$B$9-IF(AND(AD$309&gt;0,$B$8&gt;0),MIN(AD$309*$B$17,$B$13*MAX((MIN(AD320,$B$15)*$B$6+MAX(AD320-$B$15,0)*$B$16*$B$7/12)-$B$9,0)),0),0)*$B$8-(1-AD$310)*IF(AND(AD$309&gt;0,$B$8&gt;0),MIN(AD$309*$B$17,$B$13*MAX((MIN(AD320,$B$15)*$B$6+MAX(AD320-$B$15,0)*$B$16*$B$7/12)-$B$9,0)),0)</f>
        <v/>
      </c>
      <c r="AE321" s="179">
        <f>AE320+(MIN(AE320,$B$15)*$B$6+MAX(AE320-$B$15,0)*$B$16*$B$7/12)-$B$9-MAX((MIN(AE320,$B$15)*$B$6+MAX(AE320-$B$15,0)*$B$16*$B$7/12)-$B$9-IF(AND(AE$309&gt;0,$B$8&gt;0),MIN(AE$309*$B$17,$B$13*MAX((MIN(AE320,$B$15)*$B$6+MAX(AE320-$B$15,0)*$B$16*$B$7/12)-$B$9,0)),0),0)*$B$8-(1-AE$310)*IF(AND(AE$309&gt;0,$B$8&gt;0),MIN(AE$309*$B$17,$B$13*MAX((MIN(AE320,$B$15)*$B$6+MAX(AE320-$B$15,0)*$B$16*$B$7/12)-$B$9,0)),0)</f>
        <v/>
      </c>
      <c r="AF321" s="179">
        <f>AF320+(MIN(AF320,$B$15)*$B$6+MAX(AF320-$B$15,0)*$B$16*$B$7/12)-$B$9-MAX((MIN(AF320,$B$15)*$B$6+MAX(AF320-$B$15,0)*$B$16*$B$7/12)-$B$9-IF(AND(AF$309&gt;0,$B$8&gt;0),MIN(AF$309*$B$17,$B$13*MAX((MIN(AF320,$B$15)*$B$6+MAX(AF320-$B$15,0)*$B$16*$B$7/12)-$B$9,0)),0),0)*$B$8-(1-AF$310)*IF(AND(AF$309&gt;0,$B$8&gt;0),MIN(AF$309*$B$17,$B$13*MAX((MIN(AF320,$B$15)*$B$6+MAX(AF320-$B$15,0)*$B$16*$B$7/12)-$B$9,0)),0)</f>
        <v/>
      </c>
      <c r="AG321" s="179">
        <f>AG320+(MIN(AG320,$B$15)*$B$6+MAX(AG320-$B$15,0)*$B$16*$B$7/12)-$B$9-MAX((MIN(AG320,$B$15)*$B$6+MAX(AG320-$B$15,0)*$B$16*$B$7/12)-$B$9-IF(AND(AG$309&gt;0,$B$8&gt;0),MIN(AG$309*$B$17,$B$13*MAX((MIN(AG320,$B$15)*$B$6+MAX(AG320-$B$15,0)*$B$16*$B$7/12)-$B$9,0)),0),0)*$B$8-(1-AG$310)*IF(AND(AG$309&gt;0,$B$8&gt;0),MIN(AG$309*$B$17,$B$13*MAX((MIN(AG320,$B$15)*$B$6+MAX(AG320-$B$15,0)*$B$16*$B$7/12)-$B$9,0)),0)</f>
        <v/>
      </c>
      <c r="AH321" s="179">
        <f>AH320+(MIN(AH320,$B$15)*$B$6+MAX(AH320-$B$15,0)*$B$16*$B$7/12)-$B$9-MAX((MIN(AH320,$B$15)*$B$6+MAX(AH320-$B$15,0)*$B$16*$B$7/12)-$B$9-IF(AND(AH$309&gt;0,$B$8&gt;0),MIN(AH$309*$B$17,$B$13*MAX((MIN(AH320,$B$15)*$B$6+MAX(AH320-$B$15,0)*$B$16*$B$7/12)-$B$9,0)),0),0)*$B$8-(1-AH$310)*IF(AND(AH$309&gt;0,$B$8&gt;0),MIN(AH$309*$B$17,$B$13*MAX((MIN(AH320,$B$15)*$B$6+MAX(AH320-$B$15,0)*$B$16*$B$7/12)-$B$9,0)),0)</f>
        <v/>
      </c>
      <c r="AI321" s="179">
        <f>AI320+(MIN(AI320,$B$15)*$B$6+MAX(AI320-$B$15,0)*$B$16*$B$7/12)-$B$9-MAX((MIN(AI320,$B$15)*$B$6+MAX(AI320-$B$15,0)*$B$16*$B$7/12)-$B$9-IF(AND(AI$309&gt;0,$B$8&gt;0),MIN(AI$309*$B$17,$B$13*MAX((MIN(AI320,$B$15)*$B$6+MAX(AI320-$B$15,0)*$B$16*$B$7/12)-$B$9,0)),0),0)*$B$8-(1-AI$310)*IF(AND(AI$309&gt;0,$B$8&gt;0),MIN(AI$309*$B$17,$B$13*MAX((MIN(AI320,$B$15)*$B$6+MAX(AI320-$B$15,0)*$B$16*$B$7/12)-$B$9,0)),0)</f>
        <v/>
      </c>
      <c r="AJ321" s="179">
        <f>AJ320+(MIN(AJ320,$B$15)*$B$6+MAX(AJ320-$B$15,0)*$B$16*$B$7/12)-$B$9-MAX((MIN(AJ320,$B$15)*$B$6+MAX(AJ320-$B$15,0)*$B$16*$B$7/12)-$B$9-IF(AND(AJ$309&gt;0,$B$8&gt;0),MIN(AJ$309*$B$17,$B$13*MAX((MIN(AJ320,$B$15)*$B$6+MAX(AJ320-$B$15,0)*$B$16*$B$7/12)-$B$9,0)),0),0)*$B$8-(1-AJ$310)*IF(AND(AJ$309&gt;0,$B$8&gt;0),MIN(AJ$309*$B$17,$B$13*MAX((MIN(AJ320,$B$15)*$B$6+MAX(AJ320-$B$15,0)*$B$16*$B$7/12)-$B$9,0)),0)</f>
        <v/>
      </c>
      <c r="AK321" s="179">
        <f>AK320+(MIN(AK320,$B$15)*$B$6+MAX(AK320-$B$15,0)*$B$16*$B$7/12)-$B$9-MAX((MIN(AK320,$B$15)*$B$6+MAX(AK320-$B$15,0)*$B$16*$B$7/12)-$B$9-IF(AND(AK$309&gt;0,$B$8&gt;0),MIN(AK$309*$B$17,$B$13*MAX((MIN(AK320,$B$15)*$B$6+MAX(AK320-$B$15,0)*$B$16*$B$7/12)-$B$9,0)),0),0)*$B$8-(1-AK$310)*IF(AND(AK$309&gt;0,$B$8&gt;0),MIN(AK$309*$B$17,$B$13*MAX((MIN(AK320,$B$15)*$B$6+MAX(AK320-$B$15,0)*$B$16*$B$7/12)-$B$9,0)),0)</f>
        <v/>
      </c>
      <c r="AL321" s="179">
        <f>AL320+(MIN(AL320,$B$15)*$B$6+MAX(AL320-$B$15,0)*$B$16*$B$7/12)-$B$9-MAX((MIN(AL320,$B$15)*$B$6+MAX(AL320-$B$15,0)*$B$16*$B$7/12)-$B$9-IF(AND(AL$309&gt;0,$B$8&gt;0),MIN(AL$309*$B$17,$B$13*MAX((MIN(AL320,$B$15)*$B$6+MAX(AL320-$B$15,0)*$B$16*$B$7/12)-$B$9,0)),0),0)*$B$8-(1-AL$310)*IF(AND(AL$309&gt;0,$B$8&gt;0),MIN(AL$309*$B$17,$B$13*MAX((MIN(AL320,$B$15)*$B$6+MAX(AL320-$B$15,0)*$B$16*$B$7/12)-$B$9,0)),0)</f>
        <v/>
      </c>
      <c r="AM321" s="179">
        <f>AM320+(MIN(AM320,$B$15)*$B$6+MAX(AM320-$B$15,0)*$B$16*$B$7/12)-$B$9-MAX((MIN(AM320,$B$15)*$B$6+MAX(AM320-$B$15,0)*$B$16*$B$7/12)-$B$9-IF(AND(AM$309&gt;0,$B$8&gt;0),MIN(AM$309*$B$17,$B$13*MAX((MIN(AM320,$B$15)*$B$6+MAX(AM320-$B$15,0)*$B$16*$B$7/12)-$B$9,0)),0),0)*$B$8-(1-AM$310)*IF(AND(AM$309&gt;0,$B$8&gt;0),MIN(AM$309*$B$17,$B$13*MAX((MIN(AM320,$B$15)*$B$6+MAX(AM320-$B$15,0)*$B$16*$B$7/12)-$B$9,0)),0)</f>
        <v/>
      </c>
      <c r="AN321" s="179">
        <f>AN320+(MIN(AN320,$B$15)*$B$6+MAX(AN320-$B$15,0)*$B$16*$B$7/12)-$B$9-MAX((MIN(AN320,$B$15)*$B$6+MAX(AN320-$B$15,0)*$B$16*$B$7/12)-$B$9-IF(AND(AN$309&gt;0,$B$8&gt;0),MIN(AN$309*$B$17,$B$13*MAX((MIN(AN320,$B$15)*$B$6+MAX(AN320-$B$15,0)*$B$16*$B$7/12)-$B$9,0)),0),0)*$B$8-(1-AN$310)*IF(AND(AN$309&gt;0,$B$8&gt;0),MIN(AN$309*$B$17,$B$13*MAX((MIN(AN320,$B$15)*$B$6+MAX(AN320-$B$15,0)*$B$16*$B$7/12)-$B$9,0)),0)</f>
        <v/>
      </c>
      <c r="AO321" s="179">
        <f>AO320+(MIN(AO320,$B$15)*$B$6+MAX(AO320-$B$15,0)*$B$16*$B$7/12)-$B$9-MAX((MIN(AO320,$B$15)*$B$6+MAX(AO320-$B$15,0)*$B$16*$B$7/12)-$B$9-IF(AND(AO$309&gt;0,$B$8&gt;0),MIN(AO$309*$B$17,$B$13*MAX((MIN(AO320,$B$15)*$B$6+MAX(AO320-$B$15,0)*$B$16*$B$7/12)-$B$9,0)),0),0)*$B$8-(1-AO$310)*IF(AND(AO$309&gt;0,$B$8&gt;0),MIN(AO$309*$B$17,$B$13*MAX((MIN(AO320,$B$15)*$B$6+MAX(AO320-$B$15,0)*$B$16*$B$7/12)-$B$9,0)),0)</f>
        <v/>
      </c>
      <c r="AP321" s="179">
        <f>AP320+(MIN(AP320,$B$15)*$B$6+MAX(AP320-$B$15,0)*$B$16*$B$7/12)-$B$9-MAX((MIN(AP320,$B$15)*$B$6+MAX(AP320-$B$15,0)*$B$16*$B$7/12)-$B$9-IF(AND(AP$309&gt;0,$B$8&gt;0),MIN(AP$309*$B$17,$B$13*MAX((MIN(AP320,$B$15)*$B$6+MAX(AP320-$B$15,0)*$B$16*$B$7/12)-$B$9,0)),0),0)*$B$8-(1-AP$310)*IF(AND(AP$309&gt;0,$B$8&gt;0),MIN(AP$309*$B$17,$B$13*MAX((MIN(AP320,$B$15)*$B$6+MAX(AP320-$B$15,0)*$B$16*$B$7/12)-$B$9,0)),0)</f>
        <v/>
      </c>
      <c r="AQ321" s="179">
        <f>AQ320+(MIN(AQ320,$B$15)*$B$6+MAX(AQ320-$B$15,0)*$B$16*$B$7/12)-$B$9-MAX((MIN(AQ320,$B$15)*$B$6+MAX(AQ320-$B$15,0)*$B$16*$B$7/12)-$B$9-IF(AND(AQ$309&gt;0,$B$8&gt;0),MIN(AQ$309*$B$17,$B$13*MAX((MIN(AQ320,$B$15)*$B$6+MAX(AQ320-$B$15,0)*$B$16*$B$7/12)-$B$9,0)),0),0)*$B$8-(1-AQ$310)*IF(AND(AQ$309&gt;0,$B$8&gt;0),MIN(AQ$309*$B$17,$B$13*MAX((MIN(AQ320,$B$15)*$B$6+MAX(AQ320-$B$15,0)*$B$16*$B$7/12)-$B$9,0)),0)</f>
        <v/>
      </c>
    </row>
    <row r="322" hidden="1" outlineLevel="1">
      <c r="A322" s="164" t="inlineStr">
        <is>
          <t>Cycle 12</t>
        </is>
      </c>
      <c r="B322" s="179">
        <f>B321+(MIN(B321,$B$15)*$B$6+MAX(B321-$B$15,0)*$B$16*$B$7/12)-$B$9-MAX((MIN(B321,$B$15)*$B$6+MAX(B321-$B$15,0)*$B$16*$B$7/12)-$B$9-IF(AND(B$309&gt;0,$B$8&gt;0),MIN(B$309*$B$17,$B$13*MAX((MIN(B321,$B$15)*$B$6+MAX(B321-$B$15,0)*$B$16*$B$7/12)-$B$9,0)),0),0)*$B$8-(1-B$310)*IF(AND(B$309&gt;0,$B$8&gt;0),MIN(B$309*$B$17,$B$13*MAX((MIN(B321,$B$15)*$B$6+MAX(B321-$B$15,0)*$B$16*$B$7/12)-$B$9,0)),0)</f>
        <v/>
      </c>
      <c r="C322" s="179">
        <f>C321+(MIN(C321,$B$15)*$B$6+MAX(C321-$B$15,0)*$B$16*$B$7/12)-$B$9-MAX((MIN(C321,$B$15)*$B$6+MAX(C321-$B$15,0)*$B$16*$B$7/12)-$B$9-IF(AND(C$309&gt;0,$B$8&gt;0),MIN(C$309*$B$17,$B$13*MAX((MIN(C321,$B$15)*$B$6+MAX(C321-$B$15,0)*$B$16*$B$7/12)-$B$9,0)),0),0)*$B$8-(1-C$310)*IF(AND(C$309&gt;0,$B$8&gt;0),MIN(C$309*$B$17,$B$13*MAX((MIN(C321,$B$15)*$B$6+MAX(C321-$B$15,0)*$B$16*$B$7/12)-$B$9,0)),0)</f>
        <v/>
      </c>
      <c r="D322" s="179">
        <f>D321+(MIN(D321,$B$15)*$B$6+MAX(D321-$B$15,0)*$B$16*$B$7/12)-$B$9-MAX((MIN(D321,$B$15)*$B$6+MAX(D321-$B$15,0)*$B$16*$B$7/12)-$B$9-IF(AND(D$309&gt;0,$B$8&gt;0),MIN(D$309*$B$17,$B$13*MAX((MIN(D321,$B$15)*$B$6+MAX(D321-$B$15,0)*$B$16*$B$7/12)-$B$9,0)),0),0)*$B$8-(1-D$310)*IF(AND(D$309&gt;0,$B$8&gt;0),MIN(D$309*$B$17,$B$13*MAX((MIN(D321,$B$15)*$B$6+MAX(D321-$B$15,0)*$B$16*$B$7/12)-$B$9,0)),0)</f>
        <v/>
      </c>
      <c r="E322" s="179">
        <f>E321+(MIN(E321,$B$15)*$B$6+MAX(E321-$B$15,0)*$B$16*$B$7/12)-$B$9-MAX((MIN(E321,$B$15)*$B$6+MAX(E321-$B$15,0)*$B$16*$B$7/12)-$B$9-IF(AND(E$309&gt;0,$B$8&gt;0),MIN(E$309*$B$17,$B$13*MAX((MIN(E321,$B$15)*$B$6+MAX(E321-$B$15,0)*$B$16*$B$7/12)-$B$9,0)),0),0)*$B$8-(1-E$310)*IF(AND(E$309&gt;0,$B$8&gt;0),MIN(E$309*$B$17,$B$13*MAX((MIN(E321,$B$15)*$B$6+MAX(E321-$B$15,0)*$B$16*$B$7/12)-$B$9,0)),0)</f>
        <v/>
      </c>
      <c r="F322" s="179">
        <f>F321+(MIN(F321,$B$15)*$B$6+MAX(F321-$B$15,0)*$B$16*$B$7/12)-$B$9-MAX((MIN(F321,$B$15)*$B$6+MAX(F321-$B$15,0)*$B$16*$B$7/12)-$B$9-IF(AND(F$309&gt;0,$B$8&gt;0),MIN(F$309*$B$17,$B$13*MAX((MIN(F321,$B$15)*$B$6+MAX(F321-$B$15,0)*$B$16*$B$7/12)-$B$9,0)),0),0)*$B$8-(1-F$310)*IF(AND(F$309&gt;0,$B$8&gt;0),MIN(F$309*$B$17,$B$13*MAX((MIN(F321,$B$15)*$B$6+MAX(F321-$B$15,0)*$B$16*$B$7/12)-$B$9,0)),0)</f>
        <v/>
      </c>
      <c r="G322" s="179">
        <f>G321+(MIN(G321,$B$15)*$B$6+MAX(G321-$B$15,0)*$B$16*$B$7/12)-$B$9-MAX((MIN(G321,$B$15)*$B$6+MAX(G321-$B$15,0)*$B$16*$B$7/12)-$B$9-IF(AND(G$309&gt;0,$B$8&gt;0),MIN(G$309*$B$17,$B$13*MAX((MIN(G321,$B$15)*$B$6+MAX(G321-$B$15,0)*$B$16*$B$7/12)-$B$9,0)),0),0)*$B$8-(1-G$310)*IF(AND(G$309&gt;0,$B$8&gt;0),MIN(G$309*$B$17,$B$13*MAX((MIN(G321,$B$15)*$B$6+MAX(G321-$B$15,0)*$B$16*$B$7/12)-$B$9,0)),0)</f>
        <v/>
      </c>
      <c r="H322" s="179">
        <f>H321+(MIN(H321,$B$15)*$B$6+MAX(H321-$B$15,0)*$B$16*$B$7/12)-$B$9-MAX((MIN(H321,$B$15)*$B$6+MAX(H321-$B$15,0)*$B$16*$B$7/12)-$B$9-IF(AND(H$309&gt;0,$B$8&gt;0),MIN(H$309*$B$17,$B$13*MAX((MIN(H321,$B$15)*$B$6+MAX(H321-$B$15,0)*$B$16*$B$7/12)-$B$9,0)),0),0)*$B$8-(1-H$310)*IF(AND(H$309&gt;0,$B$8&gt;0),MIN(H$309*$B$17,$B$13*MAX((MIN(H321,$B$15)*$B$6+MAX(H321-$B$15,0)*$B$16*$B$7/12)-$B$9,0)),0)</f>
        <v/>
      </c>
      <c r="I322" s="179">
        <f>I321+(MIN(I321,$B$15)*$B$6+MAX(I321-$B$15,0)*$B$16*$B$7/12)-$B$9-MAX((MIN(I321,$B$15)*$B$6+MAX(I321-$B$15,0)*$B$16*$B$7/12)-$B$9-IF(AND(I$309&gt;0,$B$8&gt;0),MIN(I$309*$B$17,$B$13*MAX((MIN(I321,$B$15)*$B$6+MAX(I321-$B$15,0)*$B$16*$B$7/12)-$B$9,0)),0),0)*$B$8-(1-I$310)*IF(AND(I$309&gt;0,$B$8&gt;0),MIN(I$309*$B$17,$B$13*MAX((MIN(I321,$B$15)*$B$6+MAX(I321-$B$15,0)*$B$16*$B$7/12)-$B$9,0)),0)</f>
        <v/>
      </c>
      <c r="J322" s="179">
        <f>J321+(MIN(J321,$B$15)*$B$6+MAX(J321-$B$15,0)*$B$16*$B$7/12)-$B$9-MAX((MIN(J321,$B$15)*$B$6+MAX(J321-$B$15,0)*$B$16*$B$7/12)-$B$9-IF(AND(J$309&gt;0,$B$8&gt;0),MIN(J$309*$B$17,$B$13*MAX((MIN(J321,$B$15)*$B$6+MAX(J321-$B$15,0)*$B$16*$B$7/12)-$B$9,0)),0),0)*$B$8-(1-J$310)*IF(AND(J$309&gt;0,$B$8&gt;0),MIN(J$309*$B$17,$B$13*MAX((MIN(J321,$B$15)*$B$6+MAX(J321-$B$15,0)*$B$16*$B$7/12)-$B$9,0)),0)</f>
        <v/>
      </c>
      <c r="K322" s="179">
        <f>K321+(MIN(K321,$B$15)*$B$6+MAX(K321-$B$15,0)*$B$16*$B$7/12)-$B$9-MAX((MIN(K321,$B$15)*$B$6+MAX(K321-$B$15,0)*$B$16*$B$7/12)-$B$9-IF(AND(K$309&gt;0,$B$8&gt;0),MIN(K$309*$B$17,$B$13*MAX((MIN(K321,$B$15)*$B$6+MAX(K321-$B$15,0)*$B$16*$B$7/12)-$B$9,0)),0),0)*$B$8-(1-K$310)*IF(AND(K$309&gt;0,$B$8&gt;0),MIN(K$309*$B$17,$B$13*MAX((MIN(K321,$B$15)*$B$6+MAX(K321-$B$15,0)*$B$16*$B$7/12)-$B$9,0)),0)</f>
        <v/>
      </c>
      <c r="L322" s="179">
        <f>L321+(MIN(L321,$B$15)*$B$6+MAX(L321-$B$15,0)*$B$16*$B$7/12)-$B$9-MAX((MIN(L321,$B$15)*$B$6+MAX(L321-$B$15,0)*$B$16*$B$7/12)-$B$9-IF(AND(L$309&gt;0,$B$8&gt;0),MIN(L$309*$B$17,$B$13*MAX((MIN(L321,$B$15)*$B$6+MAX(L321-$B$15,0)*$B$16*$B$7/12)-$B$9,0)),0),0)*$B$8-(1-L$310)*IF(AND(L$309&gt;0,$B$8&gt;0),MIN(L$309*$B$17,$B$13*MAX((MIN(L321,$B$15)*$B$6+MAX(L321-$B$15,0)*$B$16*$B$7/12)-$B$9,0)),0)</f>
        <v/>
      </c>
      <c r="M322" s="179">
        <f>M321+(MIN(M321,$B$15)*$B$6+MAX(M321-$B$15,0)*$B$16*$B$7/12)-$B$9-MAX((MIN(M321,$B$15)*$B$6+MAX(M321-$B$15,0)*$B$16*$B$7/12)-$B$9-IF(AND(M$309&gt;0,$B$8&gt;0),MIN(M$309*$B$17,$B$13*MAX((MIN(M321,$B$15)*$B$6+MAX(M321-$B$15,0)*$B$16*$B$7/12)-$B$9,0)),0),0)*$B$8-(1-M$310)*IF(AND(M$309&gt;0,$B$8&gt;0),MIN(M$309*$B$17,$B$13*MAX((MIN(M321,$B$15)*$B$6+MAX(M321-$B$15,0)*$B$16*$B$7/12)-$B$9,0)),0)</f>
        <v/>
      </c>
      <c r="N322" s="179">
        <f>N321+(MIN(N321,$B$15)*$B$6+MAX(N321-$B$15,0)*$B$16*$B$7/12)-$B$9-MAX((MIN(N321,$B$15)*$B$6+MAX(N321-$B$15,0)*$B$16*$B$7/12)-$B$9-IF(AND(N$309&gt;0,$B$8&gt;0),MIN(N$309*$B$17,$B$13*MAX((MIN(N321,$B$15)*$B$6+MAX(N321-$B$15,0)*$B$16*$B$7/12)-$B$9,0)),0),0)*$B$8-(1-N$310)*IF(AND(N$309&gt;0,$B$8&gt;0),MIN(N$309*$B$17,$B$13*MAX((MIN(N321,$B$15)*$B$6+MAX(N321-$B$15,0)*$B$16*$B$7/12)-$B$9,0)),0)</f>
        <v/>
      </c>
      <c r="O322" s="179">
        <f>O321+(MIN(O321,$B$15)*$B$6+MAX(O321-$B$15,0)*$B$16*$B$7/12)-$B$9-MAX((MIN(O321,$B$15)*$B$6+MAX(O321-$B$15,0)*$B$16*$B$7/12)-$B$9-IF(AND(O$309&gt;0,$B$8&gt;0),MIN(O$309*$B$17,$B$13*MAX((MIN(O321,$B$15)*$B$6+MAX(O321-$B$15,0)*$B$16*$B$7/12)-$B$9,0)),0),0)*$B$8-(1-O$310)*IF(AND(O$309&gt;0,$B$8&gt;0),MIN(O$309*$B$17,$B$13*MAX((MIN(O321,$B$15)*$B$6+MAX(O321-$B$15,0)*$B$16*$B$7/12)-$B$9,0)),0)</f>
        <v/>
      </c>
      <c r="P322" s="179">
        <f>P321+(MIN(P321,$B$15)*$B$6+MAX(P321-$B$15,0)*$B$16*$B$7/12)-$B$9-MAX((MIN(P321,$B$15)*$B$6+MAX(P321-$B$15,0)*$B$16*$B$7/12)-$B$9-IF(AND(P$309&gt;0,$B$8&gt;0),MIN(P$309*$B$17,$B$13*MAX((MIN(P321,$B$15)*$B$6+MAX(P321-$B$15,0)*$B$16*$B$7/12)-$B$9,0)),0),0)*$B$8-(1-P$310)*IF(AND(P$309&gt;0,$B$8&gt;0),MIN(P$309*$B$17,$B$13*MAX((MIN(P321,$B$15)*$B$6+MAX(P321-$B$15,0)*$B$16*$B$7/12)-$B$9,0)),0)</f>
        <v/>
      </c>
      <c r="Q322" s="179">
        <f>Q321+(MIN(Q321,$B$15)*$B$6+MAX(Q321-$B$15,0)*$B$16*$B$7/12)-$B$9-MAX((MIN(Q321,$B$15)*$B$6+MAX(Q321-$B$15,0)*$B$16*$B$7/12)-$B$9-IF(AND(Q$309&gt;0,$B$8&gt;0),MIN(Q$309*$B$17,$B$13*MAX((MIN(Q321,$B$15)*$B$6+MAX(Q321-$B$15,0)*$B$16*$B$7/12)-$B$9,0)),0),0)*$B$8-(1-Q$310)*IF(AND(Q$309&gt;0,$B$8&gt;0),MIN(Q$309*$B$17,$B$13*MAX((MIN(Q321,$B$15)*$B$6+MAX(Q321-$B$15,0)*$B$16*$B$7/12)-$B$9,0)),0)</f>
        <v/>
      </c>
      <c r="R322" s="179">
        <f>R321+(MIN(R321,$B$15)*$B$6+MAX(R321-$B$15,0)*$B$16*$B$7/12)-$B$9-MAX((MIN(R321,$B$15)*$B$6+MAX(R321-$B$15,0)*$B$16*$B$7/12)-$B$9-IF(AND(R$309&gt;0,$B$8&gt;0),MIN(R$309*$B$17,$B$13*MAX((MIN(R321,$B$15)*$B$6+MAX(R321-$B$15,0)*$B$16*$B$7/12)-$B$9,0)),0),0)*$B$8-(1-R$310)*IF(AND(R$309&gt;0,$B$8&gt;0),MIN(R$309*$B$17,$B$13*MAX((MIN(R321,$B$15)*$B$6+MAX(R321-$B$15,0)*$B$16*$B$7/12)-$B$9,0)),0)</f>
        <v/>
      </c>
      <c r="S322" s="179">
        <f>S321+(MIN(S321,$B$15)*$B$6+MAX(S321-$B$15,0)*$B$16*$B$7/12)-$B$9-MAX((MIN(S321,$B$15)*$B$6+MAX(S321-$B$15,0)*$B$16*$B$7/12)-$B$9-IF(AND(S$309&gt;0,$B$8&gt;0),MIN(S$309*$B$17,$B$13*MAX((MIN(S321,$B$15)*$B$6+MAX(S321-$B$15,0)*$B$16*$B$7/12)-$B$9,0)),0),0)*$B$8-(1-S$310)*IF(AND(S$309&gt;0,$B$8&gt;0),MIN(S$309*$B$17,$B$13*MAX((MIN(S321,$B$15)*$B$6+MAX(S321-$B$15,0)*$B$16*$B$7/12)-$B$9,0)),0)</f>
        <v/>
      </c>
      <c r="T322" s="179">
        <f>T321+(MIN(T321,$B$15)*$B$6+MAX(T321-$B$15,0)*$B$16*$B$7/12)-$B$9-MAX((MIN(T321,$B$15)*$B$6+MAX(T321-$B$15,0)*$B$16*$B$7/12)-$B$9-IF(AND(T$309&gt;0,$B$8&gt;0),MIN(T$309*$B$17,$B$13*MAX((MIN(T321,$B$15)*$B$6+MAX(T321-$B$15,0)*$B$16*$B$7/12)-$B$9,0)),0),0)*$B$8-(1-T$310)*IF(AND(T$309&gt;0,$B$8&gt;0),MIN(T$309*$B$17,$B$13*MAX((MIN(T321,$B$15)*$B$6+MAX(T321-$B$15,0)*$B$16*$B$7/12)-$B$9,0)),0)</f>
        <v/>
      </c>
      <c r="U322" s="179">
        <f>U321+(MIN(U321,$B$15)*$B$6+MAX(U321-$B$15,0)*$B$16*$B$7/12)-$B$9-MAX((MIN(U321,$B$15)*$B$6+MAX(U321-$B$15,0)*$B$16*$B$7/12)-$B$9-IF(AND(U$309&gt;0,$B$8&gt;0),MIN(U$309*$B$17,$B$13*MAX((MIN(U321,$B$15)*$B$6+MAX(U321-$B$15,0)*$B$16*$B$7/12)-$B$9,0)),0),0)*$B$8-(1-U$310)*IF(AND(U$309&gt;0,$B$8&gt;0),MIN(U$309*$B$17,$B$13*MAX((MIN(U321,$B$15)*$B$6+MAX(U321-$B$15,0)*$B$16*$B$7/12)-$B$9,0)),0)</f>
        <v/>
      </c>
      <c r="V322" s="179">
        <f>V321+(MIN(V321,$B$15)*$B$6+MAX(V321-$B$15,0)*$B$16*$B$7/12)-$B$9-MAX((MIN(V321,$B$15)*$B$6+MAX(V321-$B$15,0)*$B$16*$B$7/12)-$B$9-IF(AND(V$309&gt;0,$B$8&gt;0),MIN(V$309*$B$17,$B$13*MAX((MIN(V321,$B$15)*$B$6+MAX(V321-$B$15,0)*$B$16*$B$7/12)-$B$9,0)),0),0)*$B$8-(1-V$310)*IF(AND(V$309&gt;0,$B$8&gt;0),MIN(V$309*$B$17,$B$13*MAX((MIN(V321,$B$15)*$B$6+MAX(V321-$B$15,0)*$B$16*$B$7/12)-$B$9,0)),0)</f>
        <v/>
      </c>
      <c r="W322" s="179">
        <f>W321+(MIN(W321,$B$15)*$B$6+MAX(W321-$B$15,0)*$B$16*$B$7/12)-$B$9-MAX((MIN(W321,$B$15)*$B$6+MAX(W321-$B$15,0)*$B$16*$B$7/12)-$B$9-IF(AND(W$309&gt;0,$B$8&gt;0),MIN(W$309*$B$17,$B$13*MAX((MIN(W321,$B$15)*$B$6+MAX(W321-$B$15,0)*$B$16*$B$7/12)-$B$9,0)),0),0)*$B$8-(1-W$310)*IF(AND(W$309&gt;0,$B$8&gt;0),MIN(W$309*$B$17,$B$13*MAX((MIN(W321,$B$15)*$B$6+MAX(W321-$B$15,0)*$B$16*$B$7/12)-$B$9,0)),0)</f>
        <v/>
      </c>
      <c r="X322" s="179">
        <f>X321+(MIN(X321,$B$15)*$B$6+MAX(X321-$B$15,0)*$B$16*$B$7/12)-$B$9-MAX((MIN(X321,$B$15)*$B$6+MAX(X321-$B$15,0)*$B$16*$B$7/12)-$B$9-IF(AND(X$309&gt;0,$B$8&gt;0),MIN(X$309*$B$17,$B$13*MAX((MIN(X321,$B$15)*$B$6+MAX(X321-$B$15,0)*$B$16*$B$7/12)-$B$9,0)),0),0)*$B$8-(1-X$310)*IF(AND(X$309&gt;0,$B$8&gt;0),MIN(X$309*$B$17,$B$13*MAX((MIN(X321,$B$15)*$B$6+MAX(X321-$B$15,0)*$B$16*$B$7/12)-$B$9,0)),0)</f>
        <v/>
      </c>
      <c r="Y322" s="179">
        <f>Y321+(MIN(Y321,$B$15)*$B$6+MAX(Y321-$B$15,0)*$B$16*$B$7/12)-$B$9-MAX((MIN(Y321,$B$15)*$B$6+MAX(Y321-$B$15,0)*$B$16*$B$7/12)-$B$9-IF(AND(Y$309&gt;0,$B$8&gt;0),MIN(Y$309*$B$17,$B$13*MAX((MIN(Y321,$B$15)*$B$6+MAX(Y321-$B$15,0)*$B$16*$B$7/12)-$B$9,0)),0),0)*$B$8-(1-Y$310)*IF(AND(Y$309&gt;0,$B$8&gt;0),MIN(Y$309*$B$17,$B$13*MAX((MIN(Y321,$B$15)*$B$6+MAX(Y321-$B$15,0)*$B$16*$B$7/12)-$B$9,0)),0)</f>
        <v/>
      </c>
      <c r="Z322" s="179">
        <f>Z321+(MIN(Z321,$B$15)*$B$6+MAX(Z321-$B$15,0)*$B$16*$B$7/12)-$B$9-MAX((MIN(Z321,$B$15)*$B$6+MAX(Z321-$B$15,0)*$B$16*$B$7/12)-$B$9-IF(AND(Z$309&gt;0,$B$8&gt;0),MIN(Z$309*$B$17,$B$13*MAX((MIN(Z321,$B$15)*$B$6+MAX(Z321-$B$15,0)*$B$16*$B$7/12)-$B$9,0)),0),0)*$B$8-(1-Z$310)*IF(AND(Z$309&gt;0,$B$8&gt;0),MIN(Z$309*$B$17,$B$13*MAX((MIN(Z321,$B$15)*$B$6+MAX(Z321-$B$15,0)*$B$16*$B$7/12)-$B$9,0)),0)</f>
        <v/>
      </c>
      <c r="AA322" s="179">
        <f>AA321+(MIN(AA321,$B$15)*$B$6+MAX(AA321-$B$15,0)*$B$16*$B$7/12)-$B$9-MAX((MIN(AA321,$B$15)*$B$6+MAX(AA321-$B$15,0)*$B$16*$B$7/12)-$B$9-IF(AND(AA$309&gt;0,$B$8&gt;0),MIN(AA$309*$B$17,$B$13*MAX((MIN(AA321,$B$15)*$B$6+MAX(AA321-$B$15,0)*$B$16*$B$7/12)-$B$9,0)),0),0)*$B$8-(1-AA$310)*IF(AND(AA$309&gt;0,$B$8&gt;0),MIN(AA$309*$B$17,$B$13*MAX((MIN(AA321,$B$15)*$B$6+MAX(AA321-$B$15,0)*$B$16*$B$7/12)-$B$9,0)),0)</f>
        <v/>
      </c>
      <c r="AB322" s="179">
        <f>AB321+(MIN(AB321,$B$15)*$B$6+MAX(AB321-$B$15,0)*$B$16*$B$7/12)-$B$9-MAX((MIN(AB321,$B$15)*$B$6+MAX(AB321-$B$15,0)*$B$16*$B$7/12)-$B$9-IF(AND(AB$309&gt;0,$B$8&gt;0),MIN(AB$309*$B$17,$B$13*MAX((MIN(AB321,$B$15)*$B$6+MAX(AB321-$B$15,0)*$B$16*$B$7/12)-$B$9,0)),0),0)*$B$8-(1-AB$310)*IF(AND(AB$309&gt;0,$B$8&gt;0),MIN(AB$309*$B$17,$B$13*MAX((MIN(AB321,$B$15)*$B$6+MAX(AB321-$B$15,0)*$B$16*$B$7/12)-$B$9,0)),0)</f>
        <v/>
      </c>
      <c r="AC322" s="179">
        <f>AC321+(MIN(AC321,$B$15)*$B$6+MAX(AC321-$B$15,0)*$B$16*$B$7/12)-$B$9-MAX((MIN(AC321,$B$15)*$B$6+MAX(AC321-$B$15,0)*$B$16*$B$7/12)-$B$9-IF(AND(AC$309&gt;0,$B$8&gt;0),MIN(AC$309*$B$17,$B$13*MAX((MIN(AC321,$B$15)*$B$6+MAX(AC321-$B$15,0)*$B$16*$B$7/12)-$B$9,0)),0),0)*$B$8-(1-AC$310)*IF(AND(AC$309&gt;0,$B$8&gt;0),MIN(AC$309*$B$17,$B$13*MAX((MIN(AC321,$B$15)*$B$6+MAX(AC321-$B$15,0)*$B$16*$B$7/12)-$B$9,0)),0)</f>
        <v/>
      </c>
      <c r="AD322" s="179">
        <f>AD321+(MIN(AD321,$B$15)*$B$6+MAX(AD321-$B$15,0)*$B$16*$B$7/12)-$B$9-MAX((MIN(AD321,$B$15)*$B$6+MAX(AD321-$B$15,0)*$B$16*$B$7/12)-$B$9-IF(AND(AD$309&gt;0,$B$8&gt;0),MIN(AD$309*$B$17,$B$13*MAX((MIN(AD321,$B$15)*$B$6+MAX(AD321-$B$15,0)*$B$16*$B$7/12)-$B$9,0)),0),0)*$B$8-(1-AD$310)*IF(AND(AD$309&gt;0,$B$8&gt;0),MIN(AD$309*$B$17,$B$13*MAX((MIN(AD321,$B$15)*$B$6+MAX(AD321-$B$15,0)*$B$16*$B$7/12)-$B$9,0)),0)</f>
        <v/>
      </c>
      <c r="AE322" s="179">
        <f>AE321+(MIN(AE321,$B$15)*$B$6+MAX(AE321-$B$15,0)*$B$16*$B$7/12)-$B$9-MAX((MIN(AE321,$B$15)*$B$6+MAX(AE321-$B$15,0)*$B$16*$B$7/12)-$B$9-IF(AND(AE$309&gt;0,$B$8&gt;0),MIN(AE$309*$B$17,$B$13*MAX((MIN(AE321,$B$15)*$B$6+MAX(AE321-$B$15,0)*$B$16*$B$7/12)-$B$9,0)),0),0)*$B$8-(1-AE$310)*IF(AND(AE$309&gt;0,$B$8&gt;0),MIN(AE$309*$B$17,$B$13*MAX((MIN(AE321,$B$15)*$B$6+MAX(AE321-$B$15,0)*$B$16*$B$7/12)-$B$9,0)),0)</f>
        <v/>
      </c>
      <c r="AF322" s="179">
        <f>AF321+(MIN(AF321,$B$15)*$B$6+MAX(AF321-$B$15,0)*$B$16*$B$7/12)-$B$9-MAX((MIN(AF321,$B$15)*$B$6+MAX(AF321-$B$15,0)*$B$16*$B$7/12)-$B$9-IF(AND(AF$309&gt;0,$B$8&gt;0),MIN(AF$309*$B$17,$B$13*MAX((MIN(AF321,$B$15)*$B$6+MAX(AF321-$B$15,0)*$B$16*$B$7/12)-$B$9,0)),0),0)*$B$8-(1-AF$310)*IF(AND(AF$309&gt;0,$B$8&gt;0),MIN(AF$309*$B$17,$B$13*MAX((MIN(AF321,$B$15)*$B$6+MAX(AF321-$B$15,0)*$B$16*$B$7/12)-$B$9,0)),0)</f>
        <v/>
      </c>
      <c r="AG322" s="179">
        <f>AG321+(MIN(AG321,$B$15)*$B$6+MAX(AG321-$B$15,0)*$B$16*$B$7/12)-$B$9-MAX((MIN(AG321,$B$15)*$B$6+MAX(AG321-$B$15,0)*$B$16*$B$7/12)-$B$9-IF(AND(AG$309&gt;0,$B$8&gt;0),MIN(AG$309*$B$17,$B$13*MAX((MIN(AG321,$B$15)*$B$6+MAX(AG321-$B$15,0)*$B$16*$B$7/12)-$B$9,0)),0),0)*$B$8-(1-AG$310)*IF(AND(AG$309&gt;0,$B$8&gt;0),MIN(AG$309*$B$17,$B$13*MAX((MIN(AG321,$B$15)*$B$6+MAX(AG321-$B$15,0)*$B$16*$B$7/12)-$B$9,0)),0)</f>
        <v/>
      </c>
      <c r="AH322" s="179">
        <f>AH321+(MIN(AH321,$B$15)*$B$6+MAX(AH321-$B$15,0)*$B$16*$B$7/12)-$B$9-MAX((MIN(AH321,$B$15)*$B$6+MAX(AH321-$B$15,0)*$B$16*$B$7/12)-$B$9-IF(AND(AH$309&gt;0,$B$8&gt;0),MIN(AH$309*$B$17,$B$13*MAX((MIN(AH321,$B$15)*$B$6+MAX(AH321-$B$15,0)*$B$16*$B$7/12)-$B$9,0)),0),0)*$B$8-(1-AH$310)*IF(AND(AH$309&gt;0,$B$8&gt;0),MIN(AH$309*$B$17,$B$13*MAX((MIN(AH321,$B$15)*$B$6+MAX(AH321-$B$15,0)*$B$16*$B$7/12)-$B$9,0)),0)</f>
        <v/>
      </c>
      <c r="AI322" s="179">
        <f>AI321+(MIN(AI321,$B$15)*$B$6+MAX(AI321-$B$15,0)*$B$16*$B$7/12)-$B$9-MAX((MIN(AI321,$B$15)*$B$6+MAX(AI321-$B$15,0)*$B$16*$B$7/12)-$B$9-IF(AND(AI$309&gt;0,$B$8&gt;0),MIN(AI$309*$B$17,$B$13*MAX((MIN(AI321,$B$15)*$B$6+MAX(AI321-$B$15,0)*$B$16*$B$7/12)-$B$9,0)),0),0)*$B$8-(1-AI$310)*IF(AND(AI$309&gt;0,$B$8&gt;0),MIN(AI$309*$B$17,$B$13*MAX((MIN(AI321,$B$15)*$B$6+MAX(AI321-$B$15,0)*$B$16*$B$7/12)-$B$9,0)),0)</f>
        <v/>
      </c>
      <c r="AJ322" s="179">
        <f>AJ321+(MIN(AJ321,$B$15)*$B$6+MAX(AJ321-$B$15,0)*$B$16*$B$7/12)-$B$9-MAX((MIN(AJ321,$B$15)*$B$6+MAX(AJ321-$B$15,0)*$B$16*$B$7/12)-$B$9-IF(AND(AJ$309&gt;0,$B$8&gt;0),MIN(AJ$309*$B$17,$B$13*MAX((MIN(AJ321,$B$15)*$B$6+MAX(AJ321-$B$15,0)*$B$16*$B$7/12)-$B$9,0)),0),0)*$B$8-(1-AJ$310)*IF(AND(AJ$309&gt;0,$B$8&gt;0),MIN(AJ$309*$B$17,$B$13*MAX((MIN(AJ321,$B$15)*$B$6+MAX(AJ321-$B$15,0)*$B$16*$B$7/12)-$B$9,0)),0)</f>
        <v/>
      </c>
      <c r="AK322" s="179">
        <f>AK321+(MIN(AK321,$B$15)*$B$6+MAX(AK321-$B$15,0)*$B$16*$B$7/12)-$B$9-MAX((MIN(AK321,$B$15)*$B$6+MAX(AK321-$B$15,0)*$B$16*$B$7/12)-$B$9-IF(AND(AK$309&gt;0,$B$8&gt;0),MIN(AK$309*$B$17,$B$13*MAX((MIN(AK321,$B$15)*$B$6+MAX(AK321-$B$15,0)*$B$16*$B$7/12)-$B$9,0)),0),0)*$B$8-(1-AK$310)*IF(AND(AK$309&gt;0,$B$8&gt;0),MIN(AK$309*$B$17,$B$13*MAX((MIN(AK321,$B$15)*$B$6+MAX(AK321-$B$15,0)*$B$16*$B$7/12)-$B$9,0)),0)</f>
        <v/>
      </c>
      <c r="AL322" s="179">
        <f>AL321+(MIN(AL321,$B$15)*$B$6+MAX(AL321-$B$15,0)*$B$16*$B$7/12)-$B$9-MAX((MIN(AL321,$B$15)*$B$6+MAX(AL321-$B$15,0)*$B$16*$B$7/12)-$B$9-IF(AND(AL$309&gt;0,$B$8&gt;0),MIN(AL$309*$B$17,$B$13*MAX((MIN(AL321,$B$15)*$B$6+MAX(AL321-$B$15,0)*$B$16*$B$7/12)-$B$9,0)),0),0)*$B$8-(1-AL$310)*IF(AND(AL$309&gt;0,$B$8&gt;0),MIN(AL$309*$B$17,$B$13*MAX((MIN(AL321,$B$15)*$B$6+MAX(AL321-$B$15,0)*$B$16*$B$7/12)-$B$9,0)),0)</f>
        <v/>
      </c>
      <c r="AM322" s="179">
        <f>AM321+(MIN(AM321,$B$15)*$B$6+MAX(AM321-$B$15,0)*$B$16*$B$7/12)-$B$9-MAX((MIN(AM321,$B$15)*$B$6+MAX(AM321-$B$15,0)*$B$16*$B$7/12)-$B$9-IF(AND(AM$309&gt;0,$B$8&gt;0),MIN(AM$309*$B$17,$B$13*MAX((MIN(AM321,$B$15)*$B$6+MAX(AM321-$B$15,0)*$B$16*$B$7/12)-$B$9,0)),0),0)*$B$8-(1-AM$310)*IF(AND(AM$309&gt;0,$B$8&gt;0),MIN(AM$309*$B$17,$B$13*MAX((MIN(AM321,$B$15)*$B$6+MAX(AM321-$B$15,0)*$B$16*$B$7/12)-$B$9,0)),0)</f>
        <v/>
      </c>
      <c r="AN322" s="179">
        <f>AN321+(MIN(AN321,$B$15)*$B$6+MAX(AN321-$B$15,0)*$B$16*$B$7/12)-$B$9-MAX((MIN(AN321,$B$15)*$B$6+MAX(AN321-$B$15,0)*$B$16*$B$7/12)-$B$9-IF(AND(AN$309&gt;0,$B$8&gt;0),MIN(AN$309*$B$17,$B$13*MAX((MIN(AN321,$B$15)*$B$6+MAX(AN321-$B$15,0)*$B$16*$B$7/12)-$B$9,0)),0),0)*$B$8-(1-AN$310)*IF(AND(AN$309&gt;0,$B$8&gt;0),MIN(AN$309*$B$17,$B$13*MAX((MIN(AN321,$B$15)*$B$6+MAX(AN321-$B$15,0)*$B$16*$B$7/12)-$B$9,0)),0)</f>
        <v/>
      </c>
      <c r="AO322" s="179">
        <f>AO321+(MIN(AO321,$B$15)*$B$6+MAX(AO321-$B$15,0)*$B$16*$B$7/12)-$B$9-MAX((MIN(AO321,$B$15)*$B$6+MAX(AO321-$B$15,0)*$B$16*$B$7/12)-$B$9-IF(AND(AO$309&gt;0,$B$8&gt;0),MIN(AO$309*$B$17,$B$13*MAX((MIN(AO321,$B$15)*$B$6+MAX(AO321-$B$15,0)*$B$16*$B$7/12)-$B$9,0)),0),0)*$B$8-(1-AO$310)*IF(AND(AO$309&gt;0,$B$8&gt;0),MIN(AO$309*$B$17,$B$13*MAX((MIN(AO321,$B$15)*$B$6+MAX(AO321-$B$15,0)*$B$16*$B$7/12)-$B$9,0)),0)</f>
        <v/>
      </c>
      <c r="AP322" s="179">
        <f>AP321+(MIN(AP321,$B$15)*$B$6+MAX(AP321-$B$15,0)*$B$16*$B$7/12)-$B$9-MAX((MIN(AP321,$B$15)*$B$6+MAX(AP321-$B$15,0)*$B$16*$B$7/12)-$B$9-IF(AND(AP$309&gt;0,$B$8&gt;0),MIN(AP$309*$B$17,$B$13*MAX((MIN(AP321,$B$15)*$B$6+MAX(AP321-$B$15,0)*$B$16*$B$7/12)-$B$9,0)),0),0)*$B$8-(1-AP$310)*IF(AND(AP$309&gt;0,$B$8&gt;0),MIN(AP$309*$B$17,$B$13*MAX((MIN(AP321,$B$15)*$B$6+MAX(AP321-$B$15,0)*$B$16*$B$7/12)-$B$9,0)),0)</f>
        <v/>
      </c>
      <c r="AQ322" s="179">
        <f>AQ321+(MIN(AQ321,$B$15)*$B$6+MAX(AQ321-$B$15,0)*$B$16*$B$7/12)-$B$9-MAX((MIN(AQ321,$B$15)*$B$6+MAX(AQ321-$B$15,0)*$B$16*$B$7/12)-$B$9-IF(AND(AQ$309&gt;0,$B$8&gt;0),MIN(AQ$309*$B$17,$B$13*MAX((MIN(AQ321,$B$15)*$B$6+MAX(AQ321-$B$15,0)*$B$16*$B$7/12)-$B$9,0)),0),0)*$B$8-(1-AQ$310)*IF(AND(AQ$309&gt;0,$B$8&gt;0),MIN(AQ$309*$B$17,$B$13*MAX((MIN(AQ321,$B$15)*$B$6+MAX(AQ321-$B$15,0)*$B$16*$B$7/12)-$B$9,0)),0)</f>
        <v/>
      </c>
    </row>
    <row r="323" hidden="1" outlineLevel="1">
      <c r="A323" s="164" t="inlineStr">
        <is>
          <t>Cycle 13</t>
        </is>
      </c>
      <c r="B323" s="179">
        <f>B322+(MIN(B322,$B$15)*$B$6+MAX(B322-$B$15,0)*$B$16*$B$7/12)-$B$9-MAX((MIN(B322,$B$15)*$B$6+MAX(B322-$B$15,0)*$B$16*$B$7/12)-$B$9-IF(AND(B$309&gt;0,$B$8&gt;0),MIN(B$309*$B$17,$B$13*MAX((MIN(B322,$B$15)*$B$6+MAX(B322-$B$15,0)*$B$16*$B$7/12)-$B$9,0)),0),0)*$B$8-(1-B$310)*IF(AND(B$309&gt;0,$B$8&gt;0),MIN(B$309*$B$17,$B$13*MAX((MIN(B322,$B$15)*$B$6+MAX(B322-$B$15,0)*$B$16*$B$7/12)-$B$9,0)),0)</f>
        <v/>
      </c>
      <c r="C323" s="179">
        <f>C322+(MIN(C322,$B$15)*$B$6+MAX(C322-$B$15,0)*$B$16*$B$7/12)-$B$9-MAX((MIN(C322,$B$15)*$B$6+MAX(C322-$B$15,0)*$B$16*$B$7/12)-$B$9-IF(AND(C$309&gt;0,$B$8&gt;0),MIN(C$309*$B$17,$B$13*MAX((MIN(C322,$B$15)*$B$6+MAX(C322-$B$15,0)*$B$16*$B$7/12)-$B$9,0)),0),0)*$B$8-(1-C$310)*IF(AND(C$309&gt;0,$B$8&gt;0),MIN(C$309*$B$17,$B$13*MAX((MIN(C322,$B$15)*$B$6+MAX(C322-$B$15,0)*$B$16*$B$7/12)-$B$9,0)),0)</f>
        <v/>
      </c>
      <c r="D323" s="179">
        <f>D322+(MIN(D322,$B$15)*$B$6+MAX(D322-$B$15,0)*$B$16*$B$7/12)-$B$9-MAX((MIN(D322,$B$15)*$B$6+MAX(D322-$B$15,0)*$B$16*$B$7/12)-$B$9-IF(AND(D$309&gt;0,$B$8&gt;0),MIN(D$309*$B$17,$B$13*MAX((MIN(D322,$B$15)*$B$6+MAX(D322-$B$15,0)*$B$16*$B$7/12)-$B$9,0)),0),0)*$B$8-(1-D$310)*IF(AND(D$309&gt;0,$B$8&gt;0),MIN(D$309*$B$17,$B$13*MAX((MIN(D322,$B$15)*$B$6+MAX(D322-$B$15,0)*$B$16*$B$7/12)-$B$9,0)),0)</f>
        <v/>
      </c>
      <c r="E323" s="179">
        <f>E322+(MIN(E322,$B$15)*$B$6+MAX(E322-$B$15,0)*$B$16*$B$7/12)-$B$9-MAX((MIN(E322,$B$15)*$B$6+MAX(E322-$B$15,0)*$B$16*$B$7/12)-$B$9-IF(AND(E$309&gt;0,$B$8&gt;0),MIN(E$309*$B$17,$B$13*MAX((MIN(E322,$B$15)*$B$6+MAX(E322-$B$15,0)*$B$16*$B$7/12)-$B$9,0)),0),0)*$B$8-(1-E$310)*IF(AND(E$309&gt;0,$B$8&gt;0),MIN(E$309*$B$17,$B$13*MAX((MIN(E322,$B$15)*$B$6+MAX(E322-$B$15,0)*$B$16*$B$7/12)-$B$9,0)),0)</f>
        <v/>
      </c>
      <c r="F323" s="179">
        <f>F322+(MIN(F322,$B$15)*$B$6+MAX(F322-$B$15,0)*$B$16*$B$7/12)-$B$9-MAX((MIN(F322,$B$15)*$B$6+MAX(F322-$B$15,0)*$B$16*$B$7/12)-$B$9-IF(AND(F$309&gt;0,$B$8&gt;0),MIN(F$309*$B$17,$B$13*MAX((MIN(F322,$B$15)*$B$6+MAX(F322-$B$15,0)*$B$16*$B$7/12)-$B$9,0)),0),0)*$B$8-(1-F$310)*IF(AND(F$309&gt;0,$B$8&gt;0),MIN(F$309*$B$17,$B$13*MAX((MIN(F322,$B$15)*$B$6+MAX(F322-$B$15,0)*$B$16*$B$7/12)-$B$9,0)),0)</f>
        <v/>
      </c>
      <c r="G323" s="179">
        <f>G322+(MIN(G322,$B$15)*$B$6+MAX(G322-$B$15,0)*$B$16*$B$7/12)-$B$9-MAX((MIN(G322,$B$15)*$B$6+MAX(G322-$B$15,0)*$B$16*$B$7/12)-$B$9-IF(AND(G$309&gt;0,$B$8&gt;0),MIN(G$309*$B$17,$B$13*MAX((MIN(G322,$B$15)*$B$6+MAX(G322-$B$15,0)*$B$16*$B$7/12)-$B$9,0)),0),0)*$B$8-(1-G$310)*IF(AND(G$309&gt;0,$B$8&gt;0),MIN(G$309*$B$17,$B$13*MAX((MIN(G322,$B$15)*$B$6+MAX(G322-$B$15,0)*$B$16*$B$7/12)-$B$9,0)),0)</f>
        <v/>
      </c>
      <c r="H323" s="179">
        <f>H322+(MIN(H322,$B$15)*$B$6+MAX(H322-$B$15,0)*$B$16*$B$7/12)-$B$9-MAX((MIN(H322,$B$15)*$B$6+MAX(H322-$B$15,0)*$B$16*$B$7/12)-$B$9-IF(AND(H$309&gt;0,$B$8&gt;0),MIN(H$309*$B$17,$B$13*MAX((MIN(H322,$B$15)*$B$6+MAX(H322-$B$15,0)*$B$16*$B$7/12)-$B$9,0)),0),0)*$B$8-(1-H$310)*IF(AND(H$309&gt;0,$B$8&gt;0),MIN(H$309*$B$17,$B$13*MAX((MIN(H322,$B$15)*$B$6+MAX(H322-$B$15,0)*$B$16*$B$7/12)-$B$9,0)),0)</f>
        <v/>
      </c>
      <c r="I323" s="179">
        <f>I322+(MIN(I322,$B$15)*$B$6+MAX(I322-$B$15,0)*$B$16*$B$7/12)-$B$9-MAX((MIN(I322,$B$15)*$B$6+MAX(I322-$B$15,0)*$B$16*$B$7/12)-$B$9-IF(AND(I$309&gt;0,$B$8&gt;0),MIN(I$309*$B$17,$B$13*MAX((MIN(I322,$B$15)*$B$6+MAX(I322-$B$15,0)*$B$16*$B$7/12)-$B$9,0)),0),0)*$B$8-(1-I$310)*IF(AND(I$309&gt;0,$B$8&gt;0),MIN(I$309*$B$17,$B$13*MAX((MIN(I322,$B$15)*$B$6+MAX(I322-$B$15,0)*$B$16*$B$7/12)-$B$9,0)),0)</f>
        <v/>
      </c>
      <c r="J323" s="179">
        <f>J322+(MIN(J322,$B$15)*$B$6+MAX(J322-$B$15,0)*$B$16*$B$7/12)-$B$9-MAX((MIN(J322,$B$15)*$B$6+MAX(J322-$B$15,0)*$B$16*$B$7/12)-$B$9-IF(AND(J$309&gt;0,$B$8&gt;0),MIN(J$309*$B$17,$B$13*MAX((MIN(J322,$B$15)*$B$6+MAX(J322-$B$15,0)*$B$16*$B$7/12)-$B$9,0)),0),0)*$B$8-(1-J$310)*IF(AND(J$309&gt;0,$B$8&gt;0),MIN(J$309*$B$17,$B$13*MAX((MIN(J322,$B$15)*$B$6+MAX(J322-$B$15,0)*$B$16*$B$7/12)-$B$9,0)),0)</f>
        <v/>
      </c>
      <c r="K323" s="179">
        <f>K322+(MIN(K322,$B$15)*$B$6+MAX(K322-$B$15,0)*$B$16*$B$7/12)-$B$9-MAX((MIN(K322,$B$15)*$B$6+MAX(K322-$B$15,0)*$B$16*$B$7/12)-$B$9-IF(AND(K$309&gt;0,$B$8&gt;0),MIN(K$309*$B$17,$B$13*MAX((MIN(K322,$B$15)*$B$6+MAX(K322-$B$15,0)*$B$16*$B$7/12)-$B$9,0)),0),0)*$B$8-(1-K$310)*IF(AND(K$309&gt;0,$B$8&gt;0),MIN(K$309*$B$17,$B$13*MAX((MIN(K322,$B$15)*$B$6+MAX(K322-$B$15,0)*$B$16*$B$7/12)-$B$9,0)),0)</f>
        <v/>
      </c>
      <c r="L323" s="179">
        <f>L322+(MIN(L322,$B$15)*$B$6+MAX(L322-$B$15,0)*$B$16*$B$7/12)-$B$9-MAX((MIN(L322,$B$15)*$B$6+MAX(L322-$B$15,0)*$B$16*$B$7/12)-$B$9-IF(AND(L$309&gt;0,$B$8&gt;0),MIN(L$309*$B$17,$B$13*MAX((MIN(L322,$B$15)*$B$6+MAX(L322-$B$15,0)*$B$16*$B$7/12)-$B$9,0)),0),0)*$B$8-(1-L$310)*IF(AND(L$309&gt;0,$B$8&gt;0),MIN(L$309*$B$17,$B$13*MAX((MIN(L322,$B$15)*$B$6+MAX(L322-$B$15,0)*$B$16*$B$7/12)-$B$9,0)),0)</f>
        <v/>
      </c>
      <c r="M323" s="179">
        <f>M322+(MIN(M322,$B$15)*$B$6+MAX(M322-$B$15,0)*$B$16*$B$7/12)-$B$9-MAX((MIN(M322,$B$15)*$B$6+MAX(M322-$B$15,0)*$B$16*$B$7/12)-$B$9-IF(AND(M$309&gt;0,$B$8&gt;0),MIN(M$309*$B$17,$B$13*MAX((MIN(M322,$B$15)*$B$6+MAX(M322-$B$15,0)*$B$16*$B$7/12)-$B$9,0)),0),0)*$B$8-(1-M$310)*IF(AND(M$309&gt;0,$B$8&gt;0),MIN(M$309*$B$17,$B$13*MAX((MIN(M322,$B$15)*$B$6+MAX(M322-$B$15,0)*$B$16*$B$7/12)-$B$9,0)),0)</f>
        <v/>
      </c>
      <c r="N323" s="179">
        <f>N322+(MIN(N322,$B$15)*$B$6+MAX(N322-$B$15,0)*$B$16*$B$7/12)-$B$9-MAX((MIN(N322,$B$15)*$B$6+MAX(N322-$B$15,0)*$B$16*$B$7/12)-$B$9-IF(AND(N$309&gt;0,$B$8&gt;0),MIN(N$309*$B$17,$B$13*MAX((MIN(N322,$B$15)*$B$6+MAX(N322-$B$15,0)*$B$16*$B$7/12)-$B$9,0)),0),0)*$B$8-(1-N$310)*IF(AND(N$309&gt;0,$B$8&gt;0),MIN(N$309*$B$17,$B$13*MAX((MIN(N322,$B$15)*$B$6+MAX(N322-$B$15,0)*$B$16*$B$7/12)-$B$9,0)),0)</f>
        <v/>
      </c>
      <c r="O323" s="179">
        <f>O322+(MIN(O322,$B$15)*$B$6+MAX(O322-$B$15,0)*$B$16*$B$7/12)-$B$9-MAX((MIN(O322,$B$15)*$B$6+MAX(O322-$B$15,0)*$B$16*$B$7/12)-$B$9-IF(AND(O$309&gt;0,$B$8&gt;0),MIN(O$309*$B$17,$B$13*MAX((MIN(O322,$B$15)*$B$6+MAX(O322-$B$15,0)*$B$16*$B$7/12)-$B$9,0)),0),0)*$B$8-(1-O$310)*IF(AND(O$309&gt;0,$B$8&gt;0),MIN(O$309*$B$17,$B$13*MAX((MIN(O322,$B$15)*$B$6+MAX(O322-$B$15,0)*$B$16*$B$7/12)-$B$9,0)),0)</f>
        <v/>
      </c>
      <c r="P323" s="179">
        <f>P322+(MIN(P322,$B$15)*$B$6+MAX(P322-$B$15,0)*$B$16*$B$7/12)-$B$9-MAX((MIN(P322,$B$15)*$B$6+MAX(P322-$B$15,0)*$B$16*$B$7/12)-$B$9-IF(AND(P$309&gt;0,$B$8&gt;0),MIN(P$309*$B$17,$B$13*MAX((MIN(P322,$B$15)*$B$6+MAX(P322-$B$15,0)*$B$16*$B$7/12)-$B$9,0)),0),0)*$B$8-(1-P$310)*IF(AND(P$309&gt;0,$B$8&gt;0),MIN(P$309*$B$17,$B$13*MAX((MIN(P322,$B$15)*$B$6+MAX(P322-$B$15,0)*$B$16*$B$7/12)-$B$9,0)),0)</f>
        <v/>
      </c>
      <c r="Q323" s="179">
        <f>Q322+(MIN(Q322,$B$15)*$B$6+MAX(Q322-$B$15,0)*$B$16*$B$7/12)-$B$9-MAX((MIN(Q322,$B$15)*$B$6+MAX(Q322-$B$15,0)*$B$16*$B$7/12)-$B$9-IF(AND(Q$309&gt;0,$B$8&gt;0),MIN(Q$309*$B$17,$B$13*MAX((MIN(Q322,$B$15)*$B$6+MAX(Q322-$B$15,0)*$B$16*$B$7/12)-$B$9,0)),0),0)*$B$8-(1-Q$310)*IF(AND(Q$309&gt;0,$B$8&gt;0),MIN(Q$309*$B$17,$B$13*MAX((MIN(Q322,$B$15)*$B$6+MAX(Q322-$B$15,0)*$B$16*$B$7/12)-$B$9,0)),0)</f>
        <v/>
      </c>
      <c r="R323" s="179">
        <f>R322+(MIN(R322,$B$15)*$B$6+MAX(R322-$B$15,0)*$B$16*$B$7/12)-$B$9-MAX((MIN(R322,$B$15)*$B$6+MAX(R322-$B$15,0)*$B$16*$B$7/12)-$B$9-IF(AND(R$309&gt;0,$B$8&gt;0),MIN(R$309*$B$17,$B$13*MAX((MIN(R322,$B$15)*$B$6+MAX(R322-$B$15,0)*$B$16*$B$7/12)-$B$9,0)),0),0)*$B$8-(1-R$310)*IF(AND(R$309&gt;0,$B$8&gt;0),MIN(R$309*$B$17,$B$13*MAX((MIN(R322,$B$15)*$B$6+MAX(R322-$B$15,0)*$B$16*$B$7/12)-$B$9,0)),0)</f>
        <v/>
      </c>
      <c r="S323" s="179">
        <f>S322+(MIN(S322,$B$15)*$B$6+MAX(S322-$B$15,0)*$B$16*$B$7/12)-$B$9-MAX((MIN(S322,$B$15)*$B$6+MAX(S322-$B$15,0)*$B$16*$B$7/12)-$B$9-IF(AND(S$309&gt;0,$B$8&gt;0),MIN(S$309*$B$17,$B$13*MAX((MIN(S322,$B$15)*$B$6+MAX(S322-$B$15,0)*$B$16*$B$7/12)-$B$9,0)),0),0)*$B$8-(1-S$310)*IF(AND(S$309&gt;0,$B$8&gt;0),MIN(S$309*$B$17,$B$13*MAX((MIN(S322,$B$15)*$B$6+MAX(S322-$B$15,0)*$B$16*$B$7/12)-$B$9,0)),0)</f>
        <v/>
      </c>
      <c r="T323" s="179">
        <f>T322+(MIN(T322,$B$15)*$B$6+MAX(T322-$B$15,0)*$B$16*$B$7/12)-$B$9-MAX((MIN(T322,$B$15)*$B$6+MAX(T322-$B$15,0)*$B$16*$B$7/12)-$B$9-IF(AND(T$309&gt;0,$B$8&gt;0),MIN(T$309*$B$17,$B$13*MAX((MIN(T322,$B$15)*$B$6+MAX(T322-$B$15,0)*$B$16*$B$7/12)-$B$9,0)),0),0)*$B$8-(1-T$310)*IF(AND(T$309&gt;0,$B$8&gt;0),MIN(T$309*$B$17,$B$13*MAX((MIN(T322,$B$15)*$B$6+MAX(T322-$B$15,0)*$B$16*$B$7/12)-$B$9,0)),0)</f>
        <v/>
      </c>
      <c r="U323" s="179">
        <f>U322+(MIN(U322,$B$15)*$B$6+MAX(U322-$B$15,0)*$B$16*$B$7/12)-$B$9-MAX((MIN(U322,$B$15)*$B$6+MAX(U322-$B$15,0)*$B$16*$B$7/12)-$B$9-IF(AND(U$309&gt;0,$B$8&gt;0),MIN(U$309*$B$17,$B$13*MAX((MIN(U322,$B$15)*$B$6+MAX(U322-$B$15,0)*$B$16*$B$7/12)-$B$9,0)),0),0)*$B$8-(1-U$310)*IF(AND(U$309&gt;0,$B$8&gt;0),MIN(U$309*$B$17,$B$13*MAX((MIN(U322,$B$15)*$B$6+MAX(U322-$B$15,0)*$B$16*$B$7/12)-$B$9,0)),0)</f>
        <v/>
      </c>
      <c r="V323" s="179">
        <f>V322+(MIN(V322,$B$15)*$B$6+MAX(V322-$B$15,0)*$B$16*$B$7/12)-$B$9-MAX((MIN(V322,$B$15)*$B$6+MAX(V322-$B$15,0)*$B$16*$B$7/12)-$B$9-IF(AND(V$309&gt;0,$B$8&gt;0),MIN(V$309*$B$17,$B$13*MAX((MIN(V322,$B$15)*$B$6+MAX(V322-$B$15,0)*$B$16*$B$7/12)-$B$9,0)),0),0)*$B$8-(1-V$310)*IF(AND(V$309&gt;0,$B$8&gt;0),MIN(V$309*$B$17,$B$13*MAX((MIN(V322,$B$15)*$B$6+MAX(V322-$B$15,0)*$B$16*$B$7/12)-$B$9,0)),0)</f>
        <v/>
      </c>
      <c r="W323" s="179">
        <f>W322+(MIN(W322,$B$15)*$B$6+MAX(W322-$B$15,0)*$B$16*$B$7/12)-$B$9-MAX((MIN(W322,$B$15)*$B$6+MAX(W322-$B$15,0)*$B$16*$B$7/12)-$B$9-IF(AND(W$309&gt;0,$B$8&gt;0),MIN(W$309*$B$17,$B$13*MAX((MIN(W322,$B$15)*$B$6+MAX(W322-$B$15,0)*$B$16*$B$7/12)-$B$9,0)),0),0)*$B$8-(1-W$310)*IF(AND(W$309&gt;0,$B$8&gt;0),MIN(W$309*$B$17,$B$13*MAX((MIN(W322,$B$15)*$B$6+MAX(W322-$B$15,0)*$B$16*$B$7/12)-$B$9,0)),0)</f>
        <v/>
      </c>
      <c r="X323" s="179">
        <f>X322+(MIN(X322,$B$15)*$B$6+MAX(X322-$B$15,0)*$B$16*$B$7/12)-$B$9-MAX((MIN(X322,$B$15)*$B$6+MAX(X322-$B$15,0)*$B$16*$B$7/12)-$B$9-IF(AND(X$309&gt;0,$B$8&gt;0),MIN(X$309*$B$17,$B$13*MAX((MIN(X322,$B$15)*$B$6+MAX(X322-$B$15,0)*$B$16*$B$7/12)-$B$9,0)),0),0)*$B$8-(1-X$310)*IF(AND(X$309&gt;0,$B$8&gt;0),MIN(X$309*$B$17,$B$13*MAX((MIN(X322,$B$15)*$B$6+MAX(X322-$B$15,0)*$B$16*$B$7/12)-$B$9,0)),0)</f>
        <v/>
      </c>
      <c r="Y323" s="179">
        <f>Y322+(MIN(Y322,$B$15)*$B$6+MAX(Y322-$B$15,0)*$B$16*$B$7/12)-$B$9-MAX((MIN(Y322,$B$15)*$B$6+MAX(Y322-$B$15,0)*$B$16*$B$7/12)-$B$9-IF(AND(Y$309&gt;0,$B$8&gt;0),MIN(Y$309*$B$17,$B$13*MAX((MIN(Y322,$B$15)*$B$6+MAX(Y322-$B$15,0)*$B$16*$B$7/12)-$B$9,0)),0),0)*$B$8-(1-Y$310)*IF(AND(Y$309&gt;0,$B$8&gt;0),MIN(Y$309*$B$17,$B$13*MAX((MIN(Y322,$B$15)*$B$6+MAX(Y322-$B$15,0)*$B$16*$B$7/12)-$B$9,0)),0)</f>
        <v/>
      </c>
      <c r="Z323" s="179">
        <f>Z322+(MIN(Z322,$B$15)*$B$6+MAX(Z322-$B$15,0)*$B$16*$B$7/12)-$B$9-MAX((MIN(Z322,$B$15)*$B$6+MAX(Z322-$B$15,0)*$B$16*$B$7/12)-$B$9-IF(AND(Z$309&gt;0,$B$8&gt;0),MIN(Z$309*$B$17,$B$13*MAX((MIN(Z322,$B$15)*$B$6+MAX(Z322-$B$15,0)*$B$16*$B$7/12)-$B$9,0)),0),0)*$B$8-(1-Z$310)*IF(AND(Z$309&gt;0,$B$8&gt;0),MIN(Z$309*$B$17,$B$13*MAX((MIN(Z322,$B$15)*$B$6+MAX(Z322-$B$15,0)*$B$16*$B$7/12)-$B$9,0)),0)</f>
        <v/>
      </c>
      <c r="AA323" s="179">
        <f>AA322+(MIN(AA322,$B$15)*$B$6+MAX(AA322-$B$15,0)*$B$16*$B$7/12)-$B$9-MAX((MIN(AA322,$B$15)*$B$6+MAX(AA322-$B$15,0)*$B$16*$B$7/12)-$B$9-IF(AND(AA$309&gt;0,$B$8&gt;0),MIN(AA$309*$B$17,$B$13*MAX((MIN(AA322,$B$15)*$B$6+MAX(AA322-$B$15,0)*$B$16*$B$7/12)-$B$9,0)),0),0)*$B$8-(1-AA$310)*IF(AND(AA$309&gt;0,$B$8&gt;0),MIN(AA$309*$B$17,$B$13*MAX((MIN(AA322,$B$15)*$B$6+MAX(AA322-$B$15,0)*$B$16*$B$7/12)-$B$9,0)),0)</f>
        <v/>
      </c>
      <c r="AB323" s="179">
        <f>AB322+(MIN(AB322,$B$15)*$B$6+MAX(AB322-$B$15,0)*$B$16*$B$7/12)-$B$9-MAX((MIN(AB322,$B$15)*$B$6+MAX(AB322-$B$15,0)*$B$16*$B$7/12)-$B$9-IF(AND(AB$309&gt;0,$B$8&gt;0),MIN(AB$309*$B$17,$B$13*MAX((MIN(AB322,$B$15)*$B$6+MAX(AB322-$B$15,0)*$B$16*$B$7/12)-$B$9,0)),0),0)*$B$8-(1-AB$310)*IF(AND(AB$309&gt;0,$B$8&gt;0),MIN(AB$309*$B$17,$B$13*MAX((MIN(AB322,$B$15)*$B$6+MAX(AB322-$B$15,0)*$B$16*$B$7/12)-$B$9,0)),0)</f>
        <v/>
      </c>
      <c r="AC323" s="179">
        <f>AC322+(MIN(AC322,$B$15)*$B$6+MAX(AC322-$B$15,0)*$B$16*$B$7/12)-$B$9-MAX((MIN(AC322,$B$15)*$B$6+MAX(AC322-$B$15,0)*$B$16*$B$7/12)-$B$9-IF(AND(AC$309&gt;0,$B$8&gt;0),MIN(AC$309*$B$17,$B$13*MAX((MIN(AC322,$B$15)*$B$6+MAX(AC322-$B$15,0)*$B$16*$B$7/12)-$B$9,0)),0),0)*$B$8-(1-AC$310)*IF(AND(AC$309&gt;0,$B$8&gt;0),MIN(AC$309*$B$17,$B$13*MAX((MIN(AC322,$B$15)*$B$6+MAX(AC322-$B$15,0)*$B$16*$B$7/12)-$B$9,0)),0)</f>
        <v/>
      </c>
      <c r="AD323" s="179">
        <f>AD322+(MIN(AD322,$B$15)*$B$6+MAX(AD322-$B$15,0)*$B$16*$B$7/12)-$B$9-MAX((MIN(AD322,$B$15)*$B$6+MAX(AD322-$B$15,0)*$B$16*$B$7/12)-$B$9-IF(AND(AD$309&gt;0,$B$8&gt;0),MIN(AD$309*$B$17,$B$13*MAX((MIN(AD322,$B$15)*$B$6+MAX(AD322-$B$15,0)*$B$16*$B$7/12)-$B$9,0)),0),0)*$B$8-(1-AD$310)*IF(AND(AD$309&gt;0,$B$8&gt;0),MIN(AD$309*$B$17,$B$13*MAX((MIN(AD322,$B$15)*$B$6+MAX(AD322-$B$15,0)*$B$16*$B$7/12)-$B$9,0)),0)</f>
        <v/>
      </c>
      <c r="AE323" s="179">
        <f>AE322+(MIN(AE322,$B$15)*$B$6+MAX(AE322-$B$15,0)*$B$16*$B$7/12)-$B$9-MAX((MIN(AE322,$B$15)*$B$6+MAX(AE322-$B$15,0)*$B$16*$B$7/12)-$B$9-IF(AND(AE$309&gt;0,$B$8&gt;0),MIN(AE$309*$B$17,$B$13*MAX((MIN(AE322,$B$15)*$B$6+MAX(AE322-$B$15,0)*$B$16*$B$7/12)-$B$9,0)),0),0)*$B$8-(1-AE$310)*IF(AND(AE$309&gt;0,$B$8&gt;0),MIN(AE$309*$B$17,$B$13*MAX((MIN(AE322,$B$15)*$B$6+MAX(AE322-$B$15,0)*$B$16*$B$7/12)-$B$9,0)),0)</f>
        <v/>
      </c>
      <c r="AF323" s="179">
        <f>AF322+(MIN(AF322,$B$15)*$B$6+MAX(AF322-$B$15,0)*$B$16*$B$7/12)-$B$9-MAX((MIN(AF322,$B$15)*$B$6+MAX(AF322-$B$15,0)*$B$16*$B$7/12)-$B$9-IF(AND(AF$309&gt;0,$B$8&gt;0),MIN(AF$309*$B$17,$B$13*MAX((MIN(AF322,$B$15)*$B$6+MAX(AF322-$B$15,0)*$B$16*$B$7/12)-$B$9,0)),0),0)*$B$8-(1-AF$310)*IF(AND(AF$309&gt;0,$B$8&gt;0),MIN(AF$309*$B$17,$B$13*MAX((MIN(AF322,$B$15)*$B$6+MAX(AF322-$B$15,0)*$B$16*$B$7/12)-$B$9,0)),0)</f>
        <v/>
      </c>
      <c r="AG323" s="179">
        <f>AG322+(MIN(AG322,$B$15)*$B$6+MAX(AG322-$B$15,0)*$B$16*$B$7/12)-$B$9-MAX((MIN(AG322,$B$15)*$B$6+MAX(AG322-$B$15,0)*$B$16*$B$7/12)-$B$9-IF(AND(AG$309&gt;0,$B$8&gt;0),MIN(AG$309*$B$17,$B$13*MAX((MIN(AG322,$B$15)*$B$6+MAX(AG322-$B$15,0)*$B$16*$B$7/12)-$B$9,0)),0),0)*$B$8-(1-AG$310)*IF(AND(AG$309&gt;0,$B$8&gt;0),MIN(AG$309*$B$17,$B$13*MAX((MIN(AG322,$B$15)*$B$6+MAX(AG322-$B$15,0)*$B$16*$B$7/12)-$B$9,0)),0)</f>
        <v/>
      </c>
      <c r="AH323" s="179">
        <f>AH322+(MIN(AH322,$B$15)*$B$6+MAX(AH322-$B$15,0)*$B$16*$B$7/12)-$B$9-MAX((MIN(AH322,$B$15)*$B$6+MAX(AH322-$B$15,0)*$B$16*$B$7/12)-$B$9-IF(AND(AH$309&gt;0,$B$8&gt;0),MIN(AH$309*$B$17,$B$13*MAX((MIN(AH322,$B$15)*$B$6+MAX(AH322-$B$15,0)*$B$16*$B$7/12)-$B$9,0)),0),0)*$B$8-(1-AH$310)*IF(AND(AH$309&gt;0,$B$8&gt;0),MIN(AH$309*$B$17,$B$13*MAX((MIN(AH322,$B$15)*$B$6+MAX(AH322-$B$15,0)*$B$16*$B$7/12)-$B$9,0)),0)</f>
        <v/>
      </c>
      <c r="AI323" s="179">
        <f>AI322+(MIN(AI322,$B$15)*$B$6+MAX(AI322-$B$15,0)*$B$16*$B$7/12)-$B$9-MAX((MIN(AI322,$B$15)*$B$6+MAX(AI322-$B$15,0)*$B$16*$B$7/12)-$B$9-IF(AND(AI$309&gt;0,$B$8&gt;0),MIN(AI$309*$B$17,$B$13*MAX((MIN(AI322,$B$15)*$B$6+MAX(AI322-$B$15,0)*$B$16*$B$7/12)-$B$9,0)),0),0)*$B$8-(1-AI$310)*IF(AND(AI$309&gt;0,$B$8&gt;0),MIN(AI$309*$B$17,$B$13*MAX((MIN(AI322,$B$15)*$B$6+MAX(AI322-$B$15,0)*$B$16*$B$7/12)-$B$9,0)),0)</f>
        <v/>
      </c>
      <c r="AJ323" s="179">
        <f>AJ322+(MIN(AJ322,$B$15)*$B$6+MAX(AJ322-$B$15,0)*$B$16*$B$7/12)-$B$9-MAX((MIN(AJ322,$B$15)*$B$6+MAX(AJ322-$B$15,0)*$B$16*$B$7/12)-$B$9-IF(AND(AJ$309&gt;0,$B$8&gt;0),MIN(AJ$309*$B$17,$B$13*MAX((MIN(AJ322,$B$15)*$B$6+MAX(AJ322-$B$15,0)*$B$16*$B$7/12)-$B$9,0)),0),0)*$B$8-(1-AJ$310)*IF(AND(AJ$309&gt;0,$B$8&gt;0),MIN(AJ$309*$B$17,$B$13*MAX((MIN(AJ322,$B$15)*$B$6+MAX(AJ322-$B$15,0)*$B$16*$B$7/12)-$B$9,0)),0)</f>
        <v/>
      </c>
      <c r="AK323" s="179">
        <f>AK322+(MIN(AK322,$B$15)*$B$6+MAX(AK322-$B$15,0)*$B$16*$B$7/12)-$B$9-MAX((MIN(AK322,$B$15)*$B$6+MAX(AK322-$B$15,0)*$B$16*$B$7/12)-$B$9-IF(AND(AK$309&gt;0,$B$8&gt;0),MIN(AK$309*$B$17,$B$13*MAX((MIN(AK322,$B$15)*$B$6+MAX(AK322-$B$15,0)*$B$16*$B$7/12)-$B$9,0)),0),0)*$B$8-(1-AK$310)*IF(AND(AK$309&gt;0,$B$8&gt;0),MIN(AK$309*$B$17,$B$13*MAX((MIN(AK322,$B$15)*$B$6+MAX(AK322-$B$15,0)*$B$16*$B$7/12)-$B$9,0)),0)</f>
        <v/>
      </c>
      <c r="AL323" s="179">
        <f>AL322+(MIN(AL322,$B$15)*$B$6+MAX(AL322-$B$15,0)*$B$16*$B$7/12)-$B$9-MAX((MIN(AL322,$B$15)*$B$6+MAX(AL322-$B$15,0)*$B$16*$B$7/12)-$B$9-IF(AND(AL$309&gt;0,$B$8&gt;0),MIN(AL$309*$B$17,$B$13*MAX((MIN(AL322,$B$15)*$B$6+MAX(AL322-$B$15,0)*$B$16*$B$7/12)-$B$9,0)),0),0)*$B$8-(1-AL$310)*IF(AND(AL$309&gt;0,$B$8&gt;0),MIN(AL$309*$B$17,$B$13*MAX((MIN(AL322,$B$15)*$B$6+MAX(AL322-$B$15,0)*$B$16*$B$7/12)-$B$9,0)),0)</f>
        <v/>
      </c>
      <c r="AM323" s="179">
        <f>AM322+(MIN(AM322,$B$15)*$B$6+MAX(AM322-$B$15,0)*$B$16*$B$7/12)-$B$9-MAX((MIN(AM322,$B$15)*$B$6+MAX(AM322-$B$15,0)*$B$16*$B$7/12)-$B$9-IF(AND(AM$309&gt;0,$B$8&gt;0),MIN(AM$309*$B$17,$B$13*MAX((MIN(AM322,$B$15)*$B$6+MAX(AM322-$B$15,0)*$B$16*$B$7/12)-$B$9,0)),0),0)*$B$8-(1-AM$310)*IF(AND(AM$309&gt;0,$B$8&gt;0),MIN(AM$309*$B$17,$B$13*MAX((MIN(AM322,$B$15)*$B$6+MAX(AM322-$B$15,0)*$B$16*$B$7/12)-$B$9,0)),0)</f>
        <v/>
      </c>
      <c r="AN323" s="179">
        <f>AN322+(MIN(AN322,$B$15)*$B$6+MAX(AN322-$B$15,0)*$B$16*$B$7/12)-$B$9-MAX((MIN(AN322,$B$15)*$B$6+MAX(AN322-$B$15,0)*$B$16*$B$7/12)-$B$9-IF(AND(AN$309&gt;0,$B$8&gt;0),MIN(AN$309*$B$17,$B$13*MAX((MIN(AN322,$B$15)*$B$6+MAX(AN322-$B$15,0)*$B$16*$B$7/12)-$B$9,0)),0),0)*$B$8-(1-AN$310)*IF(AND(AN$309&gt;0,$B$8&gt;0),MIN(AN$309*$B$17,$B$13*MAX((MIN(AN322,$B$15)*$B$6+MAX(AN322-$B$15,0)*$B$16*$B$7/12)-$B$9,0)),0)</f>
        <v/>
      </c>
      <c r="AO323" s="179">
        <f>AO322+(MIN(AO322,$B$15)*$B$6+MAX(AO322-$B$15,0)*$B$16*$B$7/12)-$B$9-MAX((MIN(AO322,$B$15)*$B$6+MAX(AO322-$B$15,0)*$B$16*$B$7/12)-$B$9-IF(AND(AO$309&gt;0,$B$8&gt;0),MIN(AO$309*$B$17,$B$13*MAX((MIN(AO322,$B$15)*$B$6+MAX(AO322-$B$15,0)*$B$16*$B$7/12)-$B$9,0)),0),0)*$B$8-(1-AO$310)*IF(AND(AO$309&gt;0,$B$8&gt;0),MIN(AO$309*$B$17,$B$13*MAX((MIN(AO322,$B$15)*$B$6+MAX(AO322-$B$15,0)*$B$16*$B$7/12)-$B$9,0)),0)</f>
        <v/>
      </c>
      <c r="AP323" s="179">
        <f>AP322+(MIN(AP322,$B$15)*$B$6+MAX(AP322-$B$15,0)*$B$16*$B$7/12)-$B$9-MAX((MIN(AP322,$B$15)*$B$6+MAX(AP322-$B$15,0)*$B$16*$B$7/12)-$B$9-IF(AND(AP$309&gt;0,$B$8&gt;0),MIN(AP$309*$B$17,$B$13*MAX((MIN(AP322,$B$15)*$B$6+MAX(AP322-$B$15,0)*$B$16*$B$7/12)-$B$9,0)),0),0)*$B$8-(1-AP$310)*IF(AND(AP$309&gt;0,$B$8&gt;0),MIN(AP$309*$B$17,$B$13*MAX((MIN(AP322,$B$15)*$B$6+MAX(AP322-$B$15,0)*$B$16*$B$7/12)-$B$9,0)),0)</f>
        <v/>
      </c>
      <c r="AQ323" s="179">
        <f>AQ322+(MIN(AQ322,$B$15)*$B$6+MAX(AQ322-$B$15,0)*$B$16*$B$7/12)-$B$9-MAX((MIN(AQ322,$B$15)*$B$6+MAX(AQ322-$B$15,0)*$B$16*$B$7/12)-$B$9-IF(AND(AQ$309&gt;0,$B$8&gt;0),MIN(AQ$309*$B$17,$B$13*MAX((MIN(AQ322,$B$15)*$B$6+MAX(AQ322-$B$15,0)*$B$16*$B$7/12)-$B$9,0)),0),0)*$B$8-(1-AQ$310)*IF(AND(AQ$309&gt;0,$B$8&gt;0),MIN(AQ$309*$B$17,$B$13*MAX((MIN(AQ322,$B$15)*$B$6+MAX(AQ322-$B$15,0)*$B$16*$B$7/12)-$B$9,0)),0)</f>
        <v/>
      </c>
    </row>
    <row r="324" hidden="1" outlineLevel="1">
      <c r="A324" s="164" t="inlineStr">
        <is>
          <t>Cycle 14</t>
        </is>
      </c>
      <c r="B324" s="179">
        <f>B323+(MIN(B323,$B$15)*$B$6+MAX(B323-$B$15,0)*$B$16*$B$7/12)-$B$9-MAX((MIN(B323,$B$15)*$B$6+MAX(B323-$B$15,0)*$B$16*$B$7/12)-$B$9-IF(AND(B$309&gt;0,$B$8&gt;0),MIN(B$309*$B$17,$B$13*MAX((MIN(B323,$B$15)*$B$6+MAX(B323-$B$15,0)*$B$16*$B$7/12)-$B$9,0)),0),0)*$B$8-(1-B$310)*IF(AND(B$309&gt;0,$B$8&gt;0),MIN(B$309*$B$17,$B$13*MAX((MIN(B323,$B$15)*$B$6+MAX(B323-$B$15,0)*$B$16*$B$7/12)-$B$9,0)),0)</f>
        <v/>
      </c>
      <c r="C324" s="179">
        <f>C323+(MIN(C323,$B$15)*$B$6+MAX(C323-$B$15,0)*$B$16*$B$7/12)-$B$9-MAX((MIN(C323,$B$15)*$B$6+MAX(C323-$B$15,0)*$B$16*$B$7/12)-$B$9-IF(AND(C$309&gt;0,$B$8&gt;0),MIN(C$309*$B$17,$B$13*MAX((MIN(C323,$B$15)*$B$6+MAX(C323-$B$15,0)*$B$16*$B$7/12)-$B$9,0)),0),0)*$B$8-(1-C$310)*IF(AND(C$309&gt;0,$B$8&gt;0),MIN(C$309*$B$17,$B$13*MAX((MIN(C323,$B$15)*$B$6+MAX(C323-$B$15,0)*$B$16*$B$7/12)-$B$9,0)),0)</f>
        <v/>
      </c>
      <c r="D324" s="179">
        <f>D323+(MIN(D323,$B$15)*$B$6+MAX(D323-$B$15,0)*$B$16*$B$7/12)-$B$9-MAX((MIN(D323,$B$15)*$B$6+MAX(D323-$B$15,0)*$B$16*$B$7/12)-$B$9-IF(AND(D$309&gt;0,$B$8&gt;0),MIN(D$309*$B$17,$B$13*MAX((MIN(D323,$B$15)*$B$6+MAX(D323-$B$15,0)*$B$16*$B$7/12)-$B$9,0)),0),0)*$B$8-(1-D$310)*IF(AND(D$309&gt;0,$B$8&gt;0),MIN(D$309*$B$17,$B$13*MAX((MIN(D323,$B$15)*$B$6+MAX(D323-$B$15,0)*$B$16*$B$7/12)-$B$9,0)),0)</f>
        <v/>
      </c>
      <c r="E324" s="179">
        <f>E323+(MIN(E323,$B$15)*$B$6+MAX(E323-$B$15,0)*$B$16*$B$7/12)-$B$9-MAX((MIN(E323,$B$15)*$B$6+MAX(E323-$B$15,0)*$B$16*$B$7/12)-$B$9-IF(AND(E$309&gt;0,$B$8&gt;0),MIN(E$309*$B$17,$B$13*MAX((MIN(E323,$B$15)*$B$6+MAX(E323-$B$15,0)*$B$16*$B$7/12)-$B$9,0)),0),0)*$B$8-(1-E$310)*IF(AND(E$309&gt;0,$B$8&gt;0),MIN(E$309*$B$17,$B$13*MAX((MIN(E323,$B$15)*$B$6+MAX(E323-$B$15,0)*$B$16*$B$7/12)-$B$9,0)),0)</f>
        <v/>
      </c>
      <c r="F324" s="179">
        <f>F323+(MIN(F323,$B$15)*$B$6+MAX(F323-$B$15,0)*$B$16*$B$7/12)-$B$9-MAX((MIN(F323,$B$15)*$B$6+MAX(F323-$B$15,0)*$B$16*$B$7/12)-$B$9-IF(AND(F$309&gt;0,$B$8&gt;0),MIN(F$309*$B$17,$B$13*MAX((MIN(F323,$B$15)*$B$6+MAX(F323-$B$15,0)*$B$16*$B$7/12)-$B$9,0)),0),0)*$B$8-(1-F$310)*IF(AND(F$309&gt;0,$B$8&gt;0),MIN(F$309*$B$17,$B$13*MAX((MIN(F323,$B$15)*$B$6+MAX(F323-$B$15,0)*$B$16*$B$7/12)-$B$9,0)),0)</f>
        <v/>
      </c>
      <c r="G324" s="179">
        <f>G323+(MIN(G323,$B$15)*$B$6+MAX(G323-$B$15,0)*$B$16*$B$7/12)-$B$9-MAX((MIN(G323,$B$15)*$B$6+MAX(G323-$B$15,0)*$B$16*$B$7/12)-$B$9-IF(AND(G$309&gt;0,$B$8&gt;0),MIN(G$309*$B$17,$B$13*MAX((MIN(G323,$B$15)*$B$6+MAX(G323-$B$15,0)*$B$16*$B$7/12)-$B$9,0)),0),0)*$B$8-(1-G$310)*IF(AND(G$309&gt;0,$B$8&gt;0),MIN(G$309*$B$17,$B$13*MAX((MIN(G323,$B$15)*$B$6+MAX(G323-$B$15,0)*$B$16*$B$7/12)-$B$9,0)),0)</f>
        <v/>
      </c>
      <c r="H324" s="179">
        <f>H323+(MIN(H323,$B$15)*$B$6+MAX(H323-$B$15,0)*$B$16*$B$7/12)-$B$9-MAX((MIN(H323,$B$15)*$B$6+MAX(H323-$B$15,0)*$B$16*$B$7/12)-$B$9-IF(AND(H$309&gt;0,$B$8&gt;0),MIN(H$309*$B$17,$B$13*MAX((MIN(H323,$B$15)*$B$6+MAX(H323-$B$15,0)*$B$16*$B$7/12)-$B$9,0)),0),0)*$B$8-(1-H$310)*IF(AND(H$309&gt;0,$B$8&gt;0),MIN(H$309*$B$17,$B$13*MAX((MIN(H323,$B$15)*$B$6+MAX(H323-$B$15,0)*$B$16*$B$7/12)-$B$9,0)),0)</f>
        <v/>
      </c>
      <c r="I324" s="179">
        <f>I323+(MIN(I323,$B$15)*$B$6+MAX(I323-$B$15,0)*$B$16*$B$7/12)-$B$9-MAX((MIN(I323,$B$15)*$B$6+MAX(I323-$B$15,0)*$B$16*$B$7/12)-$B$9-IF(AND(I$309&gt;0,$B$8&gt;0),MIN(I$309*$B$17,$B$13*MAX((MIN(I323,$B$15)*$B$6+MAX(I323-$B$15,0)*$B$16*$B$7/12)-$B$9,0)),0),0)*$B$8-(1-I$310)*IF(AND(I$309&gt;0,$B$8&gt;0),MIN(I$309*$B$17,$B$13*MAX((MIN(I323,$B$15)*$B$6+MAX(I323-$B$15,0)*$B$16*$B$7/12)-$B$9,0)),0)</f>
        <v/>
      </c>
      <c r="J324" s="179">
        <f>J323+(MIN(J323,$B$15)*$B$6+MAX(J323-$B$15,0)*$B$16*$B$7/12)-$B$9-MAX((MIN(J323,$B$15)*$B$6+MAX(J323-$B$15,0)*$B$16*$B$7/12)-$B$9-IF(AND(J$309&gt;0,$B$8&gt;0),MIN(J$309*$B$17,$B$13*MAX((MIN(J323,$B$15)*$B$6+MAX(J323-$B$15,0)*$B$16*$B$7/12)-$B$9,0)),0),0)*$B$8-(1-J$310)*IF(AND(J$309&gt;0,$B$8&gt;0),MIN(J$309*$B$17,$B$13*MAX((MIN(J323,$B$15)*$B$6+MAX(J323-$B$15,0)*$B$16*$B$7/12)-$B$9,0)),0)</f>
        <v/>
      </c>
      <c r="K324" s="179">
        <f>K323+(MIN(K323,$B$15)*$B$6+MAX(K323-$B$15,0)*$B$16*$B$7/12)-$B$9-MAX((MIN(K323,$B$15)*$B$6+MAX(K323-$B$15,0)*$B$16*$B$7/12)-$B$9-IF(AND(K$309&gt;0,$B$8&gt;0),MIN(K$309*$B$17,$B$13*MAX((MIN(K323,$B$15)*$B$6+MAX(K323-$B$15,0)*$B$16*$B$7/12)-$B$9,0)),0),0)*$B$8-(1-K$310)*IF(AND(K$309&gt;0,$B$8&gt;0),MIN(K$309*$B$17,$B$13*MAX((MIN(K323,$B$15)*$B$6+MAX(K323-$B$15,0)*$B$16*$B$7/12)-$B$9,0)),0)</f>
        <v/>
      </c>
      <c r="L324" s="179">
        <f>L323+(MIN(L323,$B$15)*$B$6+MAX(L323-$B$15,0)*$B$16*$B$7/12)-$B$9-MAX((MIN(L323,$B$15)*$B$6+MAX(L323-$B$15,0)*$B$16*$B$7/12)-$B$9-IF(AND(L$309&gt;0,$B$8&gt;0),MIN(L$309*$B$17,$B$13*MAX((MIN(L323,$B$15)*$B$6+MAX(L323-$B$15,0)*$B$16*$B$7/12)-$B$9,0)),0),0)*$B$8-(1-L$310)*IF(AND(L$309&gt;0,$B$8&gt;0),MIN(L$309*$B$17,$B$13*MAX((MIN(L323,$B$15)*$B$6+MAX(L323-$B$15,0)*$B$16*$B$7/12)-$B$9,0)),0)</f>
        <v/>
      </c>
      <c r="M324" s="179">
        <f>M323+(MIN(M323,$B$15)*$B$6+MAX(M323-$B$15,0)*$B$16*$B$7/12)-$B$9-MAX((MIN(M323,$B$15)*$B$6+MAX(M323-$B$15,0)*$B$16*$B$7/12)-$B$9-IF(AND(M$309&gt;0,$B$8&gt;0),MIN(M$309*$B$17,$B$13*MAX((MIN(M323,$B$15)*$B$6+MAX(M323-$B$15,0)*$B$16*$B$7/12)-$B$9,0)),0),0)*$B$8-(1-M$310)*IF(AND(M$309&gt;0,$B$8&gt;0),MIN(M$309*$B$17,$B$13*MAX((MIN(M323,$B$15)*$B$6+MAX(M323-$B$15,0)*$B$16*$B$7/12)-$B$9,0)),0)</f>
        <v/>
      </c>
      <c r="N324" s="179">
        <f>N323+(MIN(N323,$B$15)*$B$6+MAX(N323-$B$15,0)*$B$16*$B$7/12)-$B$9-MAX((MIN(N323,$B$15)*$B$6+MAX(N323-$B$15,0)*$B$16*$B$7/12)-$B$9-IF(AND(N$309&gt;0,$B$8&gt;0),MIN(N$309*$B$17,$B$13*MAX((MIN(N323,$B$15)*$B$6+MAX(N323-$B$15,0)*$B$16*$B$7/12)-$B$9,0)),0),0)*$B$8-(1-N$310)*IF(AND(N$309&gt;0,$B$8&gt;0),MIN(N$309*$B$17,$B$13*MAX((MIN(N323,$B$15)*$B$6+MAX(N323-$B$15,0)*$B$16*$B$7/12)-$B$9,0)),0)</f>
        <v/>
      </c>
      <c r="O324" s="179">
        <f>O323+(MIN(O323,$B$15)*$B$6+MAX(O323-$B$15,0)*$B$16*$B$7/12)-$B$9-MAX((MIN(O323,$B$15)*$B$6+MAX(O323-$B$15,0)*$B$16*$B$7/12)-$B$9-IF(AND(O$309&gt;0,$B$8&gt;0),MIN(O$309*$B$17,$B$13*MAX((MIN(O323,$B$15)*$B$6+MAX(O323-$B$15,0)*$B$16*$B$7/12)-$B$9,0)),0),0)*$B$8-(1-O$310)*IF(AND(O$309&gt;0,$B$8&gt;0),MIN(O$309*$B$17,$B$13*MAX((MIN(O323,$B$15)*$B$6+MAX(O323-$B$15,0)*$B$16*$B$7/12)-$B$9,0)),0)</f>
        <v/>
      </c>
      <c r="P324" s="179">
        <f>P323+(MIN(P323,$B$15)*$B$6+MAX(P323-$B$15,0)*$B$16*$B$7/12)-$B$9-MAX((MIN(P323,$B$15)*$B$6+MAX(P323-$B$15,0)*$B$16*$B$7/12)-$B$9-IF(AND(P$309&gt;0,$B$8&gt;0),MIN(P$309*$B$17,$B$13*MAX((MIN(P323,$B$15)*$B$6+MAX(P323-$B$15,0)*$B$16*$B$7/12)-$B$9,0)),0),0)*$B$8-(1-P$310)*IF(AND(P$309&gt;0,$B$8&gt;0),MIN(P$309*$B$17,$B$13*MAX((MIN(P323,$B$15)*$B$6+MAX(P323-$B$15,0)*$B$16*$B$7/12)-$B$9,0)),0)</f>
        <v/>
      </c>
      <c r="Q324" s="179">
        <f>Q323+(MIN(Q323,$B$15)*$B$6+MAX(Q323-$B$15,0)*$B$16*$B$7/12)-$B$9-MAX((MIN(Q323,$B$15)*$B$6+MAX(Q323-$B$15,0)*$B$16*$B$7/12)-$B$9-IF(AND(Q$309&gt;0,$B$8&gt;0),MIN(Q$309*$B$17,$B$13*MAX((MIN(Q323,$B$15)*$B$6+MAX(Q323-$B$15,0)*$B$16*$B$7/12)-$B$9,0)),0),0)*$B$8-(1-Q$310)*IF(AND(Q$309&gt;0,$B$8&gt;0),MIN(Q$309*$B$17,$B$13*MAX((MIN(Q323,$B$15)*$B$6+MAX(Q323-$B$15,0)*$B$16*$B$7/12)-$B$9,0)),0)</f>
        <v/>
      </c>
      <c r="R324" s="179">
        <f>R323+(MIN(R323,$B$15)*$B$6+MAX(R323-$B$15,0)*$B$16*$B$7/12)-$B$9-MAX((MIN(R323,$B$15)*$B$6+MAX(R323-$B$15,0)*$B$16*$B$7/12)-$B$9-IF(AND(R$309&gt;0,$B$8&gt;0),MIN(R$309*$B$17,$B$13*MAX((MIN(R323,$B$15)*$B$6+MAX(R323-$B$15,0)*$B$16*$B$7/12)-$B$9,0)),0),0)*$B$8-(1-R$310)*IF(AND(R$309&gt;0,$B$8&gt;0),MIN(R$309*$B$17,$B$13*MAX((MIN(R323,$B$15)*$B$6+MAX(R323-$B$15,0)*$B$16*$B$7/12)-$B$9,0)),0)</f>
        <v/>
      </c>
      <c r="S324" s="179">
        <f>S323+(MIN(S323,$B$15)*$B$6+MAX(S323-$B$15,0)*$B$16*$B$7/12)-$B$9-MAX((MIN(S323,$B$15)*$B$6+MAX(S323-$B$15,0)*$B$16*$B$7/12)-$B$9-IF(AND(S$309&gt;0,$B$8&gt;0),MIN(S$309*$B$17,$B$13*MAX((MIN(S323,$B$15)*$B$6+MAX(S323-$B$15,0)*$B$16*$B$7/12)-$B$9,0)),0),0)*$B$8-(1-S$310)*IF(AND(S$309&gt;0,$B$8&gt;0),MIN(S$309*$B$17,$B$13*MAX((MIN(S323,$B$15)*$B$6+MAX(S323-$B$15,0)*$B$16*$B$7/12)-$B$9,0)),0)</f>
        <v/>
      </c>
      <c r="T324" s="179">
        <f>T323+(MIN(T323,$B$15)*$B$6+MAX(T323-$B$15,0)*$B$16*$B$7/12)-$B$9-MAX((MIN(T323,$B$15)*$B$6+MAX(T323-$B$15,0)*$B$16*$B$7/12)-$B$9-IF(AND(T$309&gt;0,$B$8&gt;0),MIN(T$309*$B$17,$B$13*MAX((MIN(T323,$B$15)*$B$6+MAX(T323-$B$15,0)*$B$16*$B$7/12)-$B$9,0)),0),0)*$B$8-(1-T$310)*IF(AND(T$309&gt;0,$B$8&gt;0),MIN(T$309*$B$17,$B$13*MAX((MIN(T323,$B$15)*$B$6+MAX(T323-$B$15,0)*$B$16*$B$7/12)-$B$9,0)),0)</f>
        <v/>
      </c>
      <c r="U324" s="179">
        <f>U323+(MIN(U323,$B$15)*$B$6+MAX(U323-$B$15,0)*$B$16*$B$7/12)-$B$9-MAX((MIN(U323,$B$15)*$B$6+MAX(U323-$B$15,0)*$B$16*$B$7/12)-$B$9-IF(AND(U$309&gt;0,$B$8&gt;0),MIN(U$309*$B$17,$B$13*MAX((MIN(U323,$B$15)*$B$6+MAX(U323-$B$15,0)*$B$16*$B$7/12)-$B$9,0)),0),0)*$B$8-(1-U$310)*IF(AND(U$309&gt;0,$B$8&gt;0),MIN(U$309*$B$17,$B$13*MAX((MIN(U323,$B$15)*$B$6+MAX(U323-$B$15,0)*$B$16*$B$7/12)-$B$9,0)),0)</f>
        <v/>
      </c>
      <c r="V324" s="179">
        <f>V323+(MIN(V323,$B$15)*$B$6+MAX(V323-$B$15,0)*$B$16*$B$7/12)-$B$9-MAX((MIN(V323,$B$15)*$B$6+MAX(V323-$B$15,0)*$B$16*$B$7/12)-$B$9-IF(AND(V$309&gt;0,$B$8&gt;0),MIN(V$309*$B$17,$B$13*MAX((MIN(V323,$B$15)*$B$6+MAX(V323-$B$15,0)*$B$16*$B$7/12)-$B$9,0)),0),0)*$B$8-(1-V$310)*IF(AND(V$309&gt;0,$B$8&gt;0),MIN(V$309*$B$17,$B$13*MAX((MIN(V323,$B$15)*$B$6+MAX(V323-$B$15,0)*$B$16*$B$7/12)-$B$9,0)),0)</f>
        <v/>
      </c>
      <c r="W324" s="179">
        <f>W323+(MIN(W323,$B$15)*$B$6+MAX(W323-$B$15,0)*$B$16*$B$7/12)-$B$9-MAX((MIN(W323,$B$15)*$B$6+MAX(W323-$B$15,0)*$B$16*$B$7/12)-$B$9-IF(AND(W$309&gt;0,$B$8&gt;0),MIN(W$309*$B$17,$B$13*MAX((MIN(W323,$B$15)*$B$6+MAX(W323-$B$15,0)*$B$16*$B$7/12)-$B$9,0)),0),0)*$B$8-(1-W$310)*IF(AND(W$309&gt;0,$B$8&gt;0),MIN(W$309*$B$17,$B$13*MAX((MIN(W323,$B$15)*$B$6+MAX(W323-$B$15,0)*$B$16*$B$7/12)-$B$9,0)),0)</f>
        <v/>
      </c>
      <c r="X324" s="179">
        <f>X323+(MIN(X323,$B$15)*$B$6+MAX(X323-$B$15,0)*$B$16*$B$7/12)-$B$9-MAX((MIN(X323,$B$15)*$B$6+MAX(X323-$B$15,0)*$B$16*$B$7/12)-$B$9-IF(AND(X$309&gt;0,$B$8&gt;0),MIN(X$309*$B$17,$B$13*MAX((MIN(X323,$B$15)*$B$6+MAX(X323-$B$15,0)*$B$16*$B$7/12)-$B$9,0)),0),0)*$B$8-(1-X$310)*IF(AND(X$309&gt;0,$B$8&gt;0),MIN(X$309*$B$17,$B$13*MAX((MIN(X323,$B$15)*$B$6+MAX(X323-$B$15,0)*$B$16*$B$7/12)-$B$9,0)),0)</f>
        <v/>
      </c>
      <c r="Y324" s="179">
        <f>Y323+(MIN(Y323,$B$15)*$B$6+MAX(Y323-$B$15,0)*$B$16*$B$7/12)-$B$9-MAX((MIN(Y323,$B$15)*$B$6+MAX(Y323-$B$15,0)*$B$16*$B$7/12)-$B$9-IF(AND(Y$309&gt;0,$B$8&gt;0),MIN(Y$309*$B$17,$B$13*MAX((MIN(Y323,$B$15)*$B$6+MAX(Y323-$B$15,0)*$B$16*$B$7/12)-$B$9,0)),0),0)*$B$8-(1-Y$310)*IF(AND(Y$309&gt;0,$B$8&gt;0),MIN(Y$309*$B$17,$B$13*MAX((MIN(Y323,$B$15)*$B$6+MAX(Y323-$B$15,0)*$B$16*$B$7/12)-$B$9,0)),0)</f>
        <v/>
      </c>
      <c r="Z324" s="179">
        <f>Z323+(MIN(Z323,$B$15)*$B$6+MAX(Z323-$B$15,0)*$B$16*$B$7/12)-$B$9-MAX((MIN(Z323,$B$15)*$B$6+MAX(Z323-$B$15,0)*$B$16*$B$7/12)-$B$9-IF(AND(Z$309&gt;0,$B$8&gt;0),MIN(Z$309*$B$17,$B$13*MAX((MIN(Z323,$B$15)*$B$6+MAX(Z323-$B$15,0)*$B$16*$B$7/12)-$B$9,0)),0),0)*$B$8-(1-Z$310)*IF(AND(Z$309&gt;0,$B$8&gt;0),MIN(Z$309*$B$17,$B$13*MAX((MIN(Z323,$B$15)*$B$6+MAX(Z323-$B$15,0)*$B$16*$B$7/12)-$B$9,0)),0)</f>
        <v/>
      </c>
      <c r="AA324" s="179">
        <f>AA323+(MIN(AA323,$B$15)*$B$6+MAX(AA323-$B$15,0)*$B$16*$B$7/12)-$B$9-MAX((MIN(AA323,$B$15)*$B$6+MAX(AA323-$B$15,0)*$B$16*$B$7/12)-$B$9-IF(AND(AA$309&gt;0,$B$8&gt;0),MIN(AA$309*$B$17,$B$13*MAX((MIN(AA323,$B$15)*$B$6+MAX(AA323-$B$15,0)*$B$16*$B$7/12)-$B$9,0)),0),0)*$B$8-(1-AA$310)*IF(AND(AA$309&gt;0,$B$8&gt;0),MIN(AA$309*$B$17,$B$13*MAX((MIN(AA323,$B$15)*$B$6+MAX(AA323-$B$15,0)*$B$16*$B$7/12)-$B$9,0)),0)</f>
        <v/>
      </c>
      <c r="AB324" s="179">
        <f>AB323+(MIN(AB323,$B$15)*$B$6+MAX(AB323-$B$15,0)*$B$16*$B$7/12)-$B$9-MAX((MIN(AB323,$B$15)*$B$6+MAX(AB323-$B$15,0)*$B$16*$B$7/12)-$B$9-IF(AND(AB$309&gt;0,$B$8&gt;0),MIN(AB$309*$B$17,$B$13*MAX((MIN(AB323,$B$15)*$B$6+MAX(AB323-$B$15,0)*$B$16*$B$7/12)-$B$9,0)),0),0)*$B$8-(1-AB$310)*IF(AND(AB$309&gt;0,$B$8&gt;0),MIN(AB$309*$B$17,$B$13*MAX((MIN(AB323,$B$15)*$B$6+MAX(AB323-$B$15,0)*$B$16*$B$7/12)-$B$9,0)),0)</f>
        <v/>
      </c>
      <c r="AC324" s="179">
        <f>AC323+(MIN(AC323,$B$15)*$B$6+MAX(AC323-$B$15,0)*$B$16*$B$7/12)-$B$9-MAX((MIN(AC323,$B$15)*$B$6+MAX(AC323-$B$15,0)*$B$16*$B$7/12)-$B$9-IF(AND(AC$309&gt;0,$B$8&gt;0),MIN(AC$309*$B$17,$B$13*MAX((MIN(AC323,$B$15)*$B$6+MAX(AC323-$B$15,0)*$B$16*$B$7/12)-$B$9,0)),0),0)*$B$8-(1-AC$310)*IF(AND(AC$309&gt;0,$B$8&gt;0),MIN(AC$309*$B$17,$B$13*MAX((MIN(AC323,$B$15)*$B$6+MAX(AC323-$B$15,0)*$B$16*$B$7/12)-$B$9,0)),0)</f>
        <v/>
      </c>
      <c r="AD324" s="179">
        <f>AD323+(MIN(AD323,$B$15)*$B$6+MAX(AD323-$B$15,0)*$B$16*$B$7/12)-$B$9-MAX((MIN(AD323,$B$15)*$B$6+MAX(AD323-$B$15,0)*$B$16*$B$7/12)-$B$9-IF(AND(AD$309&gt;0,$B$8&gt;0),MIN(AD$309*$B$17,$B$13*MAX((MIN(AD323,$B$15)*$B$6+MAX(AD323-$B$15,0)*$B$16*$B$7/12)-$B$9,0)),0),0)*$B$8-(1-AD$310)*IF(AND(AD$309&gt;0,$B$8&gt;0),MIN(AD$309*$B$17,$B$13*MAX((MIN(AD323,$B$15)*$B$6+MAX(AD323-$B$15,0)*$B$16*$B$7/12)-$B$9,0)),0)</f>
        <v/>
      </c>
      <c r="AE324" s="179">
        <f>AE323+(MIN(AE323,$B$15)*$B$6+MAX(AE323-$B$15,0)*$B$16*$B$7/12)-$B$9-MAX((MIN(AE323,$B$15)*$B$6+MAX(AE323-$B$15,0)*$B$16*$B$7/12)-$B$9-IF(AND(AE$309&gt;0,$B$8&gt;0),MIN(AE$309*$B$17,$B$13*MAX((MIN(AE323,$B$15)*$B$6+MAX(AE323-$B$15,0)*$B$16*$B$7/12)-$B$9,0)),0),0)*$B$8-(1-AE$310)*IF(AND(AE$309&gt;0,$B$8&gt;0),MIN(AE$309*$B$17,$B$13*MAX((MIN(AE323,$B$15)*$B$6+MAX(AE323-$B$15,0)*$B$16*$B$7/12)-$B$9,0)),0)</f>
        <v/>
      </c>
      <c r="AF324" s="179">
        <f>AF323+(MIN(AF323,$B$15)*$B$6+MAX(AF323-$B$15,0)*$B$16*$B$7/12)-$B$9-MAX((MIN(AF323,$B$15)*$B$6+MAX(AF323-$B$15,0)*$B$16*$B$7/12)-$B$9-IF(AND(AF$309&gt;0,$B$8&gt;0),MIN(AF$309*$B$17,$B$13*MAX((MIN(AF323,$B$15)*$B$6+MAX(AF323-$B$15,0)*$B$16*$B$7/12)-$B$9,0)),0),0)*$B$8-(1-AF$310)*IF(AND(AF$309&gt;0,$B$8&gt;0),MIN(AF$309*$B$17,$B$13*MAX((MIN(AF323,$B$15)*$B$6+MAX(AF323-$B$15,0)*$B$16*$B$7/12)-$B$9,0)),0)</f>
        <v/>
      </c>
      <c r="AG324" s="179">
        <f>AG323+(MIN(AG323,$B$15)*$B$6+MAX(AG323-$B$15,0)*$B$16*$B$7/12)-$B$9-MAX((MIN(AG323,$B$15)*$B$6+MAX(AG323-$B$15,0)*$B$16*$B$7/12)-$B$9-IF(AND(AG$309&gt;0,$B$8&gt;0),MIN(AG$309*$B$17,$B$13*MAX((MIN(AG323,$B$15)*$B$6+MAX(AG323-$B$15,0)*$B$16*$B$7/12)-$B$9,0)),0),0)*$B$8-(1-AG$310)*IF(AND(AG$309&gt;0,$B$8&gt;0),MIN(AG$309*$B$17,$B$13*MAX((MIN(AG323,$B$15)*$B$6+MAX(AG323-$B$15,0)*$B$16*$B$7/12)-$B$9,0)),0)</f>
        <v/>
      </c>
      <c r="AH324" s="179">
        <f>AH323+(MIN(AH323,$B$15)*$B$6+MAX(AH323-$B$15,0)*$B$16*$B$7/12)-$B$9-MAX((MIN(AH323,$B$15)*$B$6+MAX(AH323-$B$15,0)*$B$16*$B$7/12)-$B$9-IF(AND(AH$309&gt;0,$B$8&gt;0),MIN(AH$309*$B$17,$B$13*MAX((MIN(AH323,$B$15)*$B$6+MAX(AH323-$B$15,0)*$B$16*$B$7/12)-$B$9,0)),0),0)*$B$8-(1-AH$310)*IF(AND(AH$309&gt;0,$B$8&gt;0),MIN(AH$309*$B$17,$B$13*MAX((MIN(AH323,$B$15)*$B$6+MAX(AH323-$B$15,0)*$B$16*$B$7/12)-$B$9,0)),0)</f>
        <v/>
      </c>
      <c r="AI324" s="179">
        <f>AI323+(MIN(AI323,$B$15)*$B$6+MAX(AI323-$B$15,0)*$B$16*$B$7/12)-$B$9-MAX((MIN(AI323,$B$15)*$B$6+MAX(AI323-$B$15,0)*$B$16*$B$7/12)-$B$9-IF(AND(AI$309&gt;0,$B$8&gt;0),MIN(AI$309*$B$17,$B$13*MAX((MIN(AI323,$B$15)*$B$6+MAX(AI323-$B$15,0)*$B$16*$B$7/12)-$B$9,0)),0),0)*$B$8-(1-AI$310)*IF(AND(AI$309&gt;0,$B$8&gt;0),MIN(AI$309*$B$17,$B$13*MAX((MIN(AI323,$B$15)*$B$6+MAX(AI323-$B$15,0)*$B$16*$B$7/12)-$B$9,0)),0)</f>
        <v/>
      </c>
      <c r="AJ324" s="179">
        <f>AJ323+(MIN(AJ323,$B$15)*$B$6+MAX(AJ323-$B$15,0)*$B$16*$B$7/12)-$B$9-MAX((MIN(AJ323,$B$15)*$B$6+MAX(AJ323-$B$15,0)*$B$16*$B$7/12)-$B$9-IF(AND(AJ$309&gt;0,$B$8&gt;0),MIN(AJ$309*$B$17,$B$13*MAX((MIN(AJ323,$B$15)*$B$6+MAX(AJ323-$B$15,0)*$B$16*$B$7/12)-$B$9,0)),0),0)*$B$8-(1-AJ$310)*IF(AND(AJ$309&gt;0,$B$8&gt;0),MIN(AJ$309*$B$17,$B$13*MAX((MIN(AJ323,$B$15)*$B$6+MAX(AJ323-$B$15,0)*$B$16*$B$7/12)-$B$9,0)),0)</f>
        <v/>
      </c>
      <c r="AK324" s="179">
        <f>AK323+(MIN(AK323,$B$15)*$B$6+MAX(AK323-$B$15,0)*$B$16*$B$7/12)-$B$9-MAX((MIN(AK323,$B$15)*$B$6+MAX(AK323-$B$15,0)*$B$16*$B$7/12)-$B$9-IF(AND(AK$309&gt;0,$B$8&gt;0),MIN(AK$309*$B$17,$B$13*MAX((MIN(AK323,$B$15)*$B$6+MAX(AK323-$B$15,0)*$B$16*$B$7/12)-$B$9,0)),0),0)*$B$8-(1-AK$310)*IF(AND(AK$309&gt;0,$B$8&gt;0),MIN(AK$309*$B$17,$B$13*MAX((MIN(AK323,$B$15)*$B$6+MAX(AK323-$B$15,0)*$B$16*$B$7/12)-$B$9,0)),0)</f>
        <v/>
      </c>
      <c r="AL324" s="179">
        <f>AL323+(MIN(AL323,$B$15)*$B$6+MAX(AL323-$B$15,0)*$B$16*$B$7/12)-$B$9-MAX((MIN(AL323,$B$15)*$B$6+MAX(AL323-$B$15,0)*$B$16*$B$7/12)-$B$9-IF(AND(AL$309&gt;0,$B$8&gt;0),MIN(AL$309*$B$17,$B$13*MAX((MIN(AL323,$B$15)*$B$6+MAX(AL323-$B$15,0)*$B$16*$B$7/12)-$B$9,0)),0),0)*$B$8-(1-AL$310)*IF(AND(AL$309&gt;0,$B$8&gt;0),MIN(AL$309*$B$17,$B$13*MAX((MIN(AL323,$B$15)*$B$6+MAX(AL323-$B$15,0)*$B$16*$B$7/12)-$B$9,0)),0)</f>
        <v/>
      </c>
      <c r="AM324" s="179">
        <f>AM323+(MIN(AM323,$B$15)*$B$6+MAX(AM323-$B$15,0)*$B$16*$B$7/12)-$B$9-MAX((MIN(AM323,$B$15)*$B$6+MAX(AM323-$B$15,0)*$B$16*$B$7/12)-$B$9-IF(AND(AM$309&gt;0,$B$8&gt;0),MIN(AM$309*$B$17,$B$13*MAX((MIN(AM323,$B$15)*$B$6+MAX(AM323-$B$15,0)*$B$16*$B$7/12)-$B$9,0)),0),0)*$B$8-(1-AM$310)*IF(AND(AM$309&gt;0,$B$8&gt;0),MIN(AM$309*$B$17,$B$13*MAX((MIN(AM323,$B$15)*$B$6+MAX(AM323-$B$15,0)*$B$16*$B$7/12)-$B$9,0)),0)</f>
        <v/>
      </c>
      <c r="AN324" s="179">
        <f>AN323+(MIN(AN323,$B$15)*$B$6+MAX(AN323-$B$15,0)*$B$16*$B$7/12)-$B$9-MAX((MIN(AN323,$B$15)*$B$6+MAX(AN323-$B$15,0)*$B$16*$B$7/12)-$B$9-IF(AND(AN$309&gt;0,$B$8&gt;0),MIN(AN$309*$B$17,$B$13*MAX((MIN(AN323,$B$15)*$B$6+MAX(AN323-$B$15,0)*$B$16*$B$7/12)-$B$9,0)),0),0)*$B$8-(1-AN$310)*IF(AND(AN$309&gt;0,$B$8&gt;0),MIN(AN$309*$B$17,$B$13*MAX((MIN(AN323,$B$15)*$B$6+MAX(AN323-$B$15,0)*$B$16*$B$7/12)-$B$9,0)),0)</f>
        <v/>
      </c>
      <c r="AO324" s="179">
        <f>AO323+(MIN(AO323,$B$15)*$B$6+MAX(AO323-$B$15,0)*$B$16*$B$7/12)-$B$9-MAX((MIN(AO323,$B$15)*$B$6+MAX(AO323-$B$15,0)*$B$16*$B$7/12)-$B$9-IF(AND(AO$309&gt;0,$B$8&gt;0),MIN(AO$309*$B$17,$B$13*MAX((MIN(AO323,$B$15)*$B$6+MAX(AO323-$B$15,0)*$B$16*$B$7/12)-$B$9,0)),0),0)*$B$8-(1-AO$310)*IF(AND(AO$309&gt;0,$B$8&gt;0),MIN(AO$309*$B$17,$B$13*MAX((MIN(AO323,$B$15)*$B$6+MAX(AO323-$B$15,0)*$B$16*$B$7/12)-$B$9,0)),0)</f>
        <v/>
      </c>
      <c r="AP324" s="179">
        <f>AP323+(MIN(AP323,$B$15)*$B$6+MAX(AP323-$B$15,0)*$B$16*$B$7/12)-$B$9-MAX((MIN(AP323,$B$15)*$B$6+MAX(AP323-$B$15,0)*$B$16*$B$7/12)-$B$9-IF(AND(AP$309&gt;0,$B$8&gt;0),MIN(AP$309*$B$17,$B$13*MAX((MIN(AP323,$B$15)*$B$6+MAX(AP323-$B$15,0)*$B$16*$B$7/12)-$B$9,0)),0),0)*$B$8-(1-AP$310)*IF(AND(AP$309&gt;0,$B$8&gt;0),MIN(AP$309*$B$17,$B$13*MAX((MIN(AP323,$B$15)*$B$6+MAX(AP323-$B$15,0)*$B$16*$B$7/12)-$B$9,0)),0)</f>
        <v/>
      </c>
      <c r="AQ324" s="179">
        <f>AQ323+(MIN(AQ323,$B$15)*$B$6+MAX(AQ323-$B$15,0)*$B$16*$B$7/12)-$B$9-MAX((MIN(AQ323,$B$15)*$B$6+MAX(AQ323-$B$15,0)*$B$16*$B$7/12)-$B$9-IF(AND(AQ$309&gt;0,$B$8&gt;0),MIN(AQ$309*$B$17,$B$13*MAX((MIN(AQ323,$B$15)*$B$6+MAX(AQ323-$B$15,0)*$B$16*$B$7/12)-$B$9,0)),0),0)*$B$8-(1-AQ$310)*IF(AND(AQ$309&gt;0,$B$8&gt;0),MIN(AQ$309*$B$17,$B$13*MAX((MIN(AQ323,$B$15)*$B$6+MAX(AQ323-$B$15,0)*$B$16*$B$7/12)-$B$9,0)),0)</f>
        <v/>
      </c>
    </row>
    <row r="325" hidden="1" outlineLevel="1">
      <c r="A325" s="164" t="inlineStr">
        <is>
          <t>Cycle 15</t>
        </is>
      </c>
      <c r="B325" s="179">
        <f>B324+(MIN(B324,$B$15)*$B$6+MAX(B324-$B$15,0)*$B$16*$B$7/12)-$B$9-MAX((MIN(B324,$B$15)*$B$6+MAX(B324-$B$15,0)*$B$16*$B$7/12)-$B$9-IF(AND(B$309&gt;0,$B$8&gt;0),MIN(B$309*$B$17,$B$13*MAX((MIN(B324,$B$15)*$B$6+MAX(B324-$B$15,0)*$B$16*$B$7/12)-$B$9,0)),0),0)*$B$8-(1-B$310)*IF(AND(B$309&gt;0,$B$8&gt;0),MIN(B$309*$B$17,$B$13*MAX((MIN(B324,$B$15)*$B$6+MAX(B324-$B$15,0)*$B$16*$B$7/12)-$B$9,0)),0)</f>
        <v/>
      </c>
      <c r="C325" s="179">
        <f>C324+(MIN(C324,$B$15)*$B$6+MAX(C324-$B$15,0)*$B$16*$B$7/12)-$B$9-MAX((MIN(C324,$B$15)*$B$6+MAX(C324-$B$15,0)*$B$16*$B$7/12)-$B$9-IF(AND(C$309&gt;0,$B$8&gt;0),MIN(C$309*$B$17,$B$13*MAX((MIN(C324,$B$15)*$B$6+MAX(C324-$B$15,0)*$B$16*$B$7/12)-$B$9,0)),0),0)*$B$8-(1-C$310)*IF(AND(C$309&gt;0,$B$8&gt;0),MIN(C$309*$B$17,$B$13*MAX((MIN(C324,$B$15)*$B$6+MAX(C324-$B$15,0)*$B$16*$B$7/12)-$B$9,0)),0)</f>
        <v/>
      </c>
      <c r="D325" s="179">
        <f>D324+(MIN(D324,$B$15)*$B$6+MAX(D324-$B$15,0)*$B$16*$B$7/12)-$B$9-MAX((MIN(D324,$B$15)*$B$6+MAX(D324-$B$15,0)*$B$16*$B$7/12)-$B$9-IF(AND(D$309&gt;0,$B$8&gt;0),MIN(D$309*$B$17,$B$13*MAX((MIN(D324,$B$15)*$B$6+MAX(D324-$B$15,0)*$B$16*$B$7/12)-$B$9,0)),0),0)*$B$8-(1-D$310)*IF(AND(D$309&gt;0,$B$8&gt;0),MIN(D$309*$B$17,$B$13*MAX((MIN(D324,$B$15)*$B$6+MAX(D324-$B$15,0)*$B$16*$B$7/12)-$B$9,0)),0)</f>
        <v/>
      </c>
      <c r="E325" s="179">
        <f>E324+(MIN(E324,$B$15)*$B$6+MAX(E324-$B$15,0)*$B$16*$B$7/12)-$B$9-MAX((MIN(E324,$B$15)*$B$6+MAX(E324-$B$15,0)*$B$16*$B$7/12)-$B$9-IF(AND(E$309&gt;0,$B$8&gt;0),MIN(E$309*$B$17,$B$13*MAX((MIN(E324,$B$15)*$B$6+MAX(E324-$B$15,0)*$B$16*$B$7/12)-$B$9,0)),0),0)*$B$8-(1-E$310)*IF(AND(E$309&gt;0,$B$8&gt;0),MIN(E$309*$B$17,$B$13*MAX((MIN(E324,$B$15)*$B$6+MAX(E324-$B$15,0)*$B$16*$B$7/12)-$B$9,0)),0)</f>
        <v/>
      </c>
      <c r="F325" s="179">
        <f>F324+(MIN(F324,$B$15)*$B$6+MAX(F324-$B$15,0)*$B$16*$B$7/12)-$B$9-MAX((MIN(F324,$B$15)*$B$6+MAX(F324-$B$15,0)*$B$16*$B$7/12)-$B$9-IF(AND(F$309&gt;0,$B$8&gt;0),MIN(F$309*$B$17,$B$13*MAX((MIN(F324,$B$15)*$B$6+MAX(F324-$B$15,0)*$B$16*$B$7/12)-$B$9,0)),0),0)*$B$8-(1-F$310)*IF(AND(F$309&gt;0,$B$8&gt;0),MIN(F$309*$B$17,$B$13*MAX((MIN(F324,$B$15)*$B$6+MAX(F324-$B$15,0)*$B$16*$B$7/12)-$B$9,0)),0)</f>
        <v/>
      </c>
      <c r="G325" s="179">
        <f>G324+(MIN(G324,$B$15)*$B$6+MAX(G324-$B$15,0)*$B$16*$B$7/12)-$B$9-MAX((MIN(G324,$B$15)*$B$6+MAX(G324-$B$15,0)*$B$16*$B$7/12)-$B$9-IF(AND(G$309&gt;0,$B$8&gt;0),MIN(G$309*$B$17,$B$13*MAX((MIN(G324,$B$15)*$B$6+MAX(G324-$B$15,0)*$B$16*$B$7/12)-$B$9,0)),0),0)*$B$8-(1-G$310)*IF(AND(G$309&gt;0,$B$8&gt;0),MIN(G$309*$B$17,$B$13*MAX((MIN(G324,$B$15)*$B$6+MAX(G324-$B$15,0)*$B$16*$B$7/12)-$B$9,0)),0)</f>
        <v/>
      </c>
      <c r="H325" s="179">
        <f>H324+(MIN(H324,$B$15)*$B$6+MAX(H324-$B$15,0)*$B$16*$B$7/12)-$B$9-MAX((MIN(H324,$B$15)*$B$6+MAX(H324-$B$15,0)*$B$16*$B$7/12)-$B$9-IF(AND(H$309&gt;0,$B$8&gt;0),MIN(H$309*$B$17,$B$13*MAX((MIN(H324,$B$15)*$B$6+MAX(H324-$B$15,0)*$B$16*$B$7/12)-$B$9,0)),0),0)*$B$8-(1-H$310)*IF(AND(H$309&gt;0,$B$8&gt;0),MIN(H$309*$B$17,$B$13*MAX((MIN(H324,$B$15)*$B$6+MAX(H324-$B$15,0)*$B$16*$B$7/12)-$B$9,0)),0)</f>
        <v/>
      </c>
      <c r="I325" s="179">
        <f>I324+(MIN(I324,$B$15)*$B$6+MAX(I324-$B$15,0)*$B$16*$B$7/12)-$B$9-MAX((MIN(I324,$B$15)*$B$6+MAX(I324-$B$15,0)*$B$16*$B$7/12)-$B$9-IF(AND(I$309&gt;0,$B$8&gt;0),MIN(I$309*$B$17,$B$13*MAX((MIN(I324,$B$15)*$B$6+MAX(I324-$B$15,0)*$B$16*$B$7/12)-$B$9,0)),0),0)*$B$8-(1-I$310)*IF(AND(I$309&gt;0,$B$8&gt;0),MIN(I$309*$B$17,$B$13*MAX((MIN(I324,$B$15)*$B$6+MAX(I324-$B$15,0)*$B$16*$B$7/12)-$B$9,0)),0)</f>
        <v/>
      </c>
      <c r="J325" s="179">
        <f>J324+(MIN(J324,$B$15)*$B$6+MAX(J324-$B$15,0)*$B$16*$B$7/12)-$B$9-MAX((MIN(J324,$B$15)*$B$6+MAX(J324-$B$15,0)*$B$16*$B$7/12)-$B$9-IF(AND(J$309&gt;0,$B$8&gt;0),MIN(J$309*$B$17,$B$13*MAX((MIN(J324,$B$15)*$B$6+MAX(J324-$B$15,0)*$B$16*$B$7/12)-$B$9,0)),0),0)*$B$8-(1-J$310)*IF(AND(J$309&gt;0,$B$8&gt;0),MIN(J$309*$B$17,$B$13*MAX((MIN(J324,$B$15)*$B$6+MAX(J324-$B$15,0)*$B$16*$B$7/12)-$B$9,0)),0)</f>
        <v/>
      </c>
      <c r="K325" s="179">
        <f>K324+(MIN(K324,$B$15)*$B$6+MAX(K324-$B$15,0)*$B$16*$B$7/12)-$B$9-MAX((MIN(K324,$B$15)*$B$6+MAX(K324-$B$15,0)*$B$16*$B$7/12)-$B$9-IF(AND(K$309&gt;0,$B$8&gt;0),MIN(K$309*$B$17,$B$13*MAX((MIN(K324,$B$15)*$B$6+MAX(K324-$B$15,0)*$B$16*$B$7/12)-$B$9,0)),0),0)*$B$8-(1-K$310)*IF(AND(K$309&gt;0,$B$8&gt;0),MIN(K$309*$B$17,$B$13*MAX((MIN(K324,$B$15)*$B$6+MAX(K324-$B$15,0)*$B$16*$B$7/12)-$B$9,0)),0)</f>
        <v/>
      </c>
      <c r="L325" s="179">
        <f>L324+(MIN(L324,$B$15)*$B$6+MAX(L324-$B$15,0)*$B$16*$B$7/12)-$B$9-MAX((MIN(L324,$B$15)*$B$6+MAX(L324-$B$15,0)*$B$16*$B$7/12)-$B$9-IF(AND(L$309&gt;0,$B$8&gt;0),MIN(L$309*$B$17,$B$13*MAX((MIN(L324,$B$15)*$B$6+MAX(L324-$B$15,0)*$B$16*$B$7/12)-$B$9,0)),0),0)*$B$8-(1-L$310)*IF(AND(L$309&gt;0,$B$8&gt;0),MIN(L$309*$B$17,$B$13*MAX((MIN(L324,$B$15)*$B$6+MAX(L324-$B$15,0)*$B$16*$B$7/12)-$B$9,0)),0)</f>
        <v/>
      </c>
      <c r="M325" s="179">
        <f>M324+(MIN(M324,$B$15)*$B$6+MAX(M324-$B$15,0)*$B$16*$B$7/12)-$B$9-MAX((MIN(M324,$B$15)*$B$6+MAX(M324-$B$15,0)*$B$16*$B$7/12)-$B$9-IF(AND(M$309&gt;0,$B$8&gt;0),MIN(M$309*$B$17,$B$13*MAX((MIN(M324,$B$15)*$B$6+MAX(M324-$B$15,0)*$B$16*$B$7/12)-$B$9,0)),0),0)*$B$8-(1-M$310)*IF(AND(M$309&gt;0,$B$8&gt;0),MIN(M$309*$B$17,$B$13*MAX((MIN(M324,$B$15)*$B$6+MAX(M324-$B$15,0)*$B$16*$B$7/12)-$B$9,0)),0)</f>
        <v/>
      </c>
      <c r="N325" s="179">
        <f>N324+(MIN(N324,$B$15)*$B$6+MAX(N324-$B$15,0)*$B$16*$B$7/12)-$B$9-MAX((MIN(N324,$B$15)*$B$6+MAX(N324-$B$15,0)*$B$16*$B$7/12)-$B$9-IF(AND(N$309&gt;0,$B$8&gt;0),MIN(N$309*$B$17,$B$13*MAX((MIN(N324,$B$15)*$B$6+MAX(N324-$B$15,0)*$B$16*$B$7/12)-$B$9,0)),0),0)*$B$8-(1-N$310)*IF(AND(N$309&gt;0,$B$8&gt;0),MIN(N$309*$B$17,$B$13*MAX((MIN(N324,$B$15)*$B$6+MAX(N324-$B$15,0)*$B$16*$B$7/12)-$B$9,0)),0)</f>
        <v/>
      </c>
      <c r="O325" s="179">
        <f>O324+(MIN(O324,$B$15)*$B$6+MAX(O324-$B$15,0)*$B$16*$B$7/12)-$B$9-MAX((MIN(O324,$B$15)*$B$6+MAX(O324-$B$15,0)*$B$16*$B$7/12)-$B$9-IF(AND(O$309&gt;0,$B$8&gt;0),MIN(O$309*$B$17,$B$13*MAX((MIN(O324,$B$15)*$B$6+MAX(O324-$B$15,0)*$B$16*$B$7/12)-$B$9,0)),0),0)*$B$8-(1-O$310)*IF(AND(O$309&gt;0,$B$8&gt;0),MIN(O$309*$B$17,$B$13*MAX((MIN(O324,$B$15)*$B$6+MAX(O324-$B$15,0)*$B$16*$B$7/12)-$B$9,0)),0)</f>
        <v/>
      </c>
      <c r="P325" s="179">
        <f>P324+(MIN(P324,$B$15)*$B$6+MAX(P324-$B$15,0)*$B$16*$B$7/12)-$B$9-MAX((MIN(P324,$B$15)*$B$6+MAX(P324-$B$15,0)*$B$16*$B$7/12)-$B$9-IF(AND(P$309&gt;0,$B$8&gt;0),MIN(P$309*$B$17,$B$13*MAX((MIN(P324,$B$15)*$B$6+MAX(P324-$B$15,0)*$B$16*$B$7/12)-$B$9,0)),0),0)*$B$8-(1-P$310)*IF(AND(P$309&gt;0,$B$8&gt;0),MIN(P$309*$B$17,$B$13*MAX((MIN(P324,$B$15)*$B$6+MAX(P324-$B$15,0)*$B$16*$B$7/12)-$B$9,0)),0)</f>
        <v/>
      </c>
      <c r="Q325" s="179">
        <f>Q324+(MIN(Q324,$B$15)*$B$6+MAX(Q324-$B$15,0)*$B$16*$B$7/12)-$B$9-MAX((MIN(Q324,$B$15)*$B$6+MAX(Q324-$B$15,0)*$B$16*$B$7/12)-$B$9-IF(AND(Q$309&gt;0,$B$8&gt;0),MIN(Q$309*$B$17,$B$13*MAX((MIN(Q324,$B$15)*$B$6+MAX(Q324-$B$15,0)*$B$16*$B$7/12)-$B$9,0)),0),0)*$B$8-(1-Q$310)*IF(AND(Q$309&gt;0,$B$8&gt;0),MIN(Q$309*$B$17,$B$13*MAX((MIN(Q324,$B$15)*$B$6+MAX(Q324-$B$15,0)*$B$16*$B$7/12)-$B$9,0)),0)</f>
        <v/>
      </c>
      <c r="R325" s="179">
        <f>R324+(MIN(R324,$B$15)*$B$6+MAX(R324-$B$15,0)*$B$16*$B$7/12)-$B$9-MAX((MIN(R324,$B$15)*$B$6+MAX(R324-$B$15,0)*$B$16*$B$7/12)-$B$9-IF(AND(R$309&gt;0,$B$8&gt;0),MIN(R$309*$B$17,$B$13*MAX((MIN(R324,$B$15)*$B$6+MAX(R324-$B$15,0)*$B$16*$B$7/12)-$B$9,0)),0),0)*$B$8-(1-R$310)*IF(AND(R$309&gt;0,$B$8&gt;0),MIN(R$309*$B$17,$B$13*MAX((MIN(R324,$B$15)*$B$6+MAX(R324-$B$15,0)*$B$16*$B$7/12)-$B$9,0)),0)</f>
        <v/>
      </c>
      <c r="S325" s="179">
        <f>S324+(MIN(S324,$B$15)*$B$6+MAX(S324-$B$15,0)*$B$16*$B$7/12)-$B$9-MAX((MIN(S324,$B$15)*$B$6+MAX(S324-$B$15,0)*$B$16*$B$7/12)-$B$9-IF(AND(S$309&gt;0,$B$8&gt;0),MIN(S$309*$B$17,$B$13*MAX((MIN(S324,$B$15)*$B$6+MAX(S324-$B$15,0)*$B$16*$B$7/12)-$B$9,0)),0),0)*$B$8-(1-S$310)*IF(AND(S$309&gt;0,$B$8&gt;0),MIN(S$309*$B$17,$B$13*MAX((MIN(S324,$B$15)*$B$6+MAX(S324-$B$15,0)*$B$16*$B$7/12)-$B$9,0)),0)</f>
        <v/>
      </c>
      <c r="T325" s="179">
        <f>T324+(MIN(T324,$B$15)*$B$6+MAX(T324-$B$15,0)*$B$16*$B$7/12)-$B$9-MAX((MIN(T324,$B$15)*$B$6+MAX(T324-$B$15,0)*$B$16*$B$7/12)-$B$9-IF(AND(T$309&gt;0,$B$8&gt;0),MIN(T$309*$B$17,$B$13*MAX((MIN(T324,$B$15)*$B$6+MAX(T324-$B$15,0)*$B$16*$B$7/12)-$B$9,0)),0),0)*$B$8-(1-T$310)*IF(AND(T$309&gt;0,$B$8&gt;0),MIN(T$309*$B$17,$B$13*MAX((MIN(T324,$B$15)*$B$6+MAX(T324-$B$15,0)*$B$16*$B$7/12)-$B$9,0)),0)</f>
        <v/>
      </c>
      <c r="U325" s="179">
        <f>U324+(MIN(U324,$B$15)*$B$6+MAX(U324-$B$15,0)*$B$16*$B$7/12)-$B$9-MAX((MIN(U324,$B$15)*$B$6+MAX(U324-$B$15,0)*$B$16*$B$7/12)-$B$9-IF(AND(U$309&gt;0,$B$8&gt;0),MIN(U$309*$B$17,$B$13*MAX((MIN(U324,$B$15)*$B$6+MAX(U324-$B$15,0)*$B$16*$B$7/12)-$B$9,0)),0),0)*$B$8-(1-U$310)*IF(AND(U$309&gt;0,$B$8&gt;0),MIN(U$309*$B$17,$B$13*MAX((MIN(U324,$B$15)*$B$6+MAX(U324-$B$15,0)*$B$16*$B$7/12)-$B$9,0)),0)</f>
        <v/>
      </c>
      <c r="V325" s="179">
        <f>V324+(MIN(V324,$B$15)*$B$6+MAX(V324-$B$15,0)*$B$16*$B$7/12)-$B$9-MAX((MIN(V324,$B$15)*$B$6+MAX(V324-$B$15,0)*$B$16*$B$7/12)-$B$9-IF(AND(V$309&gt;0,$B$8&gt;0),MIN(V$309*$B$17,$B$13*MAX((MIN(V324,$B$15)*$B$6+MAX(V324-$B$15,0)*$B$16*$B$7/12)-$B$9,0)),0),0)*$B$8-(1-V$310)*IF(AND(V$309&gt;0,$B$8&gt;0),MIN(V$309*$B$17,$B$13*MAX((MIN(V324,$B$15)*$B$6+MAX(V324-$B$15,0)*$B$16*$B$7/12)-$B$9,0)),0)</f>
        <v/>
      </c>
      <c r="W325" s="179">
        <f>W324+(MIN(W324,$B$15)*$B$6+MAX(W324-$B$15,0)*$B$16*$B$7/12)-$B$9-MAX((MIN(W324,$B$15)*$B$6+MAX(W324-$B$15,0)*$B$16*$B$7/12)-$B$9-IF(AND(W$309&gt;0,$B$8&gt;0),MIN(W$309*$B$17,$B$13*MAX((MIN(W324,$B$15)*$B$6+MAX(W324-$B$15,0)*$B$16*$B$7/12)-$B$9,0)),0),0)*$B$8-(1-W$310)*IF(AND(W$309&gt;0,$B$8&gt;0),MIN(W$309*$B$17,$B$13*MAX((MIN(W324,$B$15)*$B$6+MAX(W324-$B$15,0)*$B$16*$B$7/12)-$B$9,0)),0)</f>
        <v/>
      </c>
      <c r="X325" s="179">
        <f>X324+(MIN(X324,$B$15)*$B$6+MAX(X324-$B$15,0)*$B$16*$B$7/12)-$B$9-MAX((MIN(X324,$B$15)*$B$6+MAX(X324-$B$15,0)*$B$16*$B$7/12)-$B$9-IF(AND(X$309&gt;0,$B$8&gt;0),MIN(X$309*$B$17,$B$13*MAX((MIN(X324,$B$15)*$B$6+MAX(X324-$B$15,0)*$B$16*$B$7/12)-$B$9,0)),0),0)*$B$8-(1-X$310)*IF(AND(X$309&gt;0,$B$8&gt;0),MIN(X$309*$B$17,$B$13*MAX((MIN(X324,$B$15)*$B$6+MAX(X324-$B$15,0)*$B$16*$B$7/12)-$B$9,0)),0)</f>
        <v/>
      </c>
      <c r="Y325" s="179">
        <f>Y324+(MIN(Y324,$B$15)*$B$6+MAX(Y324-$B$15,0)*$B$16*$B$7/12)-$B$9-MAX((MIN(Y324,$B$15)*$B$6+MAX(Y324-$B$15,0)*$B$16*$B$7/12)-$B$9-IF(AND(Y$309&gt;0,$B$8&gt;0),MIN(Y$309*$B$17,$B$13*MAX((MIN(Y324,$B$15)*$B$6+MAX(Y324-$B$15,0)*$B$16*$B$7/12)-$B$9,0)),0),0)*$B$8-(1-Y$310)*IF(AND(Y$309&gt;0,$B$8&gt;0),MIN(Y$309*$B$17,$B$13*MAX((MIN(Y324,$B$15)*$B$6+MAX(Y324-$B$15,0)*$B$16*$B$7/12)-$B$9,0)),0)</f>
        <v/>
      </c>
      <c r="Z325" s="179">
        <f>Z324+(MIN(Z324,$B$15)*$B$6+MAX(Z324-$B$15,0)*$B$16*$B$7/12)-$B$9-MAX((MIN(Z324,$B$15)*$B$6+MAX(Z324-$B$15,0)*$B$16*$B$7/12)-$B$9-IF(AND(Z$309&gt;0,$B$8&gt;0),MIN(Z$309*$B$17,$B$13*MAX((MIN(Z324,$B$15)*$B$6+MAX(Z324-$B$15,0)*$B$16*$B$7/12)-$B$9,0)),0),0)*$B$8-(1-Z$310)*IF(AND(Z$309&gt;0,$B$8&gt;0),MIN(Z$309*$B$17,$B$13*MAX((MIN(Z324,$B$15)*$B$6+MAX(Z324-$B$15,0)*$B$16*$B$7/12)-$B$9,0)),0)</f>
        <v/>
      </c>
      <c r="AA325" s="179">
        <f>AA324+(MIN(AA324,$B$15)*$B$6+MAX(AA324-$B$15,0)*$B$16*$B$7/12)-$B$9-MAX((MIN(AA324,$B$15)*$B$6+MAX(AA324-$B$15,0)*$B$16*$B$7/12)-$B$9-IF(AND(AA$309&gt;0,$B$8&gt;0),MIN(AA$309*$B$17,$B$13*MAX((MIN(AA324,$B$15)*$B$6+MAX(AA324-$B$15,0)*$B$16*$B$7/12)-$B$9,0)),0),0)*$B$8-(1-AA$310)*IF(AND(AA$309&gt;0,$B$8&gt;0),MIN(AA$309*$B$17,$B$13*MAX((MIN(AA324,$B$15)*$B$6+MAX(AA324-$B$15,0)*$B$16*$B$7/12)-$B$9,0)),0)</f>
        <v/>
      </c>
      <c r="AB325" s="179">
        <f>AB324+(MIN(AB324,$B$15)*$B$6+MAX(AB324-$B$15,0)*$B$16*$B$7/12)-$B$9-MAX((MIN(AB324,$B$15)*$B$6+MAX(AB324-$B$15,0)*$B$16*$B$7/12)-$B$9-IF(AND(AB$309&gt;0,$B$8&gt;0),MIN(AB$309*$B$17,$B$13*MAX((MIN(AB324,$B$15)*$B$6+MAX(AB324-$B$15,0)*$B$16*$B$7/12)-$B$9,0)),0),0)*$B$8-(1-AB$310)*IF(AND(AB$309&gt;0,$B$8&gt;0),MIN(AB$309*$B$17,$B$13*MAX((MIN(AB324,$B$15)*$B$6+MAX(AB324-$B$15,0)*$B$16*$B$7/12)-$B$9,0)),0)</f>
        <v/>
      </c>
      <c r="AC325" s="179">
        <f>AC324+(MIN(AC324,$B$15)*$B$6+MAX(AC324-$B$15,0)*$B$16*$B$7/12)-$B$9-MAX((MIN(AC324,$B$15)*$B$6+MAX(AC324-$B$15,0)*$B$16*$B$7/12)-$B$9-IF(AND(AC$309&gt;0,$B$8&gt;0),MIN(AC$309*$B$17,$B$13*MAX((MIN(AC324,$B$15)*$B$6+MAX(AC324-$B$15,0)*$B$16*$B$7/12)-$B$9,0)),0),0)*$B$8-(1-AC$310)*IF(AND(AC$309&gt;0,$B$8&gt;0),MIN(AC$309*$B$17,$B$13*MAX((MIN(AC324,$B$15)*$B$6+MAX(AC324-$B$15,0)*$B$16*$B$7/12)-$B$9,0)),0)</f>
        <v/>
      </c>
      <c r="AD325" s="179">
        <f>AD324+(MIN(AD324,$B$15)*$B$6+MAX(AD324-$B$15,0)*$B$16*$B$7/12)-$B$9-MAX((MIN(AD324,$B$15)*$B$6+MAX(AD324-$B$15,0)*$B$16*$B$7/12)-$B$9-IF(AND(AD$309&gt;0,$B$8&gt;0),MIN(AD$309*$B$17,$B$13*MAX((MIN(AD324,$B$15)*$B$6+MAX(AD324-$B$15,0)*$B$16*$B$7/12)-$B$9,0)),0),0)*$B$8-(1-AD$310)*IF(AND(AD$309&gt;0,$B$8&gt;0),MIN(AD$309*$B$17,$B$13*MAX((MIN(AD324,$B$15)*$B$6+MAX(AD324-$B$15,0)*$B$16*$B$7/12)-$B$9,0)),0)</f>
        <v/>
      </c>
      <c r="AE325" s="179">
        <f>AE324+(MIN(AE324,$B$15)*$B$6+MAX(AE324-$B$15,0)*$B$16*$B$7/12)-$B$9-MAX((MIN(AE324,$B$15)*$B$6+MAX(AE324-$B$15,0)*$B$16*$B$7/12)-$B$9-IF(AND(AE$309&gt;0,$B$8&gt;0),MIN(AE$309*$B$17,$B$13*MAX((MIN(AE324,$B$15)*$B$6+MAX(AE324-$B$15,0)*$B$16*$B$7/12)-$B$9,0)),0),0)*$B$8-(1-AE$310)*IF(AND(AE$309&gt;0,$B$8&gt;0),MIN(AE$309*$B$17,$B$13*MAX((MIN(AE324,$B$15)*$B$6+MAX(AE324-$B$15,0)*$B$16*$B$7/12)-$B$9,0)),0)</f>
        <v/>
      </c>
      <c r="AF325" s="179">
        <f>AF324+(MIN(AF324,$B$15)*$B$6+MAX(AF324-$B$15,0)*$B$16*$B$7/12)-$B$9-MAX((MIN(AF324,$B$15)*$B$6+MAX(AF324-$B$15,0)*$B$16*$B$7/12)-$B$9-IF(AND(AF$309&gt;0,$B$8&gt;0),MIN(AF$309*$B$17,$B$13*MAX((MIN(AF324,$B$15)*$B$6+MAX(AF324-$B$15,0)*$B$16*$B$7/12)-$B$9,0)),0),0)*$B$8-(1-AF$310)*IF(AND(AF$309&gt;0,$B$8&gt;0),MIN(AF$309*$B$17,$B$13*MAX((MIN(AF324,$B$15)*$B$6+MAX(AF324-$B$15,0)*$B$16*$B$7/12)-$B$9,0)),0)</f>
        <v/>
      </c>
      <c r="AG325" s="179">
        <f>AG324+(MIN(AG324,$B$15)*$B$6+MAX(AG324-$B$15,0)*$B$16*$B$7/12)-$B$9-MAX((MIN(AG324,$B$15)*$B$6+MAX(AG324-$B$15,0)*$B$16*$B$7/12)-$B$9-IF(AND(AG$309&gt;0,$B$8&gt;0),MIN(AG$309*$B$17,$B$13*MAX((MIN(AG324,$B$15)*$B$6+MAX(AG324-$B$15,0)*$B$16*$B$7/12)-$B$9,0)),0),0)*$B$8-(1-AG$310)*IF(AND(AG$309&gt;0,$B$8&gt;0),MIN(AG$309*$B$17,$B$13*MAX((MIN(AG324,$B$15)*$B$6+MAX(AG324-$B$15,0)*$B$16*$B$7/12)-$B$9,0)),0)</f>
        <v/>
      </c>
      <c r="AH325" s="179">
        <f>AH324+(MIN(AH324,$B$15)*$B$6+MAX(AH324-$B$15,0)*$B$16*$B$7/12)-$B$9-MAX((MIN(AH324,$B$15)*$B$6+MAX(AH324-$B$15,0)*$B$16*$B$7/12)-$B$9-IF(AND(AH$309&gt;0,$B$8&gt;0),MIN(AH$309*$B$17,$B$13*MAX((MIN(AH324,$B$15)*$B$6+MAX(AH324-$B$15,0)*$B$16*$B$7/12)-$B$9,0)),0),0)*$B$8-(1-AH$310)*IF(AND(AH$309&gt;0,$B$8&gt;0),MIN(AH$309*$B$17,$B$13*MAX((MIN(AH324,$B$15)*$B$6+MAX(AH324-$B$15,0)*$B$16*$B$7/12)-$B$9,0)),0)</f>
        <v/>
      </c>
      <c r="AI325" s="179">
        <f>AI324+(MIN(AI324,$B$15)*$B$6+MAX(AI324-$B$15,0)*$B$16*$B$7/12)-$B$9-MAX((MIN(AI324,$B$15)*$B$6+MAX(AI324-$B$15,0)*$B$16*$B$7/12)-$B$9-IF(AND(AI$309&gt;0,$B$8&gt;0),MIN(AI$309*$B$17,$B$13*MAX((MIN(AI324,$B$15)*$B$6+MAX(AI324-$B$15,0)*$B$16*$B$7/12)-$B$9,0)),0),0)*$B$8-(1-AI$310)*IF(AND(AI$309&gt;0,$B$8&gt;0),MIN(AI$309*$B$17,$B$13*MAX((MIN(AI324,$B$15)*$B$6+MAX(AI324-$B$15,0)*$B$16*$B$7/12)-$B$9,0)),0)</f>
        <v/>
      </c>
      <c r="AJ325" s="179">
        <f>AJ324+(MIN(AJ324,$B$15)*$B$6+MAX(AJ324-$B$15,0)*$B$16*$B$7/12)-$B$9-MAX((MIN(AJ324,$B$15)*$B$6+MAX(AJ324-$B$15,0)*$B$16*$B$7/12)-$B$9-IF(AND(AJ$309&gt;0,$B$8&gt;0),MIN(AJ$309*$B$17,$B$13*MAX((MIN(AJ324,$B$15)*$B$6+MAX(AJ324-$B$15,0)*$B$16*$B$7/12)-$B$9,0)),0),0)*$B$8-(1-AJ$310)*IF(AND(AJ$309&gt;0,$B$8&gt;0),MIN(AJ$309*$B$17,$B$13*MAX((MIN(AJ324,$B$15)*$B$6+MAX(AJ324-$B$15,0)*$B$16*$B$7/12)-$B$9,0)),0)</f>
        <v/>
      </c>
      <c r="AK325" s="179">
        <f>AK324+(MIN(AK324,$B$15)*$B$6+MAX(AK324-$B$15,0)*$B$16*$B$7/12)-$B$9-MAX((MIN(AK324,$B$15)*$B$6+MAX(AK324-$B$15,0)*$B$16*$B$7/12)-$B$9-IF(AND(AK$309&gt;0,$B$8&gt;0),MIN(AK$309*$B$17,$B$13*MAX((MIN(AK324,$B$15)*$B$6+MAX(AK324-$B$15,0)*$B$16*$B$7/12)-$B$9,0)),0),0)*$B$8-(1-AK$310)*IF(AND(AK$309&gt;0,$B$8&gt;0),MIN(AK$309*$B$17,$B$13*MAX((MIN(AK324,$B$15)*$B$6+MAX(AK324-$B$15,0)*$B$16*$B$7/12)-$B$9,0)),0)</f>
        <v/>
      </c>
      <c r="AL325" s="179">
        <f>AL324+(MIN(AL324,$B$15)*$B$6+MAX(AL324-$B$15,0)*$B$16*$B$7/12)-$B$9-MAX((MIN(AL324,$B$15)*$B$6+MAX(AL324-$B$15,0)*$B$16*$B$7/12)-$B$9-IF(AND(AL$309&gt;0,$B$8&gt;0),MIN(AL$309*$B$17,$B$13*MAX((MIN(AL324,$B$15)*$B$6+MAX(AL324-$B$15,0)*$B$16*$B$7/12)-$B$9,0)),0),0)*$B$8-(1-AL$310)*IF(AND(AL$309&gt;0,$B$8&gt;0),MIN(AL$309*$B$17,$B$13*MAX((MIN(AL324,$B$15)*$B$6+MAX(AL324-$B$15,0)*$B$16*$B$7/12)-$B$9,0)),0)</f>
        <v/>
      </c>
      <c r="AM325" s="179">
        <f>AM324+(MIN(AM324,$B$15)*$B$6+MAX(AM324-$B$15,0)*$B$16*$B$7/12)-$B$9-MAX((MIN(AM324,$B$15)*$B$6+MAX(AM324-$B$15,0)*$B$16*$B$7/12)-$B$9-IF(AND(AM$309&gt;0,$B$8&gt;0),MIN(AM$309*$B$17,$B$13*MAX((MIN(AM324,$B$15)*$B$6+MAX(AM324-$B$15,0)*$B$16*$B$7/12)-$B$9,0)),0),0)*$B$8-(1-AM$310)*IF(AND(AM$309&gt;0,$B$8&gt;0),MIN(AM$309*$B$17,$B$13*MAX((MIN(AM324,$B$15)*$B$6+MAX(AM324-$B$15,0)*$B$16*$B$7/12)-$B$9,0)),0)</f>
        <v/>
      </c>
      <c r="AN325" s="179">
        <f>AN324+(MIN(AN324,$B$15)*$B$6+MAX(AN324-$B$15,0)*$B$16*$B$7/12)-$B$9-MAX((MIN(AN324,$B$15)*$B$6+MAX(AN324-$B$15,0)*$B$16*$B$7/12)-$B$9-IF(AND(AN$309&gt;0,$B$8&gt;0),MIN(AN$309*$B$17,$B$13*MAX((MIN(AN324,$B$15)*$B$6+MAX(AN324-$B$15,0)*$B$16*$B$7/12)-$B$9,0)),0),0)*$B$8-(1-AN$310)*IF(AND(AN$309&gt;0,$B$8&gt;0),MIN(AN$309*$B$17,$B$13*MAX((MIN(AN324,$B$15)*$B$6+MAX(AN324-$B$15,0)*$B$16*$B$7/12)-$B$9,0)),0)</f>
        <v/>
      </c>
      <c r="AO325" s="179">
        <f>AO324+(MIN(AO324,$B$15)*$B$6+MAX(AO324-$B$15,0)*$B$16*$B$7/12)-$B$9-MAX((MIN(AO324,$B$15)*$B$6+MAX(AO324-$B$15,0)*$B$16*$B$7/12)-$B$9-IF(AND(AO$309&gt;0,$B$8&gt;0),MIN(AO$309*$B$17,$B$13*MAX((MIN(AO324,$B$15)*$B$6+MAX(AO324-$B$15,0)*$B$16*$B$7/12)-$B$9,0)),0),0)*$B$8-(1-AO$310)*IF(AND(AO$309&gt;0,$B$8&gt;0),MIN(AO$309*$B$17,$B$13*MAX((MIN(AO324,$B$15)*$B$6+MAX(AO324-$B$15,0)*$B$16*$B$7/12)-$B$9,0)),0)</f>
        <v/>
      </c>
      <c r="AP325" s="179">
        <f>AP324+(MIN(AP324,$B$15)*$B$6+MAX(AP324-$B$15,0)*$B$16*$B$7/12)-$B$9-MAX((MIN(AP324,$B$15)*$B$6+MAX(AP324-$B$15,0)*$B$16*$B$7/12)-$B$9-IF(AND(AP$309&gt;0,$B$8&gt;0),MIN(AP$309*$B$17,$B$13*MAX((MIN(AP324,$B$15)*$B$6+MAX(AP324-$B$15,0)*$B$16*$B$7/12)-$B$9,0)),0),0)*$B$8-(1-AP$310)*IF(AND(AP$309&gt;0,$B$8&gt;0),MIN(AP$309*$B$17,$B$13*MAX((MIN(AP324,$B$15)*$B$6+MAX(AP324-$B$15,0)*$B$16*$B$7/12)-$B$9,0)),0)</f>
        <v/>
      </c>
      <c r="AQ325" s="179">
        <f>AQ324+(MIN(AQ324,$B$15)*$B$6+MAX(AQ324-$B$15,0)*$B$16*$B$7/12)-$B$9-MAX((MIN(AQ324,$B$15)*$B$6+MAX(AQ324-$B$15,0)*$B$16*$B$7/12)-$B$9-IF(AND(AQ$309&gt;0,$B$8&gt;0),MIN(AQ$309*$B$17,$B$13*MAX((MIN(AQ324,$B$15)*$B$6+MAX(AQ324-$B$15,0)*$B$16*$B$7/12)-$B$9,0)),0),0)*$B$8-(1-AQ$310)*IF(AND(AQ$309&gt;0,$B$8&gt;0),MIN(AQ$309*$B$17,$B$13*MAX((MIN(AQ324,$B$15)*$B$6+MAX(AQ324-$B$15,0)*$B$16*$B$7/12)-$B$9,0)),0)</f>
        <v/>
      </c>
    </row>
    <row r="326" hidden="1" outlineLevel="1">
      <c r="A326" s="164" t="inlineStr">
        <is>
          <t>Cycle 16</t>
        </is>
      </c>
      <c r="B326" s="179">
        <f>B325+(MIN(B325,$B$15)*$B$6+MAX(B325-$B$15,0)*$B$16*$B$7/12)-$B$9-MAX((MIN(B325,$B$15)*$B$6+MAX(B325-$B$15,0)*$B$16*$B$7/12)-$B$9-IF(AND(B$309&gt;0,$B$8&gt;0),MIN(B$309*$B$17,$B$13*MAX((MIN(B325,$B$15)*$B$6+MAX(B325-$B$15,0)*$B$16*$B$7/12)-$B$9,0)),0),0)*$B$8-(1-B$310)*IF(AND(B$309&gt;0,$B$8&gt;0),MIN(B$309*$B$17,$B$13*MAX((MIN(B325,$B$15)*$B$6+MAX(B325-$B$15,0)*$B$16*$B$7/12)-$B$9,0)),0)</f>
        <v/>
      </c>
      <c r="C326" s="179">
        <f>C325+(MIN(C325,$B$15)*$B$6+MAX(C325-$B$15,0)*$B$16*$B$7/12)-$B$9-MAX((MIN(C325,$B$15)*$B$6+MAX(C325-$B$15,0)*$B$16*$B$7/12)-$B$9-IF(AND(C$309&gt;0,$B$8&gt;0),MIN(C$309*$B$17,$B$13*MAX((MIN(C325,$B$15)*$B$6+MAX(C325-$B$15,0)*$B$16*$B$7/12)-$B$9,0)),0),0)*$B$8-(1-C$310)*IF(AND(C$309&gt;0,$B$8&gt;0),MIN(C$309*$B$17,$B$13*MAX((MIN(C325,$B$15)*$B$6+MAX(C325-$B$15,0)*$B$16*$B$7/12)-$B$9,0)),0)</f>
        <v/>
      </c>
      <c r="D326" s="179">
        <f>D325+(MIN(D325,$B$15)*$B$6+MAX(D325-$B$15,0)*$B$16*$B$7/12)-$B$9-MAX((MIN(D325,$B$15)*$B$6+MAX(D325-$B$15,0)*$B$16*$B$7/12)-$B$9-IF(AND(D$309&gt;0,$B$8&gt;0),MIN(D$309*$B$17,$B$13*MAX((MIN(D325,$B$15)*$B$6+MAX(D325-$B$15,0)*$B$16*$B$7/12)-$B$9,0)),0),0)*$B$8-(1-D$310)*IF(AND(D$309&gt;0,$B$8&gt;0),MIN(D$309*$B$17,$B$13*MAX((MIN(D325,$B$15)*$B$6+MAX(D325-$B$15,0)*$B$16*$B$7/12)-$B$9,0)),0)</f>
        <v/>
      </c>
      <c r="E326" s="179">
        <f>E325+(MIN(E325,$B$15)*$B$6+MAX(E325-$B$15,0)*$B$16*$B$7/12)-$B$9-MAX((MIN(E325,$B$15)*$B$6+MAX(E325-$B$15,0)*$B$16*$B$7/12)-$B$9-IF(AND(E$309&gt;0,$B$8&gt;0),MIN(E$309*$B$17,$B$13*MAX((MIN(E325,$B$15)*$B$6+MAX(E325-$B$15,0)*$B$16*$B$7/12)-$B$9,0)),0),0)*$B$8-(1-E$310)*IF(AND(E$309&gt;0,$B$8&gt;0),MIN(E$309*$B$17,$B$13*MAX((MIN(E325,$B$15)*$B$6+MAX(E325-$B$15,0)*$B$16*$B$7/12)-$B$9,0)),0)</f>
        <v/>
      </c>
      <c r="F326" s="179">
        <f>F325+(MIN(F325,$B$15)*$B$6+MAX(F325-$B$15,0)*$B$16*$B$7/12)-$B$9-MAX((MIN(F325,$B$15)*$B$6+MAX(F325-$B$15,0)*$B$16*$B$7/12)-$B$9-IF(AND(F$309&gt;0,$B$8&gt;0),MIN(F$309*$B$17,$B$13*MAX((MIN(F325,$B$15)*$B$6+MAX(F325-$B$15,0)*$B$16*$B$7/12)-$B$9,0)),0),0)*$B$8-(1-F$310)*IF(AND(F$309&gt;0,$B$8&gt;0),MIN(F$309*$B$17,$B$13*MAX((MIN(F325,$B$15)*$B$6+MAX(F325-$B$15,0)*$B$16*$B$7/12)-$B$9,0)),0)</f>
        <v/>
      </c>
      <c r="G326" s="179">
        <f>G325+(MIN(G325,$B$15)*$B$6+MAX(G325-$B$15,0)*$B$16*$B$7/12)-$B$9-MAX((MIN(G325,$B$15)*$B$6+MAX(G325-$B$15,0)*$B$16*$B$7/12)-$B$9-IF(AND(G$309&gt;0,$B$8&gt;0),MIN(G$309*$B$17,$B$13*MAX((MIN(G325,$B$15)*$B$6+MAX(G325-$B$15,0)*$B$16*$B$7/12)-$B$9,0)),0),0)*$B$8-(1-G$310)*IF(AND(G$309&gt;0,$B$8&gt;0),MIN(G$309*$B$17,$B$13*MAX((MIN(G325,$B$15)*$B$6+MAX(G325-$B$15,0)*$B$16*$B$7/12)-$B$9,0)),0)</f>
        <v/>
      </c>
      <c r="H326" s="179">
        <f>H325+(MIN(H325,$B$15)*$B$6+MAX(H325-$B$15,0)*$B$16*$B$7/12)-$B$9-MAX((MIN(H325,$B$15)*$B$6+MAX(H325-$B$15,0)*$B$16*$B$7/12)-$B$9-IF(AND(H$309&gt;0,$B$8&gt;0),MIN(H$309*$B$17,$B$13*MAX((MIN(H325,$B$15)*$B$6+MAX(H325-$B$15,0)*$B$16*$B$7/12)-$B$9,0)),0),0)*$B$8-(1-H$310)*IF(AND(H$309&gt;0,$B$8&gt;0),MIN(H$309*$B$17,$B$13*MAX((MIN(H325,$B$15)*$B$6+MAX(H325-$B$15,0)*$B$16*$B$7/12)-$B$9,0)),0)</f>
        <v/>
      </c>
      <c r="I326" s="179">
        <f>I325+(MIN(I325,$B$15)*$B$6+MAX(I325-$B$15,0)*$B$16*$B$7/12)-$B$9-MAX((MIN(I325,$B$15)*$B$6+MAX(I325-$B$15,0)*$B$16*$B$7/12)-$B$9-IF(AND(I$309&gt;0,$B$8&gt;0),MIN(I$309*$B$17,$B$13*MAX((MIN(I325,$B$15)*$B$6+MAX(I325-$B$15,0)*$B$16*$B$7/12)-$B$9,0)),0),0)*$B$8-(1-I$310)*IF(AND(I$309&gt;0,$B$8&gt;0),MIN(I$309*$B$17,$B$13*MAX((MIN(I325,$B$15)*$B$6+MAX(I325-$B$15,0)*$B$16*$B$7/12)-$B$9,0)),0)</f>
        <v/>
      </c>
      <c r="J326" s="179">
        <f>J325+(MIN(J325,$B$15)*$B$6+MAX(J325-$B$15,0)*$B$16*$B$7/12)-$B$9-MAX((MIN(J325,$B$15)*$B$6+MAX(J325-$B$15,0)*$B$16*$B$7/12)-$B$9-IF(AND(J$309&gt;0,$B$8&gt;0),MIN(J$309*$B$17,$B$13*MAX((MIN(J325,$B$15)*$B$6+MAX(J325-$B$15,0)*$B$16*$B$7/12)-$B$9,0)),0),0)*$B$8-(1-J$310)*IF(AND(J$309&gt;0,$B$8&gt;0),MIN(J$309*$B$17,$B$13*MAX((MIN(J325,$B$15)*$B$6+MAX(J325-$B$15,0)*$B$16*$B$7/12)-$B$9,0)),0)</f>
        <v/>
      </c>
      <c r="K326" s="179">
        <f>K325+(MIN(K325,$B$15)*$B$6+MAX(K325-$B$15,0)*$B$16*$B$7/12)-$B$9-MAX((MIN(K325,$B$15)*$B$6+MAX(K325-$B$15,0)*$B$16*$B$7/12)-$B$9-IF(AND(K$309&gt;0,$B$8&gt;0),MIN(K$309*$B$17,$B$13*MAX((MIN(K325,$B$15)*$B$6+MAX(K325-$B$15,0)*$B$16*$B$7/12)-$B$9,0)),0),0)*$B$8-(1-K$310)*IF(AND(K$309&gt;0,$B$8&gt;0),MIN(K$309*$B$17,$B$13*MAX((MIN(K325,$B$15)*$B$6+MAX(K325-$B$15,0)*$B$16*$B$7/12)-$B$9,0)),0)</f>
        <v/>
      </c>
      <c r="L326" s="179">
        <f>L325+(MIN(L325,$B$15)*$B$6+MAX(L325-$B$15,0)*$B$16*$B$7/12)-$B$9-MAX((MIN(L325,$B$15)*$B$6+MAX(L325-$B$15,0)*$B$16*$B$7/12)-$B$9-IF(AND(L$309&gt;0,$B$8&gt;0),MIN(L$309*$B$17,$B$13*MAX((MIN(L325,$B$15)*$B$6+MAX(L325-$B$15,0)*$B$16*$B$7/12)-$B$9,0)),0),0)*$B$8-(1-L$310)*IF(AND(L$309&gt;0,$B$8&gt;0),MIN(L$309*$B$17,$B$13*MAX((MIN(L325,$B$15)*$B$6+MAX(L325-$B$15,0)*$B$16*$B$7/12)-$B$9,0)),0)</f>
        <v/>
      </c>
      <c r="M326" s="179">
        <f>M325+(MIN(M325,$B$15)*$B$6+MAX(M325-$B$15,0)*$B$16*$B$7/12)-$B$9-MAX((MIN(M325,$B$15)*$B$6+MAX(M325-$B$15,0)*$B$16*$B$7/12)-$B$9-IF(AND(M$309&gt;0,$B$8&gt;0),MIN(M$309*$B$17,$B$13*MAX((MIN(M325,$B$15)*$B$6+MAX(M325-$B$15,0)*$B$16*$B$7/12)-$B$9,0)),0),0)*$B$8-(1-M$310)*IF(AND(M$309&gt;0,$B$8&gt;0),MIN(M$309*$B$17,$B$13*MAX((MIN(M325,$B$15)*$B$6+MAX(M325-$B$15,0)*$B$16*$B$7/12)-$B$9,0)),0)</f>
        <v/>
      </c>
      <c r="N326" s="179">
        <f>N325+(MIN(N325,$B$15)*$B$6+MAX(N325-$B$15,0)*$B$16*$B$7/12)-$B$9-MAX((MIN(N325,$B$15)*$B$6+MAX(N325-$B$15,0)*$B$16*$B$7/12)-$B$9-IF(AND(N$309&gt;0,$B$8&gt;0),MIN(N$309*$B$17,$B$13*MAX((MIN(N325,$B$15)*$B$6+MAX(N325-$B$15,0)*$B$16*$B$7/12)-$B$9,0)),0),0)*$B$8-(1-N$310)*IF(AND(N$309&gt;0,$B$8&gt;0),MIN(N$309*$B$17,$B$13*MAX((MIN(N325,$B$15)*$B$6+MAX(N325-$B$15,0)*$B$16*$B$7/12)-$B$9,0)),0)</f>
        <v/>
      </c>
      <c r="O326" s="179">
        <f>O325+(MIN(O325,$B$15)*$B$6+MAX(O325-$B$15,0)*$B$16*$B$7/12)-$B$9-MAX((MIN(O325,$B$15)*$B$6+MAX(O325-$B$15,0)*$B$16*$B$7/12)-$B$9-IF(AND(O$309&gt;0,$B$8&gt;0),MIN(O$309*$B$17,$B$13*MAX((MIN(O325,$B$15)*$B$6+MAX(O325-$B$15,0)*$B$16*$B$7/12)-$B$9,0)),0),0)*$B$8-(1-O$310)*IF(AND(O$309&gt;0,$B$8&gt;0),MIN(O$309*$B$17,$B$13*MAX((MIN(O325,$B$15)*$B$6+MAX(O325-$B$15,0)*$B$16*$B$7/12)-$B$9,0)),0)</f>
        <v/>
      </c>
      <c r="P326" s="179">
        <f>P325+(MIN(P325,$B$15)*$B$6+MAX(P325-$B$15,0)*$B$16*$B$7/12)-$B$9-MAX((MIN(P325,$B$15)*$B$6+MAX(P325-$B$15,0)*$B$16*$B$7/12)-$B$9-IF(AND(P$309&gt;0,$B$8&gt;0),MIN(P$309*$B$17,$B$13*MAX((MIN(P325,$B$15)*$B$6+MAX(P325-$B$15,0)*$B$16*$B$7/12)-$B$9,0)),0),0)*$B$8-(1-P$310)*IF(AND(P$309&gt;0,$B$8&gt;0),MIN(P$309*$B$17,$B$13*MAX((MIN(P325,$B$15)*$B$6+MAX(P325-$B$15,0)*$B$16*$B$7/12)-$B$9,0)),0)</f>
        <v/>
      </c>
      <c r="Q326" s="179">
        <f>Q325+(MIN(Q325,$B$15)*$B$6+MAX(Q325-$B$15,0)*$B$16*$B$7/12)-$B$9-MAX((MIN(Q325,$B$15)*$B$6+MAX(Q325-$B$15,0)*$B$16*$B$7/12)-$B$9-IF(AND(Q$309&gt;0,$B$8&gt;0),MIN(Q$309*$B$17,$B$13*MAX((MIN(Q325,$B$15)*$B$6+MAX(Q325-$B$15,0)*$B$16*$B$7/12)-$B$9,0)),0),0)*$B$8-(1-Q$310)*IF(AND(Q$309&gt;0,$B$8&gt;0),MIN(Q$309*$B$17,$B$13*MAX((MIN(Q325,$B$15)*$B$6+MAX(Q325-$B$15,0)*$B$16*$B$7/12)-$B$9,0)),0)</f>
        <v/>
      </c>
      <c r="R326" s="179">
        <f>R325+(MIN(R325,$B$15)*$B$6+MAX(R325-$B$15,0)*$B$16*$B$7/12)-$B$9-MAX((MIN(R325,$B$15)*$B$6+MAX(R325-$B$15,0)*$B$16*$B$7/12)-$B$9-IF(AND(R$309&gt;0,$B$8&gt;0),MIN(R$309*$B$17,$B$13*MAX((MIN(R325,$B$15)*$B$6+MAX(R325-$B$15,0)*$B$16*$B$7/12)-$B$9,0)),0),0)*$B$8-(1-R$310)*IF(AND(R$309&gt;0,$B$8&gt;0),MIN(R$309*$B$17,$B$13*MAX((MIN(R325,$B$15)*$B$6+MAX(R325-$B$15,0)*$B$16*$B$7/12)-$B$9,0)),0)</f>
        <v/>
      </c>
      <c r="S326" s="179">
        <f>S325+(MIN(S325,$B$15)*$B$6+MAX(S325-$B$15,0)*$B$16*$B$7/12)-$B$9-MAX((MIN(S325,$B$15)*$B$6+MAX(S325-$B$15,0)*$B$16*$B$7/12)-$B$9-IF(AND(S$309&gt;0,$B$8&gt;0),MIN(S$309*$B$17,$B$13*MAX((MIN(S325,$B$15)*$B$6+MAX(S325-$B$15,0)*$B$16*$B$7/12)-$B$9,0)),0),0)*$B$8-(1-S$310)*IF(AND(S$309&gt;0,$B$8&gt;0),MIN(S$309*$B$17,$B$13*MAX((MIN(S325,$B$15)*$B$6+MAX(S325-$B$15,0)*$B$16*$B$7/12)-$B$9,0)),0)</f>
        <v/>
      </c>
      <c r="T326" s="179">
        <f>T325+(MIN(T325,$B$15)*$B$6+MAX(T325-$B$15,0)*$B$16*$B$7/12)-$B$9-MAX((MIN(T325,$B$15)*$B$6+MAX(T325-$B$15,0)*$B$16*$B$7/12)-$B$9-IF(AND(T$309&gt;0,$B$8&gt;0),MIN(T$309*$B$17,$B$13*MAX((MIN(T325,$B$15)*$B$6+MAX(T325-$B$15,0)*$B$16*$B$7/12)-$B$9,0)),0),0)*$B$8-(1-T$310)*IF(AND(T$309&gt;0,$B$8&gt;0),MIN(T$309*$B$17,$B$13*MAX((MIN(T325,$B$15)*$B$6+MAX(T325-$B$15,0)*$B$16*$B$7/12)-$B$9,0)),0)</f>
        <v/>
      </c>
      <c r="U326" s="179">
        <f>U325+(MIN(U325,$B$15)*$B$6+MAX(U325-$B$15,0)*$B$16*$B$7/12)-$B$9-MAX((MIN(U325,$B$15)*$B$6+MAX(U325-$B$15,0)*$B$16*$B$7/12)-$B$9-IF(AND(U$309&gt;0,$B$8&gt;0),MIN(U$309*$B$17,$B$13*MAX((MIN(U325,$B$15)*$B$6+MAX(U325-$B$15,0)*$B$16*$B$7/12)-$B$9,0)),0),0)*$B$8-(1-U$310)*IF(AND(U$309&gt;0,$B$8&gt;0),MIN(U$309*$B$17,$B$13*MAX((MIN(U325,$B$15)*$B$6+MAX(U325-$B$15,0)*$B$16*$B$7/12)-$B$9,0)),0)</f>
        <v/>
      </c>
      <c r="V326" s="179">
        <f>V325+(MIN(V325,$B$15)*$B$6+MAX(V325-$B$15,0)*$B$16*$B$7/12)-$B$9-MAX((MIN(V325,$B$15)*$B$6+MAX(V325-$B$15,0)*$B$16*$B$7/12)-$B$9-IF(AND(V$309&gt;0,$B$8&gt;0),MIN(V$309*$B$17,$B$13*MAX((MIN(V325,$B$15)*$B$6+MAX(V325-$B$15,0)*$B$16*$B$7/12)-$B$9,0)),0),0)*$B$8-(1-V$310)*IF(AND(V$309&gt;0,$B$8&gt;0),MIN(V$309*$B$17,$B$13*MAX((MIN(V325,$B$15)*$B$6+MAX(V325-$B$15,0)*$B$16*$B$7/12)-$B$9,0)),0)</f>
        <v/>
      </c>
      <c r="W326" s="179">
        <f>W325+(MIN(W325,$B$15)*$B$6+MAX(W325-$B$15,0)*$B$16*$B$7/12)-$B$9-MAX((MIN(W325,$B$15)*$B$6+MAX(W325-$B$15,0)*$B$16*$B$7/12)-$B$9-IF(AND(W$309&gt;0,$B$8&gt;0),MIN(W$309*$B$17,$B$13*MAX((MIN(W325,$B$15)*$B$6+MAX(W325-$B$15,0)*$B$16*$B$7/12)-$B$9,0)),0),0)*$B$8-(1-W$310)*IF(AND(W$309&gt;0,$B$8&gt;0),MIN(W$309*$B$17,$B$13*MAX((MIN(W325,$B$15)*$B$6+MAX(W325-$B$15,0)*$B$16*$B$7/12)-$B$9,0)),0)</f>
        <v/>
      </c>
      <c r="X326" s="179">
        <f>X325+(MIN(X325,$B$15)*$B$6+MAX(X325-$B$15,0)*$B$16*$B$7/12)-$B$9-MAX((MIN(X325,$B$15)*$B$6+MAX(X325-$B$15,0)*$B$16*$B$7/12)-$B$9-IF(AND(X$309&gt;0,$B$8&gt;0),MIN(X$309*$B$17,$B$13*MAX((MIN(X325,$B$15)*$B$6+MAX(X325-$B$15,0)*$B$16*$B$7/12)-$B$9,0)),0),0)*$B$8-(1-X$310)*IF(AND(X$309&gt;0,$B$8&gt;0),MIN(X$309*$B$17,$B$13*MAX((MIN(X325,$B$15)*$B$6+MAX(X325-$B$15,0)*$B$16*$B$7/12)-$B$9,0)),0)</f>
        <v/>
      </c>
      <c r="Y326" s="179">
        <f>Y325+(MIN(Y325,$B$15)*$B$6+MAX(Y325-$B$15,0)*$B$16*$B$7/12)-$B$9-MAX((MIN(Y325,$B$15)*$B$6+MAX(Y325-$B$15,0)*$B$16*$B$7/12)-$B$9-IF(AND(Y$309&gt;0,$B$8&gt;0),MIN(Y$309*$B$17,$B$13*MAX((MIN(Y325,$B$15)*$B$6+MAX(Y325-$B$15,0)*$B$16*$B$7/12)-$B$9,0)),0),0)*$B$8-(1-Y$310)*IF(AND(Y$309&gt;0,$B$8&gt;0),MIN(Y$309*$B$17,$B$13*MAX((MIN(Y325,$B$15)*$B$6+MAX(Y325-$B$15,0)*$B$16*$B$7/12)-$B$9,0)),0)</f>
        <v/>
      </c>
      <c r="Z326" s="179">
        <f>Z325+(MIN(Z325,$B$15)*$B$6+MAX(Z325-$B$15,0)*$B$16*$B$7/12)-$B$9-MAX((MIN(Z325,$B$15)*$B$6+MAX(Z325-$B$15,0)*$B$16*$B$7/12)-$B$9-IF(AND(Z$309&gt;0,$B$8&gt;0),MIN(Z$309*$B$17,$B$13*MAX((MIN(Z325,$B$15)*$B$6+MAX(Z325-$B$15,0)*$B$16*$B$7/12)-$B$9,0)),0),0)*$B$8-(1-Z$310)*IF(AND(Z$309&gt;0,$B$8&gt;0),MIN(Z$309*$B$17,$B$13*MAX((MIN(Z325,$B$15)*$B$6+MAX(Z325-$B$15,0)*$B$16*$B$7/12)-$B$9,0)),0)</f>
        <v/>
      </c>
      <c r="AA326" s="179">
        <f>AA325+(MIN(AA325,$B$15)*$B$6+MAX(AA325-$B$15,0)*$B$16*$B$7/12)-$B$9-MAX((MIN(AA325,$B$15)*$B$6+MAX(AA325-$B$15,0)*$B$16*$B$7/12)-$B$9-IF(AND(AA$309&gt;0,$B$8&gt;0),MIN(AA$309*$B$17,$B$13*MAX((MIN(AA325,$B$15)*$B$6+MAX(AA325-$B$15,0)*$B$16*$B$7/12)-$B$9,0)),0),0)*$B$8-(1-AA$310)*IF(AND(AA$309&gt;0,$B$8&gt;0),MIN(AA$309*$B$17,$B$13*MAX((MIN(AA325,$B$15)*$B$6+MAX(AA325-$B$15,0)*$B$16*$B$7/12)-$B$9,0)),0)</f>
        <v/>
      </c>
      <c r="AB326" s="179">
        <f>AB325+(MIN(AB325,$B$15)*$B$6+MAX(AB325-$B$15,0)*$B$16*$B$7/12)-$B$9-MAX((MIN(AB325,$B$15)*$B$6+MAX(AB325-$B$15,0)*$B$16*$B$7/12)-$B$9-IF(AND(AB$309&gt;0,$B$8&gt;0),MIN(AB$309*$B$17,$B$13*MAX((MIN(AB325,$B$15)*$B$6+MAX(AB325-$B$15,0)*$B$16*$B$7/12)-$B$9,0)),0),0)*$B$8-(1-AB$310)*IF(AND(AB$309&gt;0,$B$8&gt;0),MIN(AB$309*$B$17,$B$13*MAX((MIN(AB325,$B$15)*$B$6+MAX(AB325-$B$15,0)*$B$16*$B$7/12)-$B$9,0)),0)</f>
        <v/>
      </c>
      <c r="AC326" s="179">
        <f>AC325+(MIN(AC325,$B$15)*$B$6+MAX(AC325-$B$15,0)*$B$16*$B$7/12)-$B$9-MAX((MIN(AC325,$B$15)*$B$6+MAX(AC325-$B$15,0)*$B$16*$B$7/12)-$B$9-IF(AND(AC$309&gt;0,$B$8&gt;0),MIN(AC$309*$B$17,$B$13*MAX((MIN(AC325,$B$15)*$B$6+MAX(AC325-$B$15,0)*$B$16*$B$7/12)-$B$9,0)),0),0)*$B$8-(1-AC$310)*IF(AND(AC$309&gt;0,$B$8&gt;0),MIN(AC$309*$B$17,$B$13*MAX((MIN(AC325,$B$15)*$B$6+MAX(AC325-$B$15,0)*$B$16*$B$7/12)-$B$9,0)),0)</f>
        <v/>
      </c>
      <c r="AD326" s="179">
        <f>AD325+(MIN(AD325,$B$15)*$B$6+MAX(AD325-$B$15,0)*$B$16*$B$7/12)-$B$9-MAX((MIN(AD325,$B$15)*$B$6+MAX(AD325-$B$15,0)*$B$16*$B$7/12)-$B$9-IF(AND(AD$309&gt;0,$B$8&gt;0),MIN(AD$309*$B$17,$B$13*MAX((MIN(AD325,$B$15)*$B$6+MAX(AD325-$B$15,0)*$B$16*$B$7/12)-$B$9,0)),0),0)*$B$8-(1-AD$310)*IF(AND(AD$309&gt;0,$B$8&gt;0),MIN(AD$309*$B$17,$B$13*MAX((MIN(AD325,$B$15)*$B$6+MAX(AD325-$B$15,0)*$B$16*$B$7/12)-$B$9,0)),0)</f>
        <v/>
      </c>
      <c r="AE326" s="179">
        <f>AE325+(MIN(AE325,$B$15)*$B$6+MAX(AE325-$B$15,0)*$B$16*$B$7/12)-$B$9-MAX((MIN(AE325,$B$15)*$B$6+MAX(AE325-$B$15,0)*$B$16*$B$7/12)-$B$9-IF(AND(AE$309&gt;0,$B$8&gt;0),MIN(AE$309*$B$17,$B$13*MAX((MIN(AE325,$B$15)*$B$6+MAX(AE325-$B$15,0)*$B$16*$B$7/12)-$B$9,0)),0),0)*$B$8-(1-AE$310)*IF(AND(AE$309&gt;0,$B$8&gt;0),MIN(AE$309*$B$17,$B$13*MAX((MIN(AE325,$B$15)*$B$6+MAX(AE325-$B$15,0)*$B$16*$B$7/12)-$B$9,0)),0)</f>
        <v/>
      </c>
      <c r="AF326" s="179">
        <f>AF325+(MIN(AF325,$B$15)*$B$6+MAX(AF325-$B$15,0)*$B$16*$B$7/12)-$B$9-MAX((MIN(AF325,$B$15)*$B$6+MAX(AF325-$B$15,0)*$B$16*$B$7/12)-$B$9-IF(AND(AF$309&gt;0,$B$8&gt;0),MIN(AF$309*$B$17,$B$13*MAX((MIN(AF325,$B$15)*$B$6+MAX(AF325-$B$15,0)*$B$16*$B$7/12)-$B$9,0)),0),0)*$B$8-(1-AF$310)*IF(AND(AF$309&gt;0,$B$8&gt;0),MIN(AF$309*$B$17,$B$13*MAX((MIN(AF325,$B$15)*$B$6+MAX(AF325-$B$15,0)*$B$16*$B$7/12)-$B$9,0)),0)</f>
        <v/>
      </c>
      <c r="AG326" s="179">
        <f>AG325+(MIN(AG325,$B$15)*$B$6+MAX(AG325-$B$15,0)*$B$16*$B$7/12)-$B$9-MAX((MIN(AG325,$B$15)*$B$6+MAX(AG325-$B$15,0)*$B$16*$B$7/12)-$B$9-IF(AND(AG$309&gt;0,$B$8&gt;0),MIN(AG$309*$B$17,$B$13*MAX((MIN(AG325,$B$15)*$B$6+MAX(AG325-$B$15,0)*$B$16*$B$7/12)-$B$9,0)),0),0)*$B$8-(1-AG$310)*IF(AND(AG$309&gt;0,$B$8&gt;0),MIN(AG$309*$B$17,$B$13*MAX((MIN(AG325,$B$15)*$B$6+MAX(AG325-$B$15,0)*$B$16*$B$7/12)-$B$9,0)),0)</f>
        <v/>
      </c>
      <c r="AH326" s="179">
        <f>AH325+(MIN(AH325,$B$15)*$B$6+MAX(AH325-$B$15,0)*$B$16*$B$7/12)-$B$9-MAX((MIN(AH325,$B$15)*$B$6+MAX(AH325-$B$15,0)*$B$16*$B$7/12)-$B$9-IF(AND(AH$309&gt;0,$B$8&gt;0),MIN(AH$309*$B$17,$B$13*MAX((MIN(AH325,$B$15)*$B$6+MAX(AH325-$B$15,0)*$B$16*$B$7/12)-$B$9,0)),0),0)*$B$8-(1-AH$310)*IF(AND(AH$309&gt;0,$B$8&gt;0),MIN(AH$309*$B$17,$B$13*MAX((MIN(AH325,$B$15)*$B$6+MAX(AH325-$B$15,0)*$B$16*$B$7/12)-$B$9,0)),0)</f>
        <v/>
      </c>
      <c r="AI326" s="179">
        <f>AI325+(MIN(AI325,$B$15)*$B$6+MAX(AI325-$B$15,0)*$B$16*$B$7/12)-$B$9-MAX((MIN(AI325,$B$15)*$B$6+MAX(AI325-$B$15,0)*$B$16*$B$7/12)-$B$9-IF(AND(AI$309&gt;0,$B$8&gt;0),MIN(AI$309*$B$17,$B$13*MAX((MIN(AI325,$B$15)*$B$6+MAX(AI325-$B$15,0)*$B$16*$B$7/12)-$B$9,0)),0),0)*$B$8-(1-AI$310)*IF(AND(AI$309&gt;0,$B$8&gt;0),MIN(AI$309*$B$17,$B$13*MAX((MIN(AI325,$B$15)*$B$6+MAX(AI325-$B$15,0)*$B$16*$B$7/12)-$B$9,0)),0)</f>
        <v/>
      </c>
      <c r="AJ326" s="179">
        <f>AJ325+(MIN(AJ325,$B$15)*$B$6+MAX(AJ325-$B$15,0)*$B$16*$B$7/12)-$B$9-MAX((MIN(AJ325,$B$15)*$B$6+MAX(AJ325-$B$15,0)*$B$16*$B$7/12)-$B$9-IF(AND(AJ$309&gt;0,$B$8&gt;0),MIN(AJ$309*$B$17,$B$13*MAX((MIN(AJ325,$B$15)*$B$6+MAX(AJ325-$B$15,0)*$B$16*$B$7/12)-$B$9,0)),0),0)*$B$8-(1-AJ$310)*IF(AND(AJ$309&gt;0,$B$8&gt;0),MIN(AJ$309*$B$17,$B$13*MAX((MIN(AJ325,$B$15)*$B$6+MAX(AJ325-$B$15,0)*$B$16*$B$7/12)-$B$9,0)),0)</f>
        <v/>
      </c>
      <c r="AK326" s="179">
        <f>AK325+(MIN(AK325,$B$15)*$B$6+MAX(AK325-$B$15,0)*$B$16*$B$7/12)-$B$9-MAX((MIN(AK325,$B$15)*$B$6+MAX(AK325-$B$15,0)*$B$16*$B$7/12)-$B$9-IF(AND(AK$309&gt;0,$B$8&gt;0),MIN(AK$309*$B$17,$B$13*MAX((MIN(AK325,$B$15)*$B$6+MAX(AK325-$B$15,0)*$B$16*$B$7/12)-$B$9,0)),0),0)*$B$8-(1-AK$310)*IF(AND(AK$309&gt;0,$B$8&gt;0),MIN(AK$309*$B$17,$B$13*MAX((MIN(AK325,$B$15)*$B$6+MAX(AK325-$B$15,0)*$B$16*$B$7/12)-$B$9,0)),0)</f>
        <v/>
      </c>
      <c r="AL326" s="179">
        <f>AL325+(MIN(AL325,$B$15)*$B$6+MAX(AL325-$B$15,0)*$B$16*$B$7/12)-$B$9-MAX((MIN(AL325,$B$15)*$B$6+MAX(AL325-$B$15,0)*$B$16*$B$7/12)-$B$9-IF(AND(AL$309&gt;0,$B$8&gt;0),MIN(AL$309*$B$17,$B$13*MAX((MIN(AL325,$B$15)*$B$6+MAX(AL325-$B$15,0)*$B$16*$B$7/12)-$B$9,0)),0),0)*$B$8-(1-AL$310)*IF(AND(AL$309&gt;0,$B$8&gt;0),MIN(AL$309*$B$17,$B$13*MAX((MIN(AL325,$B$15)*$B$6+MAX(AL325-$B$15,0)*$B$16*$B$7/12)-$B$9,0)),0)</f>
        <v/>
      </c>
      <c r="AM326" s="179">
        <f>AM325+(MIN(AM325,$B$15)*$B$6+MAX(AM325-$B$15,0)*$B$16*$B$7/12)-$B$9-MAX((MIN(AM325,$B$15)*$B$6+MAX(AM325-$B$15,0)*$B$16*$B$7/12)-$B$9-IF(AND(AM$309&gt;0,$B$8&gt;0),MIN(AM$309*$B$17,$B$13*MAX((MIN(AM325,$B$15)*$B$6+MAX(AM325-$B$15,0)*$B$16*$B$7/12)-$B$9,0)),0),0)*$B$8-(1-AM$310)*IF(AND(AM$309&gt;0,$B$8&gt;0),MIN(AM$309*$B$17,$B$13*MAX((MIN(AM325,$B$15)*$B$6+MAX(AM325-$B$15,0)*$B$16*$B$7/12)-$B$9,0)),0)</f>
        <v/>
      </c>
      <c r="AN326" s="179">
        <f>AN325+(MIN(AN325,$B$15)*$B$6+MAX(AN325-$B$15,0)*$B$16*$B$7/12)-$B$9-MAX((MIN(AN325,$B$15)*$B$6+MAX(AN325-$B$15,0)*$B$16*$B$7/12)-$B$9-IF(AND(AN$309&gt;0,$B$8&gt;0),MIN(AN$309*$B$17,$B$13*MAX((MIN(AN325,$B$15)*$B$6+MAX(AN325-$B$15,0)*$B$16*$B$7/12)-$B$9,0)),0),0)*$B$8-(1-AN$310)*IF(AND(AN$309&gt;0,$B$8&gt;0),MIN(AN$309*$B$17,$B$13*MAX((MIN(AN325,$B$15)*$B$6+MAX(AN325-$B$15,0)*$B$16*$B$7/12)-$B$9,0)),0)</f>
        <v/>
      </c>
      <c r="AO326" s="179">
        <f>AO325+(MIN(AO325,$B$15)*$B$6+MAX(AO325-$B$15,0)*$B$16*$B$7/12)-$B$9-MAX((MIN(AO325,$B$15)*$B$6+MAX(AO325-$B$15,0)*$B$16*$B$7/12)-$B$9-IF(AND(AO$309&gt;0,$B$8&gt;0),MIN(AO$309*$B$17,$B$13*MAX((MIN(AO325,$B$15)*$B$6+MAX(AO325-$B$15,0)*$B$16*$B$7/12)-$B$9,0)),0),0)*$B$8-(1-AO$310)*IF(AND(AO$309&gt;0,$B$8&gt;0),MIN(AO$309*$B$17,$B$13*MAX((MIN(AO325,$B$15)*$B$6+MAX(AO325-$B$15,0)*$B$16*$B$7/12)-$B$9,0)),0)</f>
        <v/>
      </c>
      <c r="AP326" s="179">
        <f>AP325+(MIN(AP325,$B$15)*$B$6+MAX(AP325-$B$15,0)*$B$16*$B$7/12)-$B$9-MAX((MIN(AP325,$B$15)*$B$6+MAX(AP325-$B$15,0)*$B$16*$B$7/12)-$B$9-IF(AND(AP$309&gt;0,$B$8&gt;0),MIN(AP$309*$B$17,$B$13*MAX((MIN(AP325,$B$15)*$B$6+MAX(AP325-$B$15,0)*$B$16*$B$7/12)-$B$9,0)),0),0)*$B$8-(1-AP$310)*IF(AND(AP$309&gt;0,$B$8&gt;0),MIN(AP$309*$B$17,$B$13*MAX((MIN(AP325,$B$15)*$B$6+MAX(AP325-$B$15,0)*$B$16*$B$7/12)-$B$9,0)),0)</f>
        <v/>
      </c>
      <c r="AQ326" s="179">
        <f>AQ325+(MIN(AQ325,$B$15)*$B$6+MAX(AQ325-$B$15,0)*$B$16*$B$7/12)-$B$9-MAX((MIN(AQ325,$B$15)*$B$6+MAX(AQ325-$B$15,0)*$B$16*$B$7/12)-$B$9-IF(AND(AQ$309&gt;0,$B$8&gt;0),MIN(AQ$309*$B$17,$B$13*MAX((MIN(AQ325,$B$15)*$B$6+MAX(AQ325-$B$15,0)*$B$16*$B$7/12)-$B$9,0)),0),0)*$B$8-(1-AQ$310)*IF(AND(AQ$309&gt;0,$B$8&gt;0),MIN(AQ$309*$B$17,$B$13*MAX((MIN(AQ325,$B$15)*$B$6+MAX(AQ325-$B$15,0)*$B$16*$B$7/12)-$B$9,0)),0)</f>
        <v/>
      </c>
    </row>
    <row r="327" hidden="1" outlineLevel="1">
      <c r="A327" s="164" t="inlineStr">
        <is>
          <t>Cycle 17</t>
        </is>
      </c>
      <c r="B327" s="179">
        <f>B326+(MIN(B326,$B$15)*$B$6+MAX(B326-$B$15,0)*$B$16*$B$7/12)-$B$9-MAX((MIN(B326,$B$15)*$B$6+MAX(B326-$B$15,0)*$B$16*$B$7/12)-$B$9-IF(AND(B$309&gt;0,$B$8&gt;0),MIN(B$309*$B$17,$B$13*MAX((MIN(B326,$B$15)*$B$6+MAX(B326-$B$15,0)*$B$16*$B$7/12)-$B$9,0)),0),0)*$B$8-(1-B$310)*IF(AND(B$309&gt;0,$B$8&gt;0),MIN(B$309*$B$17,$B$13*MAX((MIN(B326,$B$15)*$B$6+MAX(B326-$B$15,0)*$B$16*$B$7/12)-$B$9,0)),0)</f>
        <v/>
      </c>
      <c r="C327" s="179">
        <f>C326+(MIN(C326,$B$15)*$B$6+MAX(C326-$B$15,0)*$B$16*$B$7/12)-$B$9-MAX((MIN(C326,$B$15)*$B$6+MAX(C326-$B$15,0)*$B$16*$B$7/12)-$B$9-IF(AND(C$309&gt;0,$B$8&gt;0),MIN(C$309*$B$17,$B$13*MAX((MIN(C326,$B$15)*$B$6+MAX(C326-$B$15,0)*$B$16*$B$7/12)-$B$9,0)),0),0)*$B$8-(1-C$310)*IF(AND(C$309&gt;0,$B$8&gt;0),MIN(C$309*$B$17,$B$13*MAX((MIN(C326,$B$15)*$B$6+MAX(C326-$B$15,0)*$B$16*$B$7/12)-$B$9,0)),0)</f>
        <v/>
      </c>
      <c r="D327" s="179">
        <f>D326+(MIN(D326,$B$15)*$B$6+MAX(D326-$B$15,0)*$B$16*$B$7/12)-$B$9-MAX((MIN(D326,$B$15)*$B$6+MAX(D326-$B$15,0)*$B$16*$B$7/12)-$B$9-IF(AND(D$309&gt;0,$B$8&gt;0),MIN(D$309*$B$17,$B$13*MAX((MIN(D326,$B$15)*$B$6+MAX(D326-$B$15,0)*$B$16*$B$7/12)-$B$9,0)),0),0)*$B$8-(1-D$310)*IF(AND(D$309&gt;0,$B$8&gt;0),MIN(D$309*$B$17,$B$13*MAX((MIN(D326,$B$15)*$B$6+MAX(D326-$B$15,0)*$B$16*$B$7/12)-$B$9,0)),0)</f>
        <v/>
      </c>
      <c r="E327" s="179">
        <f>E326+(MIN(E326,$B$15)*$B$6+MAX(E326-$B$15,0)*$B$16*$B$7/12)-$B$9-MAX((MIN(E326,$B$15)*$B$6+MAX(E326-$B$15,0)*$B$16*$B$7/12)-$B$9-IF(AND(E$309&gt;0,$B$8&gt;0),MIN(E$309*$B$17,$B$13*MAX((MIN(E326,$B$15)*$B$6+MAX(E326-$B$15,0)*$B$16*$B$7/12)-$B$9,0)),0),0)*$B$8-(1-E$310)*IF(AND(E$309&gt;0,$B$8&gt;0),MIN(E$309*$B$17,$B$13*MAX((MIN(E326,$B$15)*$B$6+MAX(E326-$B$15,0)*$B$16*$B$7/12)-$B$9,0)),0)</f>
        <v/>
      </c>
      <c r="F327" s="179">
        <f>F326+(MIN(F326,$B$15)*$B$6+MAX(F326-$B$15,0)*$B$16*$B$7/12)-$B$9-MAX((MIN(F326,$B$15)*$B$6+MAX(F326-$B$15,0)*$B$16*$B$7/12)-$B$9-IF(AND(F$309&gt;0,$B$8&gt;0),MIN(F$309*$B$17,$B$13*MAX((MIN(F326,$B$15)*$B$6+MAX(F326-$B$15,0)*$B$16*$B$7/12)-$B$9,0)),0),0)*$B$8-(1-F$310)*IF(AND(F$309&gt;0,$B$8&gt;0),MIN(F$309*$B$17,$B$13*MAX((MIN(F326,$B$15)*$B$6+MAX(F326-$B$15,0)*$B$16*$B$7/12)-$B$9,0)),0)</f>
        <v/>
      </c>
      <c r="G327" s="179">
        <f>G326+(MIN(G326,$B$15)*$B$6+MAX(G326-$B$15,0)*$B$16*$B$7/12)-$B$9-MAX((MIN(G326,$B$15)*$B$6+MAX(G326-$B$15,0)*$B$16*$B$7/12)-$B$9-IF(AND(G$309&gt;0,$B$8&gt;0),MIN(G$309*$B$17,$B$13*MAX((MIN(G326,$B$15)*$B$6+MAX(G326-$B$15,0)*$B$16*$B$7/12)-$B$9,0)),0),0)*$B$8-(1-G$310)*IF(AND(G$309&gt;0,$B$8&gt;0),MIN(G$309*$B$17,$B$13*MAX((MIN(G326,$B$15)*$B$6+MAX(G326-$B$15,0)*$B$16*$B$7/12)-$B$9,0)),0)</f>
        <v/>
      </c>
      <c r="H327" s="179">
        <f>H326+(MIN(H326,$B$15)*$B$6+MAX(H326-$B$15,0)*$B$16*$B$7/12)-$B$9-MAX((MIN(H326,$B$15)*$B$6+MAX(H326-$B$15,0)*$B$16*$B$7/12)-$B$9-IF(AND(H$309&gt;0,$B$8&gt;0),MIN(H$309*$B$17,$B$13*MAX((MIN(H326,$B$15)*$B$6+MAX(H326-$B$15,0)*$B$16*$B$7/12)-$B$9,0)),0),0)*$B$8-(1-H$310)*IF(AND(H$309&gt;0,$B$8&gt;0),MIN(H$309*$B$17,$B$13*MAX((MIN(H326,$B$15)*$B$6+MAX(H326-$B$15,0)*$B$16*$B$7/12)-$B$9,0)),0)</f>
        <v/>
      </c>
      <c r="I327" s="179">
        <f>I326+(MIN(I326,$B$15)*$B$6+MAX(I326-$B$15,0)*$B$16*$B$7/12)-$B$9-MAX((MIN(I326,$B$15)*$B$6+MAX(I326-$B$15,0)*$B$16*$B$7/12)-$B$9-IF(AND(I$309&gt;0,$B$8&gt;0),MIN(I$309*$B$17,$B$13*MAX((MIN(I326,$B$15)*$B$6+MAX(I326-$B$15,0)*$B$16*$B$7/12)-$B$9,0)),0),0)*$B$8-(1-I$310)*IF(AND(I$309&gt;0,$B$8&gt;0),MIN(I$309*$B$17,$B$13*MAX((MIN(I326,$B$15)*$B$6+MAX(I326-$B$15,0)*$B$16*$B$7/12)-$B$9,0)),0)</f>
        <v/>
      </c>
      <c r="J327" s="179">
        <f>J326+(MIN(J326,$B$15)*$B$6+MAX(J326-$B$15,0)*$B$16*$B$7/12)-$B$9-MAX((MIN(J326,$B$15)*$B$6+MAX(J326-$B$15,0)*$B$16*$B$7/12)-$B$9-IF(AND(J$309&gt;0,$B$8&gt;0),MIN(J$309*$B$17,$B$13*MAX((MIN(J326,$B$15)*$B$6+MAX(J326-$B$15,0)*$B$16*$B$7/12)-$B$9,0)),0),0)*$B$8-(1-J$310)*IF(AND(J$309&gt;0,$B$8&gt;0),MIN(J$309*$B$17,$B$13*MAX((MIN(J326,$B$15)*$B$6+MAX(J326-$B$15,0)*$B$16*$B$7/12)-$B$9,0)),0)</f>
        <v/>
      </c>
      <c r="K327" s="179">
        <f>K326+(MIN(K326,$B$15)*$B$6+MAX(K326-$B$15,0)*$B$16*$B$7/12)-$B$9-MAX((MIN(K326,$B$15)*$B$6+MAX(K326-$B$15,0)*$B$16*$B$7/12)-$B$9-IF(AND(K$309&gt;0,$B$8&gt;0),MIN(K$309*$B$17,$B$13*MAX((MIN(K326,$B$15)*$B$6+MAX(K326-$B$15,0)*$B$16*$B$7/12)-$B$9,0)),0),0)*$B$8-(1-K$310)*IF(AND(K$309&gt;0,$B$8&gt;0),MIN(K$309*$B$17,$B$13*MAX((MIN(K326,$B$15)*$B$6+MAX(K326-$B$15,0)*$B$16*$B$7/12)-$B$9,0)),0)</f>
        <v/>
      </c>
      <c r="L327" s="179">
        <f>L326+(MIN(L326,$B$15)*$B$6+MAX(L326-$B$15,0)*$B$16*$B$7/12)-$B$9-MAX((MIN(L326,$B$15)*$B$6+MAX(L326-$B$15,0)*$B$16*$B$7/12)-$B$9-IF(AND(L$309&gt;0,$B$8&gt;0),MIN(L$309*$B$17,$B$13*MAX((MIN(L326,$B$15)*$B$6+MAX(L326-$B$15,0)*$B$16*$B$7/12)-$B$9,0)),0),0)*$B$8-(1-L$310)*IF(AND(L$309&gt;0,$B$8&gt;0),MIN(L$309*$B$17,$B$13*MAX((MIN(L326,$B$15)*$B$6+MAX(L326-$B$15,0)*$B$16*$B$7/12)-$B$9,0)),0)</f>
        <v/>
      </c>
      <c r="M327" s="179">
        <f>M326+(MIN(M326,$B$15)*$B$6+MAX(M326-$B$15,0)*$B$16*$B$7/12)-$B$9-MAX((MIN(M326,$B$15)*$B$6+MAX(M326-$B$15,0)*$B$16*$B$7/12)-$B$9-IF(AND(M$309&gt;0,$B$8&gt;0),MIN(M$309*$B$17,$B$13*MAX((MIN(M326,$B$15)*$B$6+MAX(M326-$B$15,0)*$B$16*$B$7/12)-$B$9,0)),0),0)*$B$8-(1-M$310)*IF(AND(M$309&gt;0,$B$8&gt;0),MIN(M$309*$B$17,$B$13*MAX((MIN(M326,$B$15)*$B$6+MAX(M326-$B$15,0)*$B$16*$B$7/12)-$B$9,0)),0)</f>
        <v/>
      </c>
      <c r="N327" s="179">
        <f>N326+(MIN(N326,$B$15)*$B$6+MAX(N326-$B$15,0)*$B$16*$B$7/12)-$B$9-MAX((MIN(N326,$B$15)*$B$6+MAX(N326-$B$15,0)*$B$16*$B$7/12)-$B$9-IF(AND(N$309&gt;0,$B$8&gt;0),MIN(N$309*$B$17,$B$13*MAX((MIN(N326,$B$15)*$B$6+MAX(N326-$B$15,0)*$B$16*$B$7/12)-$B$9,0)),0),0)*$B$8-(1-N$310)*IF(AND(N$309&gt;0,$B$8&gt;0),MIN(N$309*$B$17,$B$13*MAX((MIN(N326,$B$15)*$B$6+MAX(N326-$B$15,0)*$B$16*$B$7/12)-$B$9,0)),0)</f>
        <v/>
      </c>
      <c r="O327" s="179">
        <f>O326+(MIN(O326,$B$15)*$B$6+MAX(O326-$B$15,0)*$B$16*$B$7/12)-$B$9-MAX((MIN(O326,$B$15)*$B$6+MAX(O326-$B$15,0)*$B$16*$B$7/12)-$B$9-IF(AND(O$309&gt;0,$B$8&gt;0),MIN(O$309*$B$17,$B$13*MAX((MIN(O326,$B$15)*$B$6+MAX(O326-$B$15,0)*$B$16*$B$7/12)-$B$9,0)),0),0)*$B$8-(1-O$310)*IF(AND(O$309&gt;0,$B$8&gt;0),MIN(O$309*$B$17,$B$13*MAX((MIN(O326,$B$15)*$B$6+MAX(O326-$B$15,0)*$B$16*$B$7/12)-$B$9,0)),0)</f>
        <v/>
      </c>
      <c r="P327" s="179">
        <f>P326+(MIN(P326,$B$15)*$B$6+MAX(P326-$B$15,0)*$B$16*$B$7/12)-$B$9-MAX((MIN(P326,$B$15)*$B$6+MAX(P326-$B$15,0)*$B$16*$B$7/12)-$B$9-IF(AND(P$309&gt;0,$B$8&gt;0),MIN(P$309*$B$17,$B$13*MAX((MIN(P326,$B$15)*$B$6+MAX(P326-$B$15,0)*$B$16*$B$7/12)-$B$9,0)),0),0)*$B$8-(1-P$310)*IF(AND(P$309&gt;0,$B$8&gt;0),MIN(P$309*$B$17,$B$13*MAX((MIN(P326,$B$15)*$B$6+MAX(P326-$B$15,0)*$B$16*$B$7/12)-$B$9,0)),0)</f>
        <v/>
      </c>
      <c r="Q327" s="179">
        <f>Q326+(MIN(Q326,$B$15)*$B$6+MAX(Q326-$B$15,0)*$B$16*$B$7/12)-$B$9-MAX((MIN(Q326,$B$15)*$B$6+MAX(Q326-$B$15,0)*$B$16*$B$7/12)-$B$9-IF(AND(Q$309&gt;0,$B$8&gt;0),MIN(Q$309*$B$17,$B$13*MAX((MIN(Q326,$B$15)*$B$6+MAX(Q326-$B$15,0)*$B$16*$B$7/12)-$B$9,0)),0),0)*$B$8-(1-Q$310)*IF(AND(Q$309&gt;0,$B$8&gt;0),MIN(Q$309*$B$17,$B$13*MAX((MIN(Q326,$B$15)*$B$6+MAX(Q326-$B$15,0)*$B$16*$B$7/12)-$B$9,0)),0)</f>
        <v/>
      </c>
      <c r="R327" s="179">
        <f>R326+(MIN(R326,$B$15)*$B$6+MAX(R326-$B$15,0)*$B$16*$B$7/12)-$B$9-MAX((MIN(R326,$B$15)*$B$6+MAX(R326-$B$15,0)*$B$16*$B$7/12)-$B$9-IF(AND(R$309&gt;0,$B$8&gt;0),MIN(R$309*$B$17,$B$13*MAX((MIN(R326,$B$15)*$B$6+MAX(R326-$B$15,0)*$B$16*$B$7/12)-$B$9,0)),0),0)*$B$8-(1-R$310)*IF(AND(R$309&gt;0,$B$8&gt;0),MIN(R$309*$B$17,$B$13*MAX((MIN(R326,$B$15)*$B$6+MAX(R326-$B$15,0)*$B$16*$B$7/12)-$B$9,0)),0)</f>
        <v/>
      </c>
      <c r="S327" s="179">
        <f>S326+(MIN(S326,$B$15)*$B$6+MAX(S326-$B$15,0)*$B$16*$B$7/12)-$B$9-MAX((MIN(S326,$B$15)*$B$6+MAX(S326-$B$15,0)*$B$16*$B$7/12)-$B$9-IF(AND(S$309&gt;0,$B$8&gt;0),MIN(S$309*$B$17,$B$13*MAX((MIN(S326,$B$15)*$B$6+MAX(S326-$B$15,0)*$B$16*$B$7/12)-$B$9,0)),0),0)*$B$8-(1-S$310)*IF(AND(S$309&gt;0,$B$8&gt;0),MIN(S$309*$B$17,$B$13*MAX((MIN(S326,$B$15)*$B$6+MAX(S326-$B$15,0)*$B$16*$B$7/12)-$B$9,0)),0)</f>
        <v/>
      </c>
      <c r="T327" s="179">
        <f>T326+(MIN(T326,$B$15)*$B$6+MAX(T326-$B$15,0)*$B$16*$B$7/12)-$B$9-MAX((MIN(T326,$B$15)*$B$6+MAX(T326-$B$15,0)*$B$16*$B$7/12)-$B$9-IF(AND(T$309&gt;0,$B$8&gt;0),MIN(T$309*$B$17,$B$13*MAX((MIN(T326,$B$15)*$B$6+MAX(T326-$B$15,0)*$B$16*$B$7/12)-$B$9,0)),0),0)*$B$8-(1-T$310)*IF(AND(T$309&gt;0,$B$8&gt;0),MIN(T$309*$B$17,$B$13*MAX((MIN(T326,$B$15)*$B$6+MAX(T326-$B$15,0)*$B$16*$B$7/12)-$B$9,0)),0)</f>
        <v/>
      </c>
      <c r="U327" s="179">
        <f>U326+(MIN(U326,$B$15)*$B$6+MAX(U326-$B$15,0)*$B$16*$B$7/12)-$B$9-MAX((MIN(U326,$B$15)*$B$6+MAX(U326-$B$15,0)*$B$16*$B$7/12)-$B$9-IF(AND(U$309&gt;0,$B$8&gt;0),MIN(U$309*$B$17,$B$13*MAX((MIN(U326,$B$15)*$B$6+MAX(U326-$B$15,0)*$B$16*$B$7/12)-$B$9,0)),0),0)*$B$8-(1-U$310)*IF(AND(U$309&gt;0,$B$8&gt;0),MIN(U$309*$B$17,$B$13*MAX((MIN(U326,$B$15)*$B$6+MAX(U326-$B$15,0)*$B$16*$B$7/12)-$B$9,0)),0)</f>
        <v/>
      </c>
      <c r="V327" s="179">
        <f>V326+(MIN(V326,$B$15)*$B$6+MAX(V326-$B$15,0)*$B$16*$B$7/12)-$B$9-MAX((MIN(V326,$B$15)*$B$6+MAX(V326-$B$15,0)*$B$16*$B$7/12)-$B$9-IF(AND(V$309&gt;0,$B$8&gt;0),MIN(V$309*$B$17,$B$13*MAX((MIN(V326,$B$15)*$B$6+MAX(V326-$B$15,0)*$B$16*$B$7/12)-$B$9,0)),0),0)*$B$8-(1-V$310)*IF(AND(V$309&gt;0,$B$8&gt;0),MIN(V$309*$B$17,$B$13*MAX((MIN(V326,$B$15)*$B$6+MAX(V326-$B$15,0)*$B$16*$B$7/12)-$B$9,0)),0)</f>
        <v/>
      </c>
      <c r="W327" s="179">
        <f>W326+(MIN(W326,$B$15)*$B$6+MAX(W326-$B$15,0)*$B$16*$B$7/12)-$B$9-MAX((MIN(W326,$B$15)*$B$6+MAX(W326-$B$15,0)*$B$16*$B$7/12)-$B$9-IF(AND(W$309&gt;0,$B$8&gt;0),MIN(W$309*$B$17,$B$13*MAX((MIN(W326,$B$15)*$B$6+MAX(W326-$B$15,0)*$B$16*$B$7/12)-$B$9,0)),0),0)*$B$8-(1-W$310)*IF(AND(W$309&gt;0,$B$8&gt;0),MIN(W$309*$B$17,$B$13*MAX((MIN(W326,$B$15)*$B$6+MAX(W326-$B$15,0)*$B$16*$B$7/12)-$B$9,0)),0)</f>
        <v/>
      </c>
      <c r="X327" s="179">
        <f>X326+(MIN(X326,$B$15)*$B$6+MAX(X326-$B$15,0)*$B$16*$B$7/12)-$B$9-MAX((MIN(X326,$B$15)*$B$6+MAX(X326-$B$15,0)*$B$16*$B$7/12)-$B$9-IF(AND(X$309&gt;0,$B$8&gt;0),MIN(X$309*$B$17,$B$13*MAX((MIN(X326,$B$15)*$B$6+MAX(X326-$B$15,0)*$B$16*$B$7/12)-$B$9,0)),0),0)*$B$8-(1-X$310)*IF(AND(X$309&gt;0,$B$8&gt;0),MIN(X$309*$B$17,$B$13*MAX((MIN(X326,$B$15)*$B$6+MAX(X326-$B$15,0)*$B$16*$B$7/12)-$B$9,0)),0)</f>
        <v/>
      </c>
      <c r="Y327" s="179">
        <f>Y326+(MIN(Y326,$B$15)*$B$6+MAX(Y326-$B$15,0)*$B$16*$B$7/12)-$B$9-MAX((MIN(Y326,$B$15)*$B$6+MAX(Y326-$B$15,0)*$B$16*$B$7/12)-$B$9-IF(AND(Y$309&gt;0,$B$8&gt;0),MIN(Y$309*$B$17,$B$13*MAX((MIN(Y326,$B$15)*$B$6+MAX(Y326-$B$15,0)*$B$16*$B$7/12)-$B$9,0)),0),0)*$B$8-(1-Y$310)*IF(AND(Y$309&gt;0,$B$8&gt;0),MIN(Y$309*$B$17,$B$13*MAX((MIN(Y326,$B$15)*$B$6+MAX(Y326-$B$15,0)*$B$16*$B$7/12)-$B$9,0)),0)</f>
        <v/>
      </c>
      <c r="Z327" s="179">
        <f>Z326+(MIN(Z326,$B$15)*$B$6+MAX(Z326-$B$15,0)*$B$16*$B$7/12)-$B$9-MAX((MIN(Z326,$B$15)*$B$6+MAX(Z326-$B$15,0)*$B$16*$B$7/12)-$B$9-IF(AND(Z$309&gt;0,$B$8&gt;0),MIN(Z$309*$B$17,$B$13*MAX((MIN(Z326,$B$15)*$B$6+MAX(Z326-$B$15,0)*$B$16*$B$7/12)-$B$9,0)),0),0)*$B$8-(1-Z$310)*IF(AND(Z$309&gt;0,$B$8&gt;0),MIN(Z$309*$B$17,$B$13*MAX((MIN(Z326,$B$15)*$B$6+MAX(Z326-$B$15,0)*$B$16*$B$7/12)-$B$9,0)),0)</f>
        <v/>
      </c>
      <c r="AA327" s="179">
        <f>AA326+(MIN(AA326,$B$15)*$B$6+MAX(AA326-$B$15,0)*$B$16*$B$7/12)-$B$9-MAX((MIN(AA326,$B$15)*$B$6+MAX(AA326-$B$15,0)*$B$16*$B$7/12)-$B$9-IF(AND(AA$309&gt;0,$B$8&gt;0),MIN(AA$309*$B$17,$B$13*MAX((MIN(AA326,$B$15)*$B$6+MAX(AA326-$B$15,0)*$B$16*$B$7/12)-$B$9,0)),0),0)*$B$8-(1-AA$310)*IF(AND(AA$309&gt;0,$B$8&gt;0),MIN(AA$309*$B$17,$B$13*MAX((MIN(AA326,$B$15)*$B$6+MAX(AA326-$B$15,0)*$B$16*$B$7/12)-$B$9,0)),0)</f>
        <v/>
      </c>
      <c r="AB327" s="179">
        <f>AB326+(MIN(AB326,$B$15)*$B$6+MAX(AB326-$B$15,0)*$B$16*$B$7/12)-$B$9-MAX((MIN(AB326,$B$15)*$B$6+MAX(AB326-$B$15,0)*$B$16*$B$7/12)-$B$9-IF(AND(AB$309&gt;0,$B$8&gt;0),MIN(AB$309*$B$17,$B$13*MAX((MIN(AB326,$B$15)*$B$6+MAX(AB326-$B$15,0)*$B$16*$B$7/12)-$B$9,0)),0),0)*$B$8-(1-AB$310)*IF(AND(AB$309&gt;0,$B$8&gt;0),MIN(AB$309*$B$17,$B$13*MAX((MIN(AB326,$B$15)*$B$6+MAX(AB326-$B$15,0)*$B$16*$B$7/12)-$B$9,0)),0)</f>
        <v/>
      </c>
      <c r="AC327" s="179">
        <f>AC326+(MIN(AC326,$B$15)*$B$6+MAX(AC326-$B$15,0)*$B$16*$B$7/12)-$B$9-MAX((MIN(AC326,$B$15)*$B$6+MAX(AC326-$B$15,0)*$B$16*$B$7/12)-$B$9-IF(AND(AC$309&gt;0,$B$8&gt;0),MIN(AC$309*$B$17,$B$13*MAX((MIN(AC326,$B$15)*$B$6+MAX(AC326-$B$15,0)*$B$16*$B$7/12)-$B$9,0)),0),0)*$B$8-(1-AC$310)*IF(AND(AC$309&gt;0,$B$8&gt;0),MIN(AC$309*$B$17,$B$13*MAX((MIN(AC326,$B$15)*$B$6+MAX(AC326-$B$15,0)*$B$16*$B$7/12)-$B$9,0)),0)</f>
        <v/>
      </c>
      <c r="AD327" s="179">
        <f>AD326+(MIN(AD326,$B$15)*$B$6+MAX(AD326-$B$15,0)*$B$16*$B$7/12)-$B$9-MAX((MIN(AD326,$B$15)*$B$6+MAX(AD326-$B$15,0)*$B$16*$B$7/12)-$B$9-IF(AND(AD$309&gt;0,$B$8&gt;0),MIN(AD$309*$B$17,$B$13*MAX((MIN(AD326,$B$15)*$B$6+MAX(AD326-$B$15,0)*$B$16*$B$7/12)-$B$9,0)),0),0)*$B$8-(1-AD$310)*IF(AND(AD$309&gt;0,$B$8&gt;0),MIN(AD$309*$B$17,$B$13*MAX((MIN(AD326,$B$15)*$B$6+MAX(AD326-$B$15,0)*$B$16*$B$7/12)-$B$9,0)),0)</f>
        <v/>
      </c>
      <c r="AE327" s="179">
        <f>AE326+(MIN(AE326,$B$15)*$B$6+MAX(AE326-$B$15,0)*$B$16*$B$7/12)-$B$9-MAX((MIN(AE326,$B$15)*$B$6+MAX(AE326-$B$15,0)*$B$16*$B$7/12)-$B$9-IF(AND(AE$309&gt;0,$B$8&gt;0),MIN(AE$309*$B$17,$B$13*MAX((MIN(AE326,$B$15)*$B$6+MAX(AE326-$B$15,0)*$B$16*$B$7/12)-$B$9,0)),0),0)*$B$8-(1-AE$310)*IF(AND(AE$309&gt;0,$B$8&gt;0),MIN(AE$309*$B$17,$B$13*MAX((MIN(AE326,$B$15)*$B$6+MAX(AE326-$B$15,0)*$B$16*$B$7/12)-$B$9,0)),0)</f>
        <v/>
      </c>
      <c r="AF327" s="179">
        <f>AF326+(MIN(AF326,$B$15)*$B$6+MAX(AF326-$B$15,0)*$B$16*$B$7/12)-$B$9-MAX((MIN(AF326,$B$15)*$B$6+MAX(AF326-$B$15,0)*$B$16*$B$7/12)-$B$9-IF(AND(AF$309&gt;0,$B$8&gt;0),MIN(AF$309*$B$17,$B$13*MAX((MIN(AF326,$B$15)*$B$6+MAX(AF326-$B$15,0)*$B$16*$B$7/12)-$B$9,0)),0),0)*$B$8-(1-AF$310)*IF(AND(AF$309&gt;0,$B$8&gt;0),MIN(AF$309*$B$17,$B$13*MAX((MIN(AF326,$B$15)*$B$6+MAX(AF326-$B$15,0)*$B$16*$B$7/12)-$B$9,0)),0)</f>
        <v/>
      </c>
      <c r="AG327" s="179">
        <f>AG326+(MIN(AG326,$B$15)*$B$6+MAX(AG326-$B$15,0)*$B$16*$B$7/12)-$B$9-MAX((MIN(AG326,$B$15)*$B$6+MAX(AG326-$B$15,0)*$B$16*$B$7/12)-$B$9-IF(AND(AG$309&gt;0,$B$8&gt;0),MIN(AG$309*$B$17,$B$13*MAX((MIN(AG326,$B$15)*$B$6+MAX(AG326-$B$15,0)*$B$16*$B$7/12)-$B$9,0)),0),0)*$B$8-(1-AG$310)*IF(AND(AG$309&gt;0,$B$8&gt;0),MIN(AG$309*$B$17,$B$13*MAX((MIN(AG326,$B$15)*$B$6+MAX(AG326-$B$15,0)*$B$16*$B$7/12)-$B$9,0)),0)</f>
        <v/>
      </c>
      <c r="AH327" s="179">
        <f>AH326+(MIN(AH326,$B$15)*$B$6+MAX(AH326-$B$15,0)*$B$16*$B$7/12)-$B$9-MAX((MIN(AH326,$B$15)*$B$6+MAX(AH326-$B$15,0)*$B$16*$B$7/12)-$B$9-IF(AND(AH$309&gt;0,$B$8&gt;0),MIN(AH$309*$B$17,$B$13*MAX((MIN(AH326,$B$15)*$B$6+MAX(AH326-$B$15,0)*$B$16*$B$7/12)-$B$9,0)),0),0)*$B$8-(1-AH$310)*IF(AND(AH$309&gt;0,$B$8&gt;0),MIN(AH$309*$B$17,$B$13*MAX((MIN(AH326,$B$15)*$B$6+MAX(AH326-$B$15,0)*$B$16*$B$7/12)-$B$9,0)),0)</f>
        <v/>
      </c>
      <c r="AI327" s="179">
        <f>AI326+(MIN(AI326,$B$15)*$B$6+MAX(AI326-$B$15,0)*$B$16*$B$7/12)-$B$9-MAX((MIN(AI326,$B$15)*$B$6+MAX(AI326-$B$15,0)*$B$16*$B$7/12)-$B$9-IF(AND(AI$309&gt;0,$B$8&gt;0),MIN(AI$309*$B$17,$B$13*MAX((MIN(AI326,$B$15)*$B$6+MAX(AI326-$B$15,0)*$B$16*$B$7/12)-$B$9,0)),0),0)*$B$8-(1-AI$310)*IF(AND(AI$309&gt;0,$B$8&gt;0),MIN(AI$309*$B$17,$B$13*MAX((MIN(AI326,$B$15)*$B$6+MAX(AI326-$B$15,0)*$B$16*$B$7/12)-$B$9,0)),0)</f>
        <v/>
      </c>
      <c r="AJ327" s="179">
        <f>AJ326+(MIN(AJ326,$B$15)*$B$6+MAX(AJ326-$B$15,0)*$B$16*$B$7/12)-$B$9-MAX((MIN(AJ326,$B$15)*$B$6+MAX(AJ326-$B$15,0)*$B$16*$B$7/12)-$B$9-IF(AND(AJ$309&gt;0,$B$8&gt;0),MIN(AJ$309*$B$17,$B$13*MAX((MIN(AJ326,$B$15)*$B$6+MAX(AJ326-$B$15,0)*$B$16*$B$7/12)-$B$9,0)),0),0)*$B$8-(1-AJ$310)*IF(AND(AJ$309&gt;0,$B$8&gt;0),MIN(AJ$309*$B$17,$B$13*MAX((MIN(AJ326,$B$15)*$B$6+MAX(AJ326-$B$15,0)*$B$16*$B$7/12)-$B$9,0)),0)</f>
        <v/>
      </c>
      <c r="AK327" s="179">
        <f>AK326+(MIN(AK326,$B$15)*$B$6+MAX(AK326-$B$15,0)*$B$16*$B$7/12)-$B$9-MAX((MIN(AK326,$B$15)*$B$6+MAX(AK326-$B$15,0)*$B$16*$B$7/12)-$B$9-IF(AND(AK$309&gt;0,$B$8&gt;0),MIN(AK$309*$B$17,$B$13*MAX((MIN(AK326,$B$15)*$B$6+MAX(AK326-$B$15,0)*$B$16*$B$7/12)-$B$9,0)),0),0)*$B$8-(1-AK$310)*IF(AND(AK$309&gt;0,$B$8&gt;0),MIN(AK$309*$B$17,$B$13*MAX((MIN(AK326,$B$15)*$B$6+MAX(AK326-$B$15,0)*$B$16*$B$7/12)-$B$9,0)),0)</f>
        <v/>
      </c>
      <c r="AL327" s="179">
        <f>AL326+(MIN(AL326,$B$15)*$B$6+MAX(AL326-$B$15,0)*$B$16*$B$7/12)-$B$9-MAX((MIN(AL326,$B$15)*$B$6+MAX(AL326-$B$15,0)*$B$16*$B$7/12)-$B$9-IF(AND(AL$309&gt;0,$B$8&gt;0),MIN(AL$309*$B$17,$B$13*MAX((MIN(AL326,$B$15)*$B$6+MAX(AL326-$B$15,0)*$B$16*$B$7/12)-$B$9,0)),0),0)*$B$8-(1-AL$310)*IF(AND(AL$309&gt;0,$B$8&gt;0),MIN(AL$309*$B$17,$B$13*MAX((MIN(AL326,$B$15)*$B$6+MAX(AL326-$B$15,0)*$B$16*$B$7/12)-$B$9,0)),0)</f>
        <v/>
      </c>
      <c r="AM327" s="179">
        <f>AM326+(MIN(AM326,$B$15)*$B$6+MAX(AM326-$B$15,0)*$B$16*$B$7/12)-$B$9-MAX((MIN(AM326,$B$15)*$B$6+MAX(AM326-$B$15,0)*$B$16*$B$7/12)-$B$9-IF(AND(AM$309&gt;0,$B$8&gt;0),MIN(AM$309*$B$17,$B$13*MAX((MIN(AM326,$B$15)*$B$6+MAX(AM326-$B$15,0)*$B$16*$B$7/12)-$B$9,0)),0),0)*$B$8-(1-AM$310)*IF(AND(AM$309&gt;0,$B$8&gt;0),MIN(AM$309*$B$17,$B$13*MAX((MIN(AM326,$B$15)*$B$6+MAX(AM326-$B$15,0)*$B$16*$B$7/12)-$B$9,0)),0)</f>
        <v/>
      </c>
      <c r="AN327" s="179">
        <f>AN326+(MIN(AN326,$B$15)*$B$6+MAX(AN326-$B$15,0)*$B$16*$B$7/12)-$B$9-MAX((MIN(AN326,$B$15)*$B$6+MAX(AN326-$B$15,0)*$B$16*$B$7/12)-$B$9-IF(AND(AN$309&gt;0,$B$8&gt;0),MIN(AN$309*$B$17,$B$13*MAX((MIN(AN326,$B$15)*$B$6+MAX(AN326-$B$15,0)*$B$16*$B$7/12)-$B$9,0)),0),0)*$B$8-(1-AN$310)*IF(AND(AN$309&gt;0,$B$8&gt;0),MIN(AN$309*$B$17,$B$13*MAX((MIN(AN326,$B$15)*$B$6+MAX(AN326-$B$15,0)*$B$16*$B$7/12)-$B$9,0)),0)</f>
        <v/>
      </c>
      <c r="AO327" s="179">
        <f>AO326+(MIN(AO326,$B$15)*$B$6+MAX(AO326-$B$15,0)*$B$16*$B$7/12)-$B$9-MAX((MIN(AO326,$B$15)*$B$6+MAX(AO326-$B$15,0)*$B$16*$B$7/12)-$B$9-IF(AND(AO$309&gt;0,$B$8&gt;0),MIN(AO$309*$B$17,$B$13*MAX((MIN(AO326,$B$15)*$B$6+MAX(AO326-$B$15,0)*$B$16*$B$7/12)-$B$9,0)),0),0)*$B$8-(1-AO$310)*IF(AND(AO$309&gt;0,$B$8&gt;0),MIN(AO$309*$B$17,$B$13*MAX((MIN(AO326,$B$15)*$B$6+MAX(AO326-$B$15,0)*$B$16*$B$7/12)-$B$9,0)),0)</f>
        <v/>
      </c>
      <c r="AP327" s="179">
        <f>AP326+(MIN(AP326,$B$15)*$B$6+MAX(AP326-$B$15,0)*$B$16*$B$7/12)-$B$9-MAX((MIN(AP326,$B$15)*$B$6+MAX(AP326-$B$15,0)*$B$16*$B$7/12)-$B$9-IF(AND(AP$309&gt;0,$B$8&gt;0),MIN(AP$309*$B$17,$B$13*MAX((MIN(AP326,$B$15)*$B$6+MAX(AP326-$B$15,0)*$B$16*$B$7/12)-$B$9,0)),0),0)*$B$8-(1-AP$310)*IF(AND(AP$309&gt;0,$B$8&gt;0),MIN(AP$309*$B$17,$B$13*MAX((MIN(AP326,$B$15)*$B$6+MAX(AP326-$B$15,0)*$B$16*$B$7/12)-$B$9,0)),0)</f>
        <v/>
      </c>
      <c r="AQ327" s="179">
        <f>AQ326+(MIN(AQ326,$B$15)*$B$6+MAX(AQ326-$B$15,0)*$B$16*$B$7/12)-$B$9-MAX((MIN(AQ326,$B$15)*$B$6+MAX(AQ326-$B$15,0)*$B$16*$B$7/12)-$B$9-IF(AND(AQ$309&gt;0,$B$8&gt;0),MIN(AQ$309*$B$17,$B$13*MAX((MIN(AQ326,$B$15)*$B$6+MAX(AQ326-$B$15,0)*$B$16*$B$7/12)-$B$9,0)),0),0)*$B$8-(1-AQ$310)*IF(AND(AQ$309&gt;0,$B$8&gt;0),MIN(AQ$309*$B$17,$B$13*MAX((MIN(AQ326,$B$15)*$B$6+MAX(AQ326-$B$15,0)*$B$16*$B$7/12)-$B$9,0)),0)</f>
        <v/>
      </c>
    </row>
    <row r="328" hidden="1" outlineLevel="1">
      <c r="A328" s="164" t="inlineStr">
        <is>
          <t>Cycle 18</t>
        </is>
      </c>
      <c r="B328" s="179">
        <f>B327+(MIN(B327,$B$15)*$B$6+MAX(B327-$B$15,0)*$B$16*$B$7/12)-$B$9-MAX((MIN(B327,$B$15)*$B$6+MAX(B327-$B$15,0)*$B$16*$B$7/12)-$B$9-IF(AND(B$309&gt;0,$B$8&gt;0),MIN(B$309*$B$17,$B$13*MAX((MIN(B327,$B$15)*$B$6+MAX(B327-$B$15,0)*$B$16*$B$7/12)-$B$9,0)),0),0)*$B$8-(1-B$310)*IF(AND(B$309&gt;0,$B$8&gt;0),MIN(B$309*$B$17,$B$13*MAX((MIN(B327,$B$15)*$B$6+MAX(B327-$B$15,0)*$B$16*$B$7/12)-$B$9,0)),0)</f>
        <v/>
      </c>
      <c r="C328" s="179">
        <f>C327+(MIN(C327,$B$15)*$B$6+MAX(C327-$B$15,0)*$B$16*$B$7/12)-$B$9-MAX((MIN(C327,$B$15)*$B$6+MAX(C327-$B$15,0)*$B$16*$B$7/12)-$B$9-IF(AND(C$309&gt;0,$B$8&gt;0),MIN(C$309*$B$17,$B$13*MAX((MIN(C327,$B$15)*$B$6+MAX(C327-$B$15,0)*$B$16*$B$7/12)-$B$9,0)),0),0)*$B$8-(1-C$310)*IF(AND(C$309&gt;0,$B$8&gt;0),MIN(C$309*$B$17,$B$13*MAX((MIN(C327,$B$15)*$B$6+MAX(C327-$B$15,0)*$B$16*$B$7/12)-$B$9,0)),0)</f>
        <v/>
      </c>
      <c r="D328" s="179">
        <f>D327+(MIN(D327,$B$15)*$B$6+MAX(D327-$B$15,0)*$B$16*$B$7/12)-$B$9-MAX((MIN(D327,$B$15)*$B$6+MAX(D327-$B$15,0)*$B$16*$B$7/12)-$B$9-IF(AND(D$309&gt;0,$B$8&gt;0),MIN(D$309*$B$17,$B$13*MAX((MIN(D327,$B$15)*$B$6+MAX(D327-$B$15,0)*$B$16*$B$7/12)-$B$9,0)),0),0)*$B$8-(1-D$310)*IF(AND(D$309&gt;0,$B$8&gt;0),MIN(D$309*$B$17,$B$13*MAX((MIN(D327,$B$15)*$B$6+MAX(D327-$B$15,0)*$B$16*$B$7/12)-$B$9,0)),0)</f>
        <v/>
      </c>
      <c r="E328" s="179">
        <f>E327+(MIN(E327,$B$15)*$B$6+MAX(E327-$B$15,0)*$B$16*$B$7/12)-$B$9-MAX((MIN(E327,$B$15)*$B$6+MAX(E327-$B$15,0)*$B$16*$B$7/12)-$B$9-IF(AND(E$309&gt;0,$B$8&gt;0),MIN(E$309*$B$17,$B$13*MAX((MIN(E327,$B$15)*$B$6+MAX(E327-$B$15,0)*$B$16*$B$7/12)-$B$9,0)),0),0)*$B$8-(1-E$310)*IF(AND(E$309&gt;0,$B$8&gt;0),MIN(E$309*$B$17,$B$13*MAX((MIN(E327,$B$15)*$B$6+MAX(E327-$B$15,0)*$B$16*$B$7/12)-$B$9,0)),0)</f>
        <v/>
      </c>
      <c r="F328" s="179">
        <f>F327+(MIN(F327,$B$15)*$B$6+MAX(F327-$B$15,0)*$B$16*$B$7/12)-$B$9-MAX((MIN(F327,$B$15)*$B$6+MAX(F327-$B$15,0)*$B$16*$B$7/12)-$B$9-IF(AND(F$309&gt;0,$B$8&gt;0),MIN(F$309*$B$17,$B$13*MAX((MIN(F327,$B$15)*$B$6+MAX(F327-$B$15,0)*$B$16*$B$7/12)-$B$9,0)),0),0)*$B$8-(1-F$310)*IF(AND(F$309&gt;0,$B$8&gt;0),MIN(F$309*$B$17,$B$13*MAX((MIN(F327,$B$15)*$B$6+MAX(F327-$B$15,0)*$B$16*$B$7/12)-$B$9,0)),0)</f>
        <v/>
      </c>
      <c r="G328" s="179">
        <f>G327+(MIN(G327,$B$15)*$B$6+MAX(G327-$B$15,0)*$B$16*$B$7/12)-$B$9-MAX((MIN(G327,$B$15)*$B$6+MAX(G327-$B$15,0)*$B$16*$B$7/12)-$B$9-IF(AND(G$309&gt;0,$B$8&gt;0),MIN(G$309*$B$17,$B$13*MAX((MIN(G327,$B$15)*$B$6+MAX(G327-$B$15,0)*$B$16*$B$7/12)-$B$9,0)),0),0)*$B$8-(1-G$310)*IF(AND(G$309&gt;0,$B$8&gt;0),MIN(G$309*$B$17,$B$13*MAX((MIN(G327,$B$15)*$B$6+MAX(G327-$B$15,0)*$B$16*$B$7/12)-$B$9,0)),0)</f>
        <v/>
      </c>
      <c r="H328" s="179">
        <f>H327+(MIN(H327,$B$15)*$B$6+MAX(H327-$B$15,0)*$B$16*$B$7/12)-$B$9-MAX((MIN(H327,$B$15)*$B$6+MAX(H327-$B$15,0)*$B$16*$B$7/12)-$B$9-IF(AND(H$309&gt;0,$B$8&gt;0),MIN(H$309*$B$17,$B$13*MAX((MIN(H327,$B$15)*$B$6+MAX(H327-$B$15,0)*$B$16*$B$7/12)-$B$9,0)),0),0)*$B$8-(1-H$310)*IF(AND(H$309&gt;0,$B$8&gt;0),MIN(H$309*$B$17,$B$13*MAX((MIN(H327,$B$15)*$B$6+MAX(H327-$B$15,0)*$B$16*$B$7/12)-$B$9,0)),0)</f>
        <v/>
      </c>
      <c r="I328" s="179">
        <f>I327+(MIN(I327,$B$15)*$B$6+MAX(I327-$B$15,0)*$B$16*$B$7/12)-$B$9-MAX((MIN(I327,$B$15)*$B$6+MAX(I327-$B$15,0)*$B$16*$B$7/12)-$B$9-IF(AND(I$309&gt;0,$B$8&gt;0),MIN(I$309*$B$17,$B$13*MAX((MIN(I327,$B$15)*$B$6+MAX(I327-$B$15,0)*$B$16*$B$7/12)-$B$9,0)),0),0)*$B$8-(1-I$310)*IF(AND(I$309&gt;0,$B$8&gt;0),MIN(I$309*$B$17,$B$13*MAX((MIN(I327,$B$15)*$B$6+MAX(I327-$B$15,0)*$B$16*$B$7/12)-$B$9,0)),0)</f>
        <v/>
      </c>
      <c r="J328" s="179">
        <f>J327+(MIN(J327,$B$15)*$B$6+MAX(J327-$B$15,0)*$B$16*$B$7/12)-$B$9-MAX((MIN(J327,$B$15)*$B$6+MAX(J327-$B$15,0)*$B$16*$B$7/12)-$B$9-IF(AND(J$309&gt;0,$B$8&gt;0),MIN(J$309*$B$17,$B$13*MAX((MIN(J327,$B$15)*$B$6+MAX(J327-$B$15,0)*$B$16*$B$7/12)-$B$9,0)),0),0)*$B$8-(1-J$310)*IF(AND(J$309&gt;0,$B$8&gt;0),MIN(J$309*$B$17,$B$13*MAX((MIN(J327,$B$15)*$B$6+MAX(J327-$B$15,0)*$B$16*$B$7/12)-$B$9,0)),0)</f>
        <v/>
      </c>
      <c r="K328" s="179">
        <f>K327+(MIN(K327,$B$15)*$B$6+MAX(K327-$B$15,0)*$B$16*$B$7/12)-$B$9-MAX((MIN(K327,$B$15)*$B$6+MAX(K327-$B$15,0)*$B$16*$B$7/12)-$B$9-IF(AND(K$309&gt;0,$B$8&gt;0),MIN(K$309*$B$17,$B$13*MAX((MIN(K327,$B$15)*$B$6+MAX(K327-$B$15,0)*$B$16*$B$7/12)-$B$9,0)),0),0)*$B$8-(1-K$310)*IF(AND(K$309&gt;0,$B$8&gt;0),MIN(K$309*$B$17,$B$13*MAX((MIN(K327,$B$15)*$B$6+MAX(K327-$B$15,0)*$B$16*$B$7/12)-$B$9,0)),0)</f>
        <v/>
      </c>
      <c r="L328" s="179">
        <f>L327+(MIN(L327,$B$15)*$B$6+MAX(L327-$B$15,0)*$B$16*$B$7/12)-$B$9-MAX((MIN(L327,$B$15)*$B$6+MAX(L327-$B$15,0)*$B$16*$B$7/12)-$B$9-IF(AND(L$309&gt;0,$B$8&gt;0),MIN(L$309*$B$17,$B$13*MAX((MIN(L327,$B$15)*$B$6+MAX(L327-$B$15,0)*$B$16*$B$7/12)-$B$9,0)),0),0)*$B$8-(1-L$310)*IF(AND(L$309&gt;0,$B$8&gt;0),MIN(L$309*$B$17,$B$13*MAX((MIN(L327,$B$15)*$B$6+MAX(L327-$B$15,0)*$B$16*$B$7/12)-$B$9,0)),0)</f>
        <v/>
      </c>
      <c r="M328" s="179">
        <f>M327+(MIN(M327,$B$15)*$B$6+MAX(M327-$B$15,0)*$B$16*$B$7/12)-$B$9-MAX((MIN(M327,$B$15)*$B$6+MAX(M327-$B$15,0)*$B$16*$B$7/12)-$B$9-IF(AND(M$309&gt;0,$B$8&gt;0),MIN(M$309*$B$17,$B$13*MAX((MIN(M327,$B$15)*$B$6+MAX(M327-$B$15,0)*$B$16*$B$7/12)-$B$9,0)),0),0)*$B$8-(1-M$310)*IF(AND(M$309&gt;0,$B$8&gt;0),MIN(M$309*$B$17,$B$13*MAX((MIN(M327,$B$15)*$B$6+MAX(M327-$B$15,0)*$B$16*$B$7/12)-$B$9,0)),0)</f>
        <v/>
      </c>
      <c r="N328" s="179">
        <f>N327+(MIN(N327,$B$15)*$B$6+MAX(N327-$B$15,0)*$B$16*$B$7/12)-$B$9-MAX((MIN(N327,$B$15)*$B$6+MAX(N327-$B$15,0)*$B$16*$B$7/12)-$B$9-IF(AND(N$309&gt;0,$B$8&gt;0),MIN(N$309*$B$17,$B$13*MAX((MIN(N327,$B$15)*$B$6+MAX(N327-$B$15,0)*$B$16*$B$7/12)-$B$9,0)),0),0)*$B$8-(1-N$310)*IF(AND(N$309&gt;0,$B$8&gt;0),MIN(N$309*$B$17,$B$13*MAX((MIN(N327,$B$15)*$B$6+MAX(N327-$B$15,0)*$B$16*$B$7/12)-$B$9,0)),0)</f>
        <v/>
      </c>
      <c r="O328" s="179">
        <f>O327+(MIN(O327,$B$15)*$B$6+MAX(O327-$B$15,0)*$B$16*$B$7/12)-$B$9-MAX((MIN(O327,$B$15)*$B$6+MAX(O327-$B$15,0)*$B$16*$B$7/12)-$B$9-IF(AND(O$309&gt;0,$B$8&gt;0),MIN(O$309*$B$17,$B$13*MAX((MIN(O327,$B$15)*$B$6+MAX(O327-$B$15,0)*$B$16*$B$7/12)-$B$9,0)),0),0)*$B$8-(1-O$310)*IF(AND(O$309&gt;0,$B$8&gt;0),MIN(O$309*$B$17,$B$13*MAX((MIN(O327,$B$15)*$B$6+MAX(O327-$B$15,0)*$B$16*$B$7/12)-$B$9,0)),0)</f>
        <v/>
      </c>
      <c r="P328" s="179">
        <f>P327+(MIN(P327,$B$15)*$B$6+MAX(P327-$B$15,0)*$B$16*$B$7/12)-$B$9-MAX((MIN(P327,$B$15)*$B$6+MAX(P327-$B$15,0)*$B$16*$B$7/12)-$B$9-IF(AND(P$309&gt;0,$B$8&gt;0),MIN(P$309*$B$17,$B$13*MAX((MIN(P327,$B$15)*$B$6+MAX(P327-$B$15,0)*$B$16*$B$7/12)-$B$9,0)),0),0)*$B$8-(1-P$310)*IF(AND(P$309&gt;0,$B$8&gt;0),MIN(P$309*$B$17,$B$13*MAX((MIN(P327,$B$15)*$B$6+MAX(P327-$B$15,0)*$B$16*$B$7/12)-$B$9,0)),0)</f>
        <v/>
      </c>
      <c r="Q328" s="179">
        <f>Q327+(MIN(Q327,$B$15)*$B$6+MAX(Q327-$B$15,0)*$B$16*$B$7/12)-$B$9-MAX((MIN(Q327,$B$15)*$B$6+MAX(Q327-$B$15,0)*$B$16*$B$7/12)-$B$9-IF(AND(Q$309&gt;0,$B$8&gt;0),MIN(Q$309*$B$17,$B$13*MAX((MIN(Q327,$B$15)*$B$6+MAX(Q327-$B$15,0)*$B$16*$B$7/12)-$B$9,0)),0),0)*$B$8-(1-Q$310)*IF(AND(Q$309&gt;0,$B$8&gt;0),MIN(Q$309*$B$17,$B$13*MAX((MIN(Q327,$B$15)*$B$6+MAX(Q327-$B$15,0)*$B$16*$B$7/12)-$B$9,0)),0)</f>
        <v/>
      </c>
      <c r="R328" s="179">
        <f>R327+(MIN(R327,$B$15)*$B$6+MAX(R327-$B$15,0)*$B$16*$B$7/12)-$B$9-MAX((MIN(R327,$B$15)*$B$6+MAX(R327-$B$15,0)*$B$16*$B$7/12)-$B$9-IF(AND(R$309&gt;0,$B$8&gt;0),MIN(R$309*$B$17,$B$13*MAX((MIN(R327,$B$15)*$B$6+MAX(R327-$B$15,0)*$B$16*$B$7/12)-$B$9,0)),0),0)*$B$8-(1-R$310)*IF(AND(R$309&gt;0,$B$8&gt;0),MIN(R$309*$B$17,$B$13*MAX((MIN(R327,$B$15)*$B$6+MAX(R327-$B$15,0)*$B$16*$B$7/12)-$B$9,0)),0)</f>
        <v/>
      </c>
      <c r="S328" s="179">
        <f>S327+(MIN(S327,$B$15)*$B$6+MAX(S327-$B$15,0)*$B$16*$B$7/12)-$B$9-MAX((MIN(S327,$B$15)*$B$6+MAX(S327-$B$15,0)*$B$16*$B$7/12)-$B$9-IF(AND(S$309&gt;0,$B$8&gt;0),MIN(S$309*$B$17,$B$13*MAX((MIN(S327,$B$15)*$B$6+MAX(S327-$B$15,0)*$B$16*$B$7/12)-$B$9,0)),0),0)*$B$8-(1-S$310)*IF(AND(S$309&gt;0,$B$8&gt;0),MIN(S$309*$B$17,$B$13*MAX((MIN(S327,$B$15)*$B$6+MAX(S327-$B$15,0)*$B$16*$B$7/12)-$B$9,0)),0)</f>
        <v/>
      </c>
      <c r="T328" s="179">
        <f>T327+(MIN(T327,$B$15)*$B$6+MAX(T327-$B$15,0)*$B$16*$B$7/12)-$B$9-MAX((MIN(T327,$B$15)*$B$6+MAX(T327-$B$15,0)*$B$16*$B$7/12)-$B$9-IF(AND(T$309&gt;0,$B$8&gt;0),MIN(T$309*$B$17,$B$13*MAX((MIN(T327,$B$15)*$B$6+MAX(T327-$B$15,0)*$B$16*$B$7/12)-$B$9,0)),0),0)*$B$8-(1-T$310)*IF(AND(T$309&gt;0,$B$8&gt;0),MIN(T$309*$B$17,$B$13*MAX((MIN(T327,$B$15)*$B$6+MAX(T327-$B$15,0)*$B$16*$B$7/12)-$B$9,0)),0)</f>
        <v/>
      </c>
      <c r="U328" s="179">
        <f>U327+(MIN(U327,$B$15)*$B$6+MAX(U327-$B$15,0)*$B$16*$B$7/12)-$B$9-MAX((MIN(U327,$B$15)*$B$6+MAX(U327-$B$15,0)*$B$16*$B$7/12)-$B$9-IF(AND(U$309&gt;0,$B$8&gt;0),MIN(U$309*$B$17,$B$13*MAX((MIN(U327,$B$15)*$B$6+MAX(U327-$B$15,0)*$B$16*$B$7/12)-$B$9,0)),0),0)*$B$8-(1-U$310)*IF(AND(U$309&gt;0,$B$8&gt;0),MIN(U$309*$B$17,$B$13*MAX((MIN(U327,$B$15)*$B$6+MAX(U327-$B$15,0)*$B$16*$B$7/12)-$B$9,0)),0)</f>
        <v/>
      </c>
      <c r="V328" s="179">
        <f>V327+(MIN(V327,$B$15)*$B$6+MAX(V327-$B$15,0)*$B$16*$B$7/12)-$B$9-MAX((MIN(V327,$B$15)*$B$6+MAX(V327-$B$15,0)*$B$16*$B$7/12)-$B$9-IF(AND(V$309&gt;0,$B$8&gt;0),MIN(V$309*$B$17,$B$13*MAX((MIN(V327,$B$15)*$B$6+MAX(V327-$B$15,0)*$B$16*$B$7/12)-$B$9,0)),0),0)*$B$8-(1-V$310)*IF(AND(V$309&gt;0,$B$8&gt;0),MIN(V$309*$B$17,$B$13*MAX((MIN(V327,$B$15)*$B$6+MAX(V327-$B$15,0)*$B$16*$B$7/12)-$B$9,0)),0)</f>
        <v/>
      </c>
      <c r="W328" s="179">
        <f>W327+(MIN(W327,$B$15)*$B$6+MAX(W327-$B$15,0)*$B$16*$B$7/12)-$B$9-MAX((MIN(W327,$B$15)*$B$6+MAX(W327-$B$15,0)*$B$16*$B$7/12)-$B$9-IF(AND(W$309&gt;0,$B$8&gt;0),MIN(W$309*$B$17,$B$13*MAX((MIN(W327,$B$15)*$B$6+MAX(W327-$B$15,0)*$B$16*$B$7/12)-$B$9,0)),0),0)*$B$8-(1-W$310)*IF(AND(W$309&gt;0,$B$8&gt;0),MIN(W$309*$B$17,$B$13*MAX((MIN(W327,$B$15)*$B$6+MAX(W327-$B$15,0)*$B$16*$B$7/12)-$B$9,0)),0)</f>
        <v/>
      </c>
      <c r="X328" s="179">
        <f>X327+(MIN(X327,$B$15)*$B$6+MAX(X327-$B$15,0)*$B$16*$B$7/12)-$B$9-MAX((MIN(X327,$B$15)*$B$6+MAX(X327-$B$15,0)*$B$16*$B$7/12)-$B$9-IF(AND(X$309&gt;0,$B$8&gt;0),MIN(X$309*$B$17,$B$13*MAX((MIN(X327,$B$15)*$B$6+MAX(X327-$B$15,0)*$B$16*$B$7/12)-$B$9,0)),0),0)*$B$8-(1-X$310)*IF(AND(X$309&gt;0,$B$8&gt;0),MIN(X$309*$B$17,$B$13*MAX((MIN(X327,$B$15)*$B$6+MAX(X327-$B$15,0)*$B$16*$B$7/12)-$B$9,0)),0)</f>
        <v/>
      </c>
      <c r="Y328" s="179">
        <f>Y327+(MIN(Y327,$B$15)*$B$6+MAX(Y327-$B$15,0)*$B$16*$B$7/12)-$B$9-MAX((MIN(Y327,$B$15)*$B$6+MAX(Y327-$B$15,0)*$B$16*$B$7/12)-$B$9-IF(AND(Y$309&gt;0,$B$8&gt;0),MIN(Y$309*$B$17,$B$13*MAX((MIN(Y327,$B$15)*$B$6+MAX(Y327-$B$15,0)*$B$16*$B$7/12)-$B$9,0)),0),0)*$B$8-(1-Y$310)*IF(AND(Y$309&gt;0,$B$8&gt;0),MIN(Y$309*$B$17,$B$13*MAX((MIN(Y327,$B$15)*$B$6+MAX(Y327-$B$15,0)*$B$16*$B$7/12)-$B$9,0)),0)</f>
        <v/>
      </c>
      <c r="Z328" s="179">
        <f>Z327+(MIN(Z327,$B$15)*$B$6+MAX(Z327-$B$15,0)*$B$16*$B$7/12)-$B$9-MAX((MIN(Z327,$B$15)*$B$6+MAX(Z327-$B$15,0)*$B$16*$B$7/12)-$B$9-IF(AND(Z$309&gt;0,$B$8&gt;0),MIN(Z$309*$B$17,$B$13*MAX((MIN(Z327,$B$15)*$B$6+MAX(Z327-$B$15,0)*$B$16*$B$7/12)-$B$9,0)),0),0)*$B$8-(1-Z$310)*IF(AND(Z$309&gt;0,$B$8&gt;0),MIN(Z$309*$B$17,$B$13*MAX((MIN(Z327,$B$15)*$B$6+MAX(Z327-$B$15,0)*$B$16*$B$7/12)-$B$9,0)),0)</f>
        <v/>
      </c>
      <c r="AA328" s="179">
        <f>AA327+(MIN(AA327,$B$15)*$B$6+MAX(AA327-$B$15,0)*$B$16*$B$7/12)-$B$9-MAX((MIN(AA327,$B$15)*$B$6+MAX(AA327-$B$15,0)*$B$16*$B$7/12)-$B$9-IF(AND(AA$309&gt;0,$B$8&gt;0),MIN(AA$309*$B$17,$B$13*MAX((MIN(AA327,$B$15)*$B$6+MAX(AA327-$B$15,0)*$B$16*$B$7/12)-$B$9,0)),0),0)*$B$8-(1-AA$310)*IF(AND(AA$309&gt;0,$B$8&gt;0),MIN(AA$309*$B$17,$B$13*MAX((MIN(AA327,$B$15)*$B$6+MAX(AA327-$B$15,0)*$B$16*$B$7/12)-$B$9,0)),0)</f>
        <v/>
      </c>
      <c r="AB328" s="179">
        <f>AB327+(MIN(AB327,$B$15)*$B$6+MAX(AB327-$B$15,0)*$B$16*$B$7/12)-$B$9-MAX((MIN(AB327,$B$15)*$B$6+MAX(AB327-$B$15,0)*$B$16*$B$7/12)-$B$9-IF(AND(AB$309&gt;0,$B$8&gt;0),MIN(AB$309*$B$17,$B$13*MAX((MIN(AB327,$B$15)*$B$6+MAX(AB327-$B$15,0)*$B$16*$B$7/12)-$B$9,0)),0),0)*$B$8-(1-AB$310)*IF(AND(AB$309&gt;0,$B$8&gt;0),MIN(AB$309*$B$17,$B$13*MAX((MIN(AB327,$B$15)*$B$6+MAX(AB327-$B$15,0)*$B$16*$B$7/12)-$B$9,0)),0)</f>
        <v/>
      </c>
      <c r="AC328" s="179">
        <f>AC327+(MIN(AC327,$B$15)*$B$6+MAX(AC327-$B$15,0)*$B$16*$B$7/12)-$B$9-MAX((MIN(AC327,$B$15)*$B$6+MAX(AC327-$B$15,0)*$B$16*$B$7/12)-$B$9-IF(AND(AC$309&gt;0,$B$8&gt;0),MIN(AC$309*$B$17,$B$13*MAX((MIN(AC327,$B$15)*$B$6+MAX(AC327-$B$15,0)*$B$16*$B$7/12)-$B$9,0)),0),0)*$B$8-(1-AC$310)*IF(AND(AC$309&gt;0,$B$8&gt;0),MIN(AC$309*$B$17,$B$13*MAX((MIN(AC327,$B$15)*$B$6+MAX(AC327-$B$15,0)*$B$16*$B$7/12)-$B$9,0)),0)</f>
        <v/>
      </c>
      <c r="AD328" s="179">
        <f>AD327+(MIN(AD327,$B$15)*$B$6+MAX(AD327-$B$15,0)*$B$16*$B$7/12)-$B$9-MAX((MIN(AD327,$B$15)*$B$6+MAX(AD327-$B$15,0)*$B$16*$B$7/12)-$B$9-IF(AND(AD$309&gt;0,$B$8&gt;0),MIN(AD$309*$B$17,$B$13*MAX((MIN(AD327,$B$15)*$B$6+MAX(AD327-$B$15,0)*$B$16*$B$7/12)-$B$9,0)),0),0)*$B$8-(1-AD$310)*IF(AND(AD$309&gt;0,$B$8&gt;0),MIN(AD$309*$B$17,$B$13*MAX((MIN(AD327,$B$15)*$B$6+MAX(AD327-$B$15,0)*$B$16*$B$7/12)-$B$9,0)),0)</f>
        <v/>
      </c>
      <c r="AE328" s="179">
        <f>AE327+(MIN(AE327,$B$15)*$B$6+MAX(AE327-$B$15,0)*$B$16*$B$7/12)-$B$9-MAX((MIN(AE327,$B$15)*$B$6+MAX(AE327-$B$15,0)*$B$16*$B$7/12)-$B$9-IF(AND(AE$309&gt;0,$B$8&gt;0),MIN(AE$309*$B$17,$B$13*MAX((MIN(AE327,$B$15)*$B$6+MAX(AE327-$B$15,0)*$B$16*$B$7/12)-$B$9,0)),0),0)*$B$8-(1-AE$310)*IF(AND(AE$309&gt;0,$B$8&gt;0),MIN(AE$309*$B$17,$B$13*MAX((MIN(AE327,$B$15)*$B$6+MAX(AE327-$B$15,0)*$B$16*$B$7/12)-$B$9,0)),0)</f>
        <v/>
      </c>
      <c r="AF328" s="179">
        <f>AF327+(MIN(AF327,$B$15)*$B$6+MAX(AF327-$B$15,0)*$B$16*$B$7/12)-$B$9-MAX((MIN(AF327,$B$15)*$B$6+MAX(AF327-$B$15,0)*$B$16*$B$7/12)-$B$9-IF(AND(AF$309&gt;0,$B$8&gt;0),MIN(AF$309*$B$17,$B$13*MAX((MIN(AF327,$B$15)*$B$6+MAX(AF327-$B$15,0)*$B$16*$B$7/12)-$B$9,0)),0),0)*$B$8-(1-AF$310)*IF(AND(AF$309&gt;0,$B$8&gt;0),MIN(AF$309*$B$17,$B$13*MAX((MIN(AF327,$B$15)*$B$6+MAX(AF327-$B$15,0)*$B$16*$B$7/12)-$B$9,0)),0)</f>
        <v/>
      </c>
      <c r="AG328" s="179">
        <f>AG327+(MIN(AG327,$B$15)*$B$6+MAX(AG327-$B$15,0)*$B$16*$B$7/12)-$B$9-MAX((MIN(AG327,$B$15)*$B$6+MAX(AG327-$B$15,0)*$B$16*$B$7/12)-$B$9-IF(AND(AG$309&gt;0,$B$8&gt;0),MIN(AG$309*$B$17,$B$13*MAX((MIN(AG327,$B$15)*$B$6+MAX(AG327-$B$15,0)*$B$16*$B$7/12)-$B$9,0)),0),0)*$B$8-(1-AG$310)*IF(AND(AG$309&gt;0,$B$8&gt;0),MIN(AG$309*$B$17,$B$13*MAX((MIN(AG327,$B$15)*$B$6+MAX(AG327-$B$15,0)*$B$16*$B$7/12)-$B$9,0)),0)</f>
        <v/>
      </c>
      <c r="AH328" s="179">
        <f>AH327+(MIN(AH327,$B$15)*$B$6+MAX(AH327-$B$15,0)*$B$16*$B$7/12)-$B$9-MAX((MIN(AH327,$B$15)*$B$6+MAX(AH327-$B$15,0)*$B$16*$B$7/12)-$B$9-IF(AND(AH$309&gt;0,$B$8&gt;0),MIN(AH$309*$B$17,$B$13*MAX((MIN(AH327,$B$15)*$B$6+MAX(AH327-$B$15,0)*$B$16*$B$7/12)-$B$9,0)),0),0)*$B$8-(1-AH$310)*IF(AND(AH$309&gt;0,$B$8&gt;0),MIN(AH$309*$B$17,$B$13*MAX((MIN(AH327,$B$15)*$B$6+MAX(AH327-$B$15,0)*$B$16*$B$7/12)-$B$9,0)),0)</f>
        <v/>
      </c>
      <c r="AI328" s="179">
        <f>AI327+(MIN(AI327,$B$15)*$B$6+MAX(AI327-$B$15,0)*$B$16*$B$7/12)-$B$9-MAX((MIN(AI327,$B$15)*$B$6+MAX(AI327-$B$15,0)*$B$16*$B$7/12)-$B$9-IF(AND(AI$309&gt;0,$B$8&gt;0),MIN(AI$309*$B$17,$B$13*MAX((MIN(AI327,$B$15)*$B$6+MAX(AI327-$B$15,0)*$B$16*$B$7/12)-$B$9,0)),0),0)*$B$8-(1-AI$310)*IF(AND(AI$309&gt;0,$B$8&gt;0),MIN(AI$309*$B$17,$B$13*MAX((MIN(AI327,$B$15)*$B$6+MAX(AI327-$B$15,0)*$B$16*$B$7/12)-$B$9,0)),0)</f>
        <v/>
      </c>
      <c r="AJ328" s="179">
        <f>AJ327+(MIN(AJ327,$B$15)*$B$6+MAX(AJ327-$B$15,0)*$B$16*$B$7/12)-$B$9-MAX((MIN(AJ327,$B$15)*$B$6+MAX(AJ327-$B$15,0)*$B$16*$B$7/12)-$B$9-IF(AND(AJ$309&gt;0,$B$8&gt;0),MIN(AJ$309*$B$17,$B$13*MAX((MIN(AJ327,$B$15)*$B$6+MAX(AJ327-$B$15,0)*$B$16*$B$7/12)-$B$9,0)),0),0)*$B$8-(1-AJ$310)*IF(AND(AJ$309&gt;0,$B$8&gt;0),MIN(AJ$309*$B$17,$B$13*MAX((MIN(AJ327,$B$15)*$B$6+MAX(AJ327-$B$15,0)*$B$16*$B$7/12)-$B$9,0)),0)</f>
        <v/>
      </c>
      <c r="AK328" s="179">
        <f>AK327+(MIN(AK327,$B$15)*$B$6+MAX(AK327-$B$15,0)*$B$16*$B$7/12)-$B$9-MAX((MIN(AK327,$B$15)*$B$6+MAX(AK327-$B$15,0)*$B$16*$B$7/12)-$B$9-IF(AND(AK$309&gt;0,$B$8&gt;0),MIN(AK$309*$B$17,$B$13*MAX((MIN(AK327,$B$15)*$B$6+MAX(AK327-$B$15,0)*$B$16*$B$7/12)-$B$9,0)),0),0)*$B$8-(1-AK$310)*IF(AND(AK$309&gt;0,$B$8&gt;0),MIN(AK$309*$B$17,$B$13*MAX((MIN(AK327,$B$15)*$B$6+MAX(AK327-$B$15,0)*$B$16*$B$7/12)-$B$9,0)),0)</f>
        <v/>
      </c>
      <c r="AL328" s="179">
        <f>AL327+(MIN(AL327,$B$15)*$B$6+MAX(AL327-$B$15,0)*$B$16*$B$7/12)-$B$9-MAX((MIN(AL327,$B$15)*$B$6+MAX(AL327-$B$15,0)*$B$16*$B$7/12)-$B$9-IF(AND(AL$309&gt;0,$B$8&gt;0),MIN(AL$309*$B$17,$B$13*MAX((MIN(AL327,$B$15)*$B$6+MAX(AL327-$B$15,0)*$B$16*$B$7/12)-$B$9,0)),0),0)*$B$8-(1-AL$310)*IF(AND(AL$309&gt;0,$B$8&gt;0),MIN(AL$309*$B$17,$B$13*MAX((MIN(AL327,$B$15)*$B$6+MAX(AL327-$B$15,0)*$B$16*$B$7/12)-$B$9,0)),0)</f>
        <v/>
      </c>
      <c r="AM328" s="179">
        <f>AM327+(MIN(AM327,$B$15)*$B$6+MAX(AM327-$B$15,0)*$B$16*$B$7/12)-$B$9-MAX((MIN(AM327,$B$15)*$B$6+MAX(AM327-$B$15,0)*$B$16*$B$7/12)-$B$9-IF(AND(AM$309&gt;0,$B$8&gt;0),MIN(AM$309*$B$17,$B$13*MAX((MIN(AM327,$B$15)*$B$6+MAX(AM327-$B$15,0)*$B$16*$B$7/12)-$B$9,0)),0),0)*$B$8-(1-AM$310)*IF(AND(AM$309&gt;0,$B$8&gt;0),MIN(AM$309*$B$17,$B$13*MAX((MIN(AM327,$B$15)*$B$6+MAX(AM327-$B$15,0)*$B$16*$B$7/12)-$B$9,0)),0)</f>
        <v/>
      </c>
      <c r="AN328" s="179">
        <f>AN327+(MIN(AN327,$B$15)*$B$6+MAX(AN327-$B$15,0)*$B$16*$B$7/12)-$B$9-MAX((MIN(AN327,$B$15)*$B$6+MAX(AN327-$B$15,0)*$B$16*$B$7/12)-$B$9-IF(AND(AN$309&gt;0,$B$8&gt;0),MIN(AN$309*$B$17,$B$13*MAX((MIN(AN327,$B$15)*$B$6+MAX(AN327-$B$15,0)*$B$16*$B$7/12)-$B$9,0)),0),0)*$B$8-(1-AN$310)*IF(AND(AN$309&gt;0,$B$8&gt;0),MIN(AN$309*$B$17,$B$13*MAX((MIN(AN327,$B$15)*$B$6+MAX(AN327-$B$15,0)*$B$16*$B$7/12)-$B$9,0)),0)</f>
        <v/>
      </c>
      <c r="AO328" s="179">
        <f>AO327+(MIN(AO327,$B$15)*$B$6+MAX(AO327-$B$15,0)*$B$16*$B$7/12)-$B$9-MAX((MIN(AO327,$B$15)*$B$6+MAX(AO327-$B$15,0)*$B$16*$B$7/12)-$B$9-IF(AND(AO$309&gt;0,$B$8&gt;0),MIN(AO$309*$B$17,$B$13*MAX((MIN(AO327,$B$15)*$B$6+MAX(AO327-$B$15,0)*$B$16*$B$7/12)-$B$9,0)),0),0)*$B$8-(1-AO$310)*IF(AND(AO$309&gt;0,$B$8&gt;0),MIN(AO$309*$B$17,$B$13*MAX((MIN(AO327,$B$15)*$B$6+MAX(AO327-$B$15,0)*$B$16*$B$7/12)-$B$9,0)),0)</f>
        <v/>
      </c>
      <c r="AP328" s="179">
        <f>AP327+(MIN(AP327,$B$15)*$B$6+MAX(AP327-$B$15,0)*$B$16*$B$7/12)-$B$9-MAX((MIN(AP327,$B$15)*$B$6+MAX(AP327-$B$15,0)*$B$16*$B$7/12)-$B$9-IF(AND(AP$309&gt;0,$B$8&gt;0),MIN(AP$309*$B$17,$B$13*MAX((MIN(AP327,$B$15)*$B$6+MAX(AP327-$B$15,0)*$B$16*$B$7/12)-$B$9,0)),0),0)*$B$8-(1-AP$310)*IF(AND(AP$309&gt;0,$B$8&gt;0),MIN(AP$309*$B$17,$B$13*MAX((MIN(AP327,$B$15)*$B$6+MAX(AP327-$B$15,0)*$B$16*$B$7/12)-$B$9,0)),0)</f>
        <v/>
      </c>
      <c r="AQ328" s="179">
        <f>AQ327+(MIN(AQ327,$B$15)*$B$6+MAX(AQ327-$B$15,0)*$B$16*$B$7/12)-$B$9-MAX((MIN(AQ327,$B$15)*$B$6+MAX(AQ327-$B$15,0)*$B$16*$B$7/12)-$B$9-IF(AND(AQ$309&gt;0,$B$8&gt;0),MIN(AQ$309*$B$17,$B$13*MAX((MIN(AQ327,$B$15)*$B$6+MAX(AQ327-$B$15,0)*$B$16*$B$7/12)-$B$9,0)),0),0)*$B$8-(1-AQ$310)*IF(AND(AQ$309&gt;0,$B$8&gt;0),MIN(AQ$309*$B$17,$B$13*MAX((MIN(AQ327,$B$15)*$B$6+MAX(AQ327-$B$15,0)*$B$16*$B$7/12)-$B$9,0)),0)</f>
        <v/>
      </c>
    </row>
    <row r="329" hidden="1" outlineLevel="1">
      <c r="A329" s="164" t="inlineStr">
        <is>
          <t>Cycle 19</t>
        </is>
      </c>
      <c r="B329" s="179">
        <f>B328+(MIN(B328,$B$15)*$B$6+MAX(B328-$B$15,0)*$B$16*$B$7/12)-$B$9-MAX((MIN(B328,$B$15)*$B$6+MAX(B328-$B$15,0)*$B$16*$B$7/12)-$B$9-IF(AND(B$309&gt;0,$B$8&gt;0),MIN(B$309*$B$17,$B$13*MAX((MIN(B328,$B$15)*$B$6+MAX(B328-$B$15,0)*$B$16*$B$7/12)-$B$9,0)),0),0)*$B$8-(1-B$310)*IF(AND(B$309&gt;0,$B$8&gt;0),MIN(B$309*$B$17,$B$13*MAX((MIN(B328,$B$15)*$B$6+MAX(B328-$B$15,0)*$B$16*$B$7/12)-$B$9,0)),0)</f>
        <v/>
      </c>
      <c r="C329" s="179">
        <f>C328+(MIN(C328,$B$15)*$B$6+MAX(C328-$B$15,0)*$B$16*$B$7/12)-$B$9-MAX((MIN(C328,$B$15)*$B$6+MAX(C328-$B$15,0)*$B$16*$B$7/12)-$B$9-IF(AND(C$309&gt;0,$B$8&gt;0),MIN(C$309*$B$17,$B$13*MAX((MIN(C328,$B$15)*$B$6+MAX(C328-$B$15,0)*$B$16*$B$7/12)-$B$9,0)),0),0)*$B$8-(1-C$310)*IF(AND(C$309&gt;0,$B$8&gt;0),MIN(C$309*$B$17,$B$13*MAX((MIN(C328,$B$15)*$B$6+MAX(C328-$B$15,0)*$B$16*$B$7/12)-$B$9,0)),0)</f>
        <v/>
      </c>
      <c r="D329" s="179">
        <f>D328+(MIN(D328,$B$15)*$B$6+MAX(D328-$B$15,0)*$B$16*$B$7/12)-$B$9-MAX((MIN(D328,$B$15)*$B$6+MAX(D328-$B$15,0)*$B$16*$B$7/12)-$B$9-IF(AND(D$309&gt;0,$B$8&gt;0),MIN(D$309*$B$17,$B$13*MAX((MIN(D328,$B$15)*$B$6+MAX(D328-$B$15,0)*$B$16*$B$7/12)-$B$9,0)),0),0)*$B$8-(1-D$310)*IF(AND(D$309&gt;0,$B$8&gt;0),MIN(D$309*$B$17,$B$13*MAX((MIN(D328,$B$15)*$B$6+MAX(D328-$B$15,0)*$B$16*$B$7/12)-$B$9,0)),0)</f>
        <v/>
      </c>
      <c r="E329" s="179">
        <f>E328+(MIN(E328,$B$15)*$B$6+MAX(E328-$B$15,0)*$B$16*$B$7/12)-$B$9-MAX((MIN(E328,$B$15)*$B$6+MAX(E328-$B$15,0)*$B$16*$B$7/12)-$B$9-IF(AND(E$309&gt;0,$B$8&gt;0),MIN(E$309*$B$17,$B$13*MAX((MIN(E328,$B$15)*$B$6+MAX(E328-$B$15,0)*$B$16*$B$7/12)-$B$9,0)),0),0)*$B$8-(1-E$310)*IF(AND(E$309&gt;0,$B$8&gt;0),MIN(E$309*$B$17,$B$13*MAX((MIN(E328,$B$15)*$B$6+MAX(E328-$B$15,0)*$B$16*$B$7/12)-$B$9,0)),0)</f>
        <v/>
      </c>
      <c r="F329" s="179">
        <f>F328+(MIN(F328,$B$15)*$B$6+MAX(F328-$B$15,0)*$B$16*$B$7/12)-$B$9-MAX((MIN(F328,$B$15)*$B$6+MAX(F328-$B$15,0)*$B$16*$B$7/12)-$B$9-IF(AND(F$309&gt;0,$B$8&gt;0),MIN(F$309*$B$17,$B$13*MAX((MIN(F328,$B$15)*$B$6+MAX(F328-$B$15,0)*$B$16*$B$7/12)-$B$9,0)),0),0)*$B$8-(1-F$310)*IF(AND(F$309&gt;0,$B$8&gt;0),MIN(F$309*$B$17,$B$13*MAX((MIN(F328,$B$15)*$B$6+MAX(F328-$B$15,0)*$B$16*$B$7/12)-$B$9,0)),0)</f>
        <v/>
      </c>
      <c r="G329" s="179">
        <f>G328+(MIN(G328,$B$15)*$B$6+MAX(G328-$B$15,0)*$B$16*$B$7/12)-$B$9-MAX((MIN(G328,$B$15)*$B$6+MAX(G328-$B$15,0)*$B$16*$B$7/12)-$B$9-IF(AND(G$309&gt;0,$B$8&gt;0),MIN(G$309*$B$17,$B$13*MAX((MIN(G328,$B$15)*$B$6+MAX(G328-$B$15,0)*$B$16*$B$7/12)-$B$9,0)),0),0)*$B$8-(1-G$310)*IF(AND(G$309&gt;0,$B$8&gt;0),MIN(G$309*$B$17,$B$13*MAX((MIN(G328,$B$15)*$B$6+MAX(G328-$B$15,0)*$B$16*$B$7/12)-$B$9,0)),0)</f>
        <v/>
      </c>
      <c r="H329" s="179">
        <f>H328+(MIN(H328,$B$15)*$B$6+MAX(H328-$B$15,0)*$B$16*$B$7/12)-$B$9-MAX((MIN(H328,$B$15)*$B$6+MAX(H328-$B$15,0)*$B$16*$B$7/12)-$B$9-IF(AND(H$309&gt;0,$B$8&gt;0),MIN(H$309*$B$17,$B$13*MAX((MIN(H328,$B$15)*$B$6+MAX(H328-$B$15,0)*$B$16*$B$7/12)-$B$9,0)),0),0)*$B$8-(1-H$310)*IF(AND(H$309&gt;0,$B$8&gt;0),MIN(H$309*$B$17,$B$13*MAX((MIN(H328,$B$15)*$B$6+MAX(H328-$B$15,0)*$B$16*$B$7/12)-$B$9,0)),0)</f>
        <v/>
      </c>
      <c r="I329" s="179">
        <f>I328+(MIN(I328,$B$15)*$B$6+MAX(I328-$B$15,0)*$B$16*$B$7/12)-$B$9-MAX((MIN(I328,$B$15)*$B$6+MAX(I328-$B$15,0)*$B$16*$B$7/12)-$B$9-IF(AND(I$309&gt;0,$B$8&gt;0),MIN(I$309*$B$17,$B$13*MAX((MIN(I328,$B$15)*$B$6+MAX(I328-$B$15,0)*$B$16*$B$7/12)-$B$9,0)),0),0)*$B$8-(1-I$310)*IF(AND(I$309&gt;0,$B$8&gt;0),MIN(I$309*$B$17,$B$13*MAX((MIN(I328,$B$15)*$B$6+MAX(I328-$B$15,0)*$B$16*$B$7/12)-$B$9,0)),0)</f>
        <v/>
      </c>
      <c r="J329" s="179">
        <f>J328+(MIN(J328,$B$15)*$B$6+MAX(J328-$B$15,0)*$B$16*$B$7/12)-$B$9-MAX((MIN(J328,$B$15)*$B$6+MAX(J328-$B$15,0)*$B$16*$B$7/12)-$B$9-IF(AND(J$309&gt;0,$B$8&gt;0),MIN(J$309*$B$17,$B$13*MAX((MIN(J328,$B$15)*$B$6+MAX(J328-$B$15,0)*$B$16*$B$7/12)-$B$9,0)),0),0)*$B$8-(1-J$310)*IF(AND(J$309&gt;0,$B$8&gt;0),MIN(J$309*$B$17,$B$13*MAX((MIN(J328,$B$15)*$B$6+MAX(J328-$B$15,0)*$B$16*$B$7/12)-$B$9,0)),0)</f>
        <v/>
      </c>
      <c r="K329" s="179">
        <f>K328+(MIN(K328,$B$15)*$B$6+MAX(K328-$B$15,0)*$B$16*$B$7/12)-$B$9-MAX((MIN(K328,$B$15)*$B$6+MAX(K328-$B$15,0)*$B$16*$B$7/12)-$B$9-IF(AND(K$309&gt;0,$B$8&gt;0),MIN(K$309*$B$17,$B$13*MAX((MIN(K328,$B$15)*$B$6+MAX(K328-$B$15,0)*$B$16*$B$7/12)-$B$9,0)),0),0)*$B$8-(1-K$310)*IF(AND(K$309&gt;0,$B$8&gt;0),MIN(K$309*$B$17,$B$13*MAX((MIN(K328,$B$15)*$B$6+MAX(K328-$B$15,0)*$B$16*$B$7/12)-$B$9,0)),0)</f>
        <v/>
      </c>
      <c r="L329" s="179">
        <f>L328+(MIN(L328,$B$15)*$B$6+MAX(L328-$B$15,0)*$B$16*$B$7/12)-$B$9-MAX((MIN(L328,$B$15)*$B$6+MAX(L328-$B$15,0)*$B$16*$B$7/12)-$B$9-IF(AND(L$309&gt;0,$B$8&gt;0),MIN(L$309*$B$17,$B$13*MAX((MIN(L328,$B$15)*$B$6+MAX(L328-$B$15,0)*$B$16*$B$7/12)-$B$9,0)),0),0)*$B$8-(1-L$310)*IF(AND(L$309&gt;0,$B$8&gt;0),MIN(L$309*$B$17,$B$13*MAX((MIN(L328,$B$15)*$B$6+MAX(L328-$B$15,0)*$B$16*$B$7/12)-$B$9,0)),0)</f>
        <v/>
      </c>
      <c r="M329" s="179">
        <f>M328+(MIN(M328,$B$15)*$B$6+MAX(M328-$B$15,0)*$B$16*$B$7/12)-$B$9-MAX((MIN(M328,$B$15)*$B$6+MAX(M328-$B$15,0)*$B$16*$B$7/12)-$B$9-IF(AND(M$309&gt;0,$B$8&gt;0),MIN(M$309*$B$17,$B$13*MAX((MIN(M328,$B$15)*$B$6+MAX(M328-$B$15,0)*$B$16*$B$7/12)-$B$9,0)),0),0)*$B$8-(1-M$310)*IF(AND(M$309&gt;0,$B$8&gt;0),MIN(M$309*$B$17,$B$13*MAX((MIN(M328,$B$15)*$B$6+MAX(M328-$B$15,0)*$B$16*$B$7/12)-$B$9,0)),0)</f>
        <v/>
      </c>
      <c r="N329" s="179">
        <f>N328+(MIN(N328,$B$15)*$B$6+MAX(N328-$B$15,0)*$B$16*$B$7/12)-$B$9-MAX((MIN(N328,$B$15)*$B$6+MAX(N328-$B$15,0)*$B$16*$B$7/12)-$B$9-IF(AND(N$309&gt;0,$B$8&gt;0),MIN(N$309*$B$17,$B$13*MAX((MIN(N328,$B$15)*$B$6+MAX(N328-$B$15,0)*$B$16*$B$7/12)-$B$9,0)),0),0)*$B$8-(1-N$310)*IF(AND(N$309&gt;0,$B$8&gt;0),MIN(N$309*$B$17,$B$13*MAX((MIN(N328,$B$15)*$B$6+MAX(N328-$B$15,0)*$B$16*$B$7/12)-$B$9,0)),0)</f>
        <v/>
      </c>
      <c r="O329" s="179">
        <f>O328+(MIN(O328,$B$15)*$B$6+MAX(O328-$B$15,0)*$B$16*$B$7/12)-$B$9-MAX((MIN(O328,$B$15)*$B$6+MAX(O328-$B$15,0)*$B$16*$B$7/12)-$B$9-IF(AND(O$309&gt;0,$B$8&gt;0),MIN(O$309*$B$17,$B$13*MAX((MIN(O328,$B$15)*$B$6+MAX(O328-$B$15,0)*$B$16*$B$7/12)-$B$9,0)),0),0)*$B$8-(1-O$310)*IF(AND(O$309&gt;0,$B$8&gt;0),MIN(O$309*$B$17,$B$13*MAX((MIN(O328,$B$15)*$B$6+MAX(O328-$B$15,0)*$B$16*$B$7/12)-$B$9,0)),0)</f>
        <v/>
      </c>
      <c r="P329" s="179">
        <f>P328+(MIN(P328,$B$15)*$B$6+MAX(P328-$B$15,0)*$B$16*$B$7/12)-$B$9-MAX((MIN(P328,$B$15)*$B$6+MAX(P328-$B$15,0)*$B$16*$B$7/12)-$B$9-IF(AND(P$309&gt;0,$B$8&gt;0),MIN(P$309*$B$17,$B$13*MAX((MIN(P328,$B$15)*$B$6+MAX(P328-$B$15,0)*$B$16*$B$7/12)-$B$9,0)),0),0)*$B$8-(1-P$310)*IF(AND(P$309&gt;0,$B$8&gt;0),MIN(P$309*$B$17,$B$13*MAX((MIN(P328,$B$15)*$B$6+MAX(P328-$B$15,0)*$B$16*$B$7/12)-$B$9,0)),0)</f>
        <v/>
      </c>
      <c r="Q329" s="179">
        <f>Q328+(MIN(Q328,$B$15)*$B$6+MAX(Q328-$B$15,0)*$B$16*$B$7/12)-$B$9-MAX((MIN(Q328,$B$15)*$B$6+MAX(Q328-$B$15,0)*$B$16*$B$7/12)-$B$9-IF(AND(Q$309&gt;0,$B$8&gt;0),MIN(Q$309*$B$17,$B$13*MAX((MIN(Q328,$B$15)*$B$6+MAX(Q328-$B$15,0)*$B$16*$B$7/12)-$B$9,0)),0),0)*$B$8-(1-Q$310)*IF(AND(Q$309&gt;0,$B$8&gt;0),MIN(Q$309*$B$17,$B$13*MAX((MIN(Q328,$B$15)*$B$6+MAX(Q328-$B$15,0)*$B$16*$B$7/12)-$B$9,0)),0)</f>
        <v/>
      </c>
      <c r="R329" s="179">
        <f>R328+(MIN(R328,$B$15)*$B$6+MAX(R328-$B$15,0)*$B$16*$B$7/12)-$B$9-MAX((MIN(R328,$B$15)*$B$6+MAX(R328-$B$15,0)*$B$16*$B$7/12)-$B$9-IF(AND(R$309&gt;0,$B$8&gt;0),MIN(R$309*$B$17,$B$13*MAX((MIN(R328,$B$15)*$B$6+MAX(R328-$B$15,0)*$B$16*$B$7/12)-$B$9,0)),0),0)*$B$8-(1-R$310)*IF(AND(R$309&gt;0,$B$8&gt;0),MIN(R$309*$B$17,$B$13*MAX((MIN(R328,$B$15)*$B$6+MAX(R328-$B$15,0)*$B$16*$B$7/12)-$B$9,0)),0)</f>
        <v/>
      </c>
      <c r="S329" s="179">
        <f>S328+(MIN(S328,$B$15)*$B$6+MAX(S328-$B$15,0)*$B$16*$B$7/12)-$B$9-MAX((MIN(S328,$B$15)*$B$6+MAX(S328-$B$15,0)*$B$16*$B$7/12)-$B$9-IF(AND(S$309&gt;0,$B$8&gt;0),MIN(S$309*$B$17,$B$13*MAX((MIN(S328,$B$15)*$B$6+MAX(S328-$B$15,0)*$B$16*$B$7/12)-$B$9,0)),0),0)*$B$8-(1-S$310)*IF(AND(S$309&gt;0,$B$8&gt;0),MIN(S$309*$B$17,$B$13*MAX((MIN(S328,$B$15)*$B$6+MAX(S328-$B$15,0)*$B$16*$B$7/12)-$B$9,0)),0)</f>
        <v/>
      </c>
      <c r="T329" s="179">
        <f>T328+(MIN(T328,$B$15)*$B$6+MAX(T328-$B$15,0)*$B$16*$B$7/12)-$B$9-MAX((MIN(T328,$B$15)*$B$6+MAX(T328-$B$15,0)*$B$16*$B$7/12)-$B$9-IF(AND(T$309&gt;0,$B$8&gt;0),MIN(T$309*$B$17,$B$13*MAX((MIN(T328,$B$15)*$B$6+MAX(T328-$B$15,0)*$B$16*$B$7/12)-$B$9,0)),0),0)*$B$8-(1-T$310)*IF(AND(T$309&gt;0,$B$8&gt;0),MIN(T$309*$B$17,$B$13*MAX((MIN(T328,$B$15)*$B$6+MAX(T328-$B$15,0)*$B$16*$B$7/12)-$B$9,0)),0)</f>
        <v/>
      </c>
      <c r="U329" s="179">
        <f>U328+(MIN(U328,$B$15)*$B$6+MAX(U328-$B$15,0)*$B$16*$B$7/12)-$B$9-MAX((MIN(U328,$B$15)*$B$6+MAX(U328-$B$15,0)*$B$16*$B$7/12)-$B$9-IF(AND(U$309&gt;0,$B$8&gt;0),MIN(U$309*$B$17,$B$13*MAX((MIN(U328,$B$15)*$B$6+MAX(U328-$B$15,0)*$B$16*$B$7/12)-$B$9,0)),0),0)*$B$8-(1-U$310)*IF(AND(U$309&gt;0,$B$8&gt;0),MIN(U$309*$B$17,$B$13*MAX((MIN(U328,$B$15)*$B$6+MAX(U328-$B$15,0)*$B$16*$B$7/12)-$B$9,0)),0)</f>
        <v/>
      </c>
      <c r="V329" s="179">
        <f>V328+(MIN(V328,$B$15)*$B$6+MAX(V328-$B$15,0)*$B$16*$B$7/12)-$B$9-MAX((MIN(V328,$B$15)*$B$6+MAX(V328-$B$15,0)*$B$16*$B$7/12)-$B$9-IF(AND(V$309&gt;0,$B$8&gt;0),MIN(V$309*$B$17,$B$13*MAX((MIN(V328,$B$15)*$B$6+MAX(V328-$B$15,0)*$B$16*$B$7/12)-$B$9,0)),0),0)*$B$8-(1-V$310)*IF(AND(V$309&gt;0,$B$8&gt;0),MIN(V$309*$B$17,$B$13*MAX((MIN(V328,$B$15)*$B$6+MAX(V328-$B$15,0)*$B$16*$B$7/12)-$B$9,0)),0)</f>
        <v/>
      </c>
      <c r="W329" s="179">
        <f>W328+(MIN(W328,$B$15)*$B$6+MAX(W328-$B$15,0)*$B$16*$B$7/12)-$B$9-MAX((MIN(W328,$B$15)*$B$6+MAX(W328-$B$15,0)*$B$16*$B$7/12)-$B$9-IF(AND(W$309&gt;0,$B$8&gt;0),MIN(W$309*$B$17,$B$13*MAX((MIN(W328,$B$15)*$B$6+MAX(W328-$B$15,0)*$B$16*$B$7/12)-$B$9,0)),0),0)*$B$8-(1-W$310)*IF(AND(W$309&gt;0,$B$8&gt;0),MIN(W$309*$B$17,$B$13*MAX((MIN(W328,$B$15)*$B$6+MAX(W328-$B$15,0)*$B$16*$B$7/12)-$B$9,0)),0)</f>
        <v/>
      </c>
      <c r="X329" s="179">
        <f>X328+(MIN(X328,$B$15)*$B$6+MAX(X328-$B$15,0)*$B$16*$B$7/12)-$B$9-MAX((MIN(X328,$B$15)*$B$6+MAX(X328-$B$15,0)*$B$16*$B$7/12)-$B$9-IF(AND(X$309&gt;0,$B$8&gt;0),MIN(X$309*$B$17,$B$13*MAX((MIN(X328,$B$15)*$B$6+MAX(X328-$B$15,0)*$B$16*$B$7/12)-$B$9,0)),0),0)*$B$8-(1-X$310)*IF(AND(X$309&gt;0,$B$8&gt;0),MIN(X$309*$B$17,$B$13*MAX((MIN(X328,$B$15)*$B$6+MAX(X328-$B$15,0)*$B$16*$B$7/12)-$B$9,0)),0)</f>
        <v/>
      </c>
      <c r="Y329" s="179">
        <f>Y328+(MIN(Y328,$B$15)*$B$6+MAX(Y328-$B$15,0)*$B$16*$B$7/12)-$B$9-MAX((MIN(Y328,$B$15)*$B$6+MAX(Y328-$B$15,0)*$B$16*$B$7/12)-$B$9-IF(AND(Y$309&gt;0,$B$8&gt;0),MIN(Y$309*$B$17,$B$13*MAX((MIN(Y328,$B$15)*$B$6+MAX(Y328-$B$15,0)*$B$16*$B$7/12)-$B$9,0)),0),0)*$B$8-(1-Y$310)*IF(AND(Y$309&gt;0,$B$8&gt;0),MIN(Y$309*$B$17,$B$13*MAX((MIN(Y328,$B$15)*$B$6+MAX(Y328-$B$15,0)*$B$16*$B$7/12)-$B$9,0)),0)</f>
        <v/>
      </c>
      <c r="Z329" s="179">
        <f>Z328+(MIN(Z328,$B$15)*$B$6+MAX(Z328-$B$15,0)*$B$16*$B$7/12)-$B$9-MAX((MIN(Z328,$B$15)*$B$6+MAX(Z328-$B$15,0)*$B$16*$B$7/12)-$B$9-IF(AND(Z$309&gt;0,$B$8&gt;0),MIN(Z$309*$B$17,$B$13*MAX((MIN(Z328,$B$15)*$B$6+MAX(Z328-$B$15,0)*$B$16*$B$7/12)-$B$9,0)),0),0)*$B$8-(1-Z$310)*IF(AND(Z$309&gt;0,$B$8&gt;0),MIN(Z$309*$B$17,$B$13*MAX((MIN(Z328,$B$15)*$B$6+MAX(Z328-$B$15,0)*$B$16*$B$7/12)-$B$9,0)),0)</f>
        <v/>
      </c>
      <c r="AA329" s="179">
        <f>AA328+(MIN(AA328,$B$15)*$B$6+MAX(AA328-$B$15,0)*$B$16*$B$7/12)-$B$9-MAX((MIN(AA328,$B$15)*$B$6+MAX(AA328-$B$15,0)*$B$16*$B$7/12)-$B$9-IF(AND(AA$309&gt;0,$B$8&gt;0),MIN(AA$309*$B$17,$B$13*MAX((MIN(AA328,$B$15)*$B$6+MAX(AA328-$B$15,0)*$B$16*$B$7/12)-$B$9,0)),0),0)*$B$8-(1-AA$310)*IF(AND(AA$309&gt;0,$B$8&gt;0),MIN(AA$309*$B$17,$B$13*MAX((MIN(AA328,$B$15)*$B$6+MAX(AA328-$B$15,0)*$B$16*$B$7/12)-$B$9,0)),0)</f>
        <v/>
      </c>
      <c r="AB329" s="179">
        <f>AB328+(MIN(AB328,$B$15)*$B$6+MAX(AB328-$B$15,0)*$B$16*$B$7/12)-$B$9-MAX((MIN(AB328,$B$15)*$B$6+MAX(AB328-$B$15,0)*$B$16*$B$7/12)-$B$9-IF(AND(AB$309&gt;0,$B$8&gt;0),MIN(AB$309*$B$17,$B$13*MAX((MIN(AB328,$B$15)*$B$6+MAX(AB328-$B$15,0)*$B$16*$B$7/12)-$B$9,0)),0),0)*$B$8-(1-AB$310)*IF(AND(AB$309&gt;0,$B$8&gt;0),MIN(AB$309*$B$17,$B$13*MAX((MIN(AB328,$B$15)*$B$6+MAX(AB328-$B$15,0)*$B$16*$B$7/12)-$B$9,0)),0)</f>
        <v/>
      </c>
      <c r="AC329" s="179">
        <f>AC328+(MIN(AC328,$B$15)*$B$6+MAX(AC328-$B$15,0)*$B$16*$B$7/12)-$B$9-MAX((MIN(AC328,$B$15)*$B$6+MAX(AC328-$B$15,0)*$B$16*$B$7/12)-$B$9-IF(AND(AC$309&gt;0,$B$8&gt;0),MIN(AC$309*$B$17,$B$13*MAX((MIN(AC328,$B$15)*$B$6+MAX(AC328-$B$15,0)*$B$16*$B$7/12)-$B$9,0)),0),0)*$B$8-(1-AC$310)*IF(AND(AC$309&gt;0,$B$8&gt;0),MIN(AC$309*$B$17,$B$13*MAX((MIN(AC328,$B$15)*$B$6+MAX(AC328-$B$15,0)*$B$16*$B$7/12)-$B$9,0)),0)</f>
        <v/>
      </c>
      <c r="AD329" s="179">
        <f>AD328+(MIN(AD328,$B$15)*$B$6+MAX(AD328-$B$15,0)*$B$16*$B$7/12)-$B$9-MAX((MIN(AD328,$B$15)*$B$6+MAX(AD328-$B$15,0)*$B$16*$B$7/12)-$B$9-IF(AND(AD$309&gt;0,$B$8&gt;0),MIN(AD$309*$B$17,$B$13*MAX((MIN(AD328,$B$15)*$B$6+MAX(AD328-$B$15,0)*$B$16*$B$7/12)-$B$9,0)),0),0)*$B$8-(1-AD$310)*IF(AND(AD$309&gt;0,$B$8&gt;0),MIN(AD$309*$B$17,$B$13*MAX((MIN(AD328,$B$15)*$B$6+MAX(AD328-$B$15,0)*$B$16*$B$7/12)-$B$9,0)),0)</f>
        <v/>
      </c>
      <c r="AE329" s="179">
        <f>AE328+(MIN(AE328,$B$15)*$B$6+MAX(AE328-$B$15,0)*$B$16*$B$7/12)-$B$9-MAX((MIN(AE328,$B$15)*$B$6+MAX(AE328-$B$15,0)*$B$16*$B$7/12)-$B$9-IF(AND(AE$309&gt;0,$B$8&gt;0),MIN(AE$309*$B$17,$B$13*MAX((MIN(AE328,$B$15)*$B$6+MAX(AE328-$B$15,0)*$B$16*$B$7/12)-$B$9,0)),0),0)*$B$8-(1-AE$310)*IF(AND(AE$309&gt;0,$B$8&gt;0),MIN(AE$309*$B$17,$B$13*MAX((MIN(AE328,$B$15)*$B$6+MAX(AE328-$B$15,0)*$B$16*$B$7/12)-$B$9,0)),0)</f>
        <v/>
      </c>
      <c r="AF329" s="179">
        <f>AF328+(MIN(AF328,$B$15)*$B$6+MAX(AF328-$B$15,0)*$B$16*$B$7/12)-$B$9-MAX((MIN(AF328,$B$15)*$B$6+MAX(AF328-$B$15,0)*$B$16*$B$7/12)-$B$9-IF(AND(AF$309&gt;0,$B$8&gt;0),MIN(AF$309*$B$17,$B$13*MAX((MIN(AF328,$B$15)*$B$6+MAX(AF328-$B$15,0)*$B$16*$B$7/12)-$B$9,0)),0),0)*$B$8-(1-AF$310)*IF(AND(AF$309&gt;0,$B$8&gt;0),MIN(AF$309*$B$17,$B$13*MAX((MIN(AF328,$B$15)*$B$6+MAX(AF328-$B$15,0)*$B$16*$B$7/12)-$B$9,0)),0)</f>
        <v/>
      </c>
      <c r="AG329" s="179">
        <f>AG328+(MIN(AG328,$B$15)*$B$6+MAX(AG328-$B$15,0)*$B$16*$B$7/12)-$B$9-MAX((MIN(AG328,$B$15)*$B$6+MAX(AG328-$B$15,0)*$B$16*$B$7/12)-$B$9-IF(AND(AG$309&gt;0,$B$8&gt;0),MIN(AG$309*$B$17,$B$13*MAX((MIN(AG328,$B$15)*$B$6+MAX(AG328-$B$15,0)*$B$16*$B$7/12)-$B$9,0)),0),0)*$B$8-(1-AG$310)*IF(AND(AG$309&gt;0,$B$8&gt;0),MIN(AG$309*$B$17,$B$13*MAX((MIN(AG328,$B$15)*$B$6+MAX(AG328-$B$15,0)*$B$16*$B$7/12)-$B$9,0)),0)</f>
        <v/>
      </c>
      <c r="AH329" s="179">
        <f>AH328+(MIN(AH328,$B$15)*$B$6+MAX(AH328-$B$15,0)*$B$16*$B$7/12)-$B$9-MAX((MIN(AH328,$B$15)*$B$6+MAX(AH328-$B$15,0)*$B$16*$B$7/12)-$B$9-IF(AND(AH$309&gt;0,$B$8&gt;0),MIN(AH$309*$B$17,$B$13*MAX((MIN(AH328,$B$15)*$B$6+MAX(AH328-$B$15,0)*$B$16*$B$7/12)-$B$9,0)),0),0)*$B$8-(1-AH$310)*IF(AND(AH$309&gt;0,$B$8&gt;0),MIN(AH$309*$B$17,$B$13*MAX((MIN(AH328,$B$15)*$B$6+MAX(AH328-$B$15,0)*$B$16*$B$7/12)-$B$9,0)),0)</f>
        <v/>
      </c>
      <c r="AI329" s="179">
        <f>AI328+(MIN(AI328,$B$15)*$B$6+MAX(AI328-$B$15,0)*$B$16*$B$7/12)-$B$9-MAX((MIN(AI328,$B$15)*$B$6+MAX(AI328-$B$15,0)*$B$16*$B$7/12)-$B$9-IF(AND(AI$309&gt;0,$B$8&gt;0),MIN(AI$309*$B$17,$B$13*MAX((MIN(AI328,$B$15)*$B$6+MAX(AI328-$B$15,0)*$B$16*$B$7/12)-$B$9,0)),0),0)*$B$8-(1-AI$310)*IF(AND(AI$309&gt;0,$B$8&gt;0),MIN(AI$309*$B$17,$B$13*MAX((MIN(AI328,$B$15)*$B$6+MAX(AI328-$B$15,0)*$B$16*$B$7/12)-$B$9,0)),0)</f>
        <v/>
      </c>
      <c r="AJ329" s="179">
        <f>AJ328+(MIN(AJ328,$B$15)*$B$6+MAX(AJ328-$B$15,0)*$B$16*$B$7/12)-$B$9-MAX((MIN(AJ328,$B$15)*$B$6+MAX(AJ328-$B$15,0)*$B$16*$B$7/12)-$B$9-IF(AND(AJ$309&gt;0,$B$8&gt;0),MIN(AJ$309*$B$17,$B$13*MAX((MIN(AJ328,$B$15)*$B$6+MAX(AJ328-$B$15,0)*$B$16*$B$7/12)-$B$9,0)),0),0)*$B$8-(1-AJ$310)*IF(AND(AJ$309&gt;0,$B$8&gt;0),MIN(AJ$309*$B$17,$B$13*MAX((MIN(AJ328,$B$15)*$B$6+MAX(AJ328-$B$15,0)*$B$16*$B$7/12)-$B$9,0)),0)</f>
        <v/>
      </c>
      <c r="AK329" s="179">
        <f>AK328+(MIN(AK328,$B$15)*$B$6+MAX(AK328-$B$15,0)*$B$16*$B$7/12)-$B$9-MAX((MIN(AK328,$B$15)*$B$6+MAX(AK328-$B$15,0)*$B$16*$B$7/12)-$B$9-IF(AND(AK$309&gt;0,$B$8&gt;0),MIN(AK$309*$B$17,$B$13*MAX((MIN(AK328,$B$15)*$B$6+MAX(AK328-$B$15,0)*$B$16*$B$7/12)-$B$9,0)),0),0)*$B$8-(1-AK$310)*IF(AND(AK$309&gt;0,$B$8&gt;0),MIN(AK$309*$B$17,$B$13*MAX((MIN(AK328,$B$15)*$B$6+MAX(AK328-$B$15,0)*$B$16*$B$7/12)-$B$9,0)),0)</f>
        <v/>
      </c>
      <c r="AL329" s="179">
        <f>AL328+(MIN(AL328,$B$15)*$B$6+MAX(AL328-$B$15,0)*$B$16*$B$7/12)-$B$9-MAX((MIN(AL328,$B$15)*$B$6+MAX(AL328-$B$15,0)*$B$16*$B$7/12)-$B$9-IF(AND(AL$309&gt;0,$B$8&gt;0),MIN(AL$309*$B$17,$B$13*MAX((MIN(AL328,$B$15)*$B$6+MAX(AL328-$B$15,0)*$B$16*$B$7/12)-$B$9,0)),0),0)*$B$8-(1-AL$310)*IF(AND(AL$309&gt;0,$B$8&gt;0),MIN(AL$309*$B$17,$B$13*MAX((MIN(AL328,$B$15)*$B$6+MAX(AL328-$B$15,0)*$B$16*$B$7/12)-$B$9,0)),0)</f>
        <v/>
      </c>
      <c r="AM329" s="179">
        <f>AM328+(MIN(AM328,$B$15)*$B$6+MAX(AM328-$B$15,0)*$B$16*$B$7/12)-$B$9-MAX((MIN(AM328,$B$15)*$B$6+MAX(AM328-$B$15,0)*$B$16*$B$7/12)-$B$9-IF(AND(AM$309&gt;0,$B$8&gt;0),MIN(AM$309*$B$17,$B$13*MAX((MIN(AM328,$B$15)*$B$6+MAX(AM328-$B$15,0)*$B$16*$B$7/12)-$B$9,0)),0),0)*$B$8-(1-AM$310)*IF(AND(AM$309&gt;0,$B$8&gt;0),MIN(AM$309*$B$17,$B$13*MAX((MIN(AM328,$B$15)*$B$6+MAX(AM328-$B$15,0)*$B$16*$B$7/12)-$B$9,0)),0)</f>
        <v/>
      </c>
      <c r="AN329" s="179">
        <f>AN328+(MIN(AN328,$B$15)*$B$6+MAX(AN328-$B$15,0)*$B$16*$B$7/12)-$B$9-MAX((MIN(AN328,$B$15)*$B$6+MAX(AN328-$B$15,0)*$B$16*$B$7/12)-$B$9-IF(AND(AN$309&gt;0,$B$8&gt;0),MIN(AN$309*$B$17,$B$13*MAX((MIN(AN328,$B$15)*$B$6+MAX(AN328-$B$15,0)*$B$16*$B$7/12)-$B$9,0)),0),0)*$B$8-(1-AN$310)*IF(AND(AN$309&gt;0,$B$8&gt;0),MIN(AN$309*$B$17,$B$13*MAX((MIN(AN328,$B$15)*$B$6+MAX(AN328-$B$15,0)*$B$16*$B$7/12)-$B$9,0)),0)</f>
        <v/>
      </c>
      <c r="AO329" s="179">
        <f>AO328+(MIN(AO328,$B$15)*$B$6+MAX(AO328-$B$15,0)*$B$16*$B$7/12)-$B$9-MAX((MIN(AO328,$B$15)*$B$6+MAX(AO328-$B$15,0)*$B$16*$B$7/12)-$B$9-IF(AND(AO$309&gt;0,$B$8&gt;0),MIN(AO$309*$B$17,$B$13*MAX((MIN(AO328,$B$15)*$B$6+MAX(AO328-$B$15,0)*$B$16*$B$7/12)-$B$9,0)),0),0)*$B$8-(1-AO$310)*IF(AND(AO$309&gt;0,$B$8&gt;0),MIN(AO$309*$B$17,$B$13*MAX((MIN(AO328,$B$15)*$B$6+MAX(AO328-$B$15,0)*$B$16*$B$7/12)-$B$9,0)),0)</f>
        <v/>
      </c>
      <c r="AP329" s="179">
        <f>AP328+(MIN(AP328,$B$15)*$B$6+MAX(AP328-$B$15,0)*$B$16*$B$7/12)-$B$9-MAX((MIN(AP328,$B$15)*$B$6+MAX(AP328-$B$15,0)*$B$16*$B$7/12)-$B$9-IF(AND(AP$309&gt;0,$B$8&gt;0),MIN(AP$309*$B$17,$B$13*MAX((MIN(AP328,$B$15)*$B$6+MAX(AP328-$B$15,0)*$B$16*$B$7/12)-$B$9,0)),0),0)*$B$8-(1-AP$310)*IF(AND(AP$309&gt;0,$B$8&gt;0),MIN(AP$309*$B$17,$B$13*MAX((MIN(AP328,$B$15)*$B$6+MAX(AP328-$B$15,0)*$B$16*$B$7/12)-$B$9,0)),0)</f>
        <v/>
      </c>
      <c r="AQ329" s="179">
        <f>AQ328+(MIN(AQ328,$B$15)*$B$6+MAX(AQ328-$B$15,0)*$B$16*$B$7/12)-$B$9-MAX((MIN(AQ328,$B$15)*$B$6+MAX(AQ328-$B$15,0)*$B$16*$B$7/12)-$B$9-IF(AND(AQ$309&gt;0,$B$8&gt;0),MIN(AQ$309*$B$17,$B$13*MAX((MIN(AQ328,$B$15)*$B$6+MAX(AQ328-$B$15,0)*$B$16*$B$7/12)-$B$9,0)),0),0)*$B$8-(1-AQ$310)*IF(AND(AQ$309&gt;0,$B$8&gt;0),MIN(AQ$309*$B$17,$B$13*MAX((MIN(AQ328,$B$15)*$B$6+MAX(AQ328-$B$15,0)*$B$16*$B$7/12)-$B$9,0)),0)</f>
        <v/>
      </c>
    </row>
    <row r="330" hidden="1" outlineLevel="1">
      <c r="A330" s="164" t="inlineStr">
        <is>
          <t>Cycle 20</t>
        </is>
      </c>
      <c r="B330" s="179">
        <f>B329+(MIN(B329,$B$15)*$B$6+MAX(B329-$B$15,0)*$B$16*$B$7/12)-$B$9-MAX((MIN(B329,$B$15)*$B$6+MAX(B329-$B$15,0)*$B$16*$B$7/12)-$B$9-IF(AND(B$309&gt;0,$B$8&gt;0),MIN(B$309*$B$17,$B$13*MAX((MIN(B329,$B$15)*$B$6+MAX(B329-$B$15,0)*$B$16*$B$7/12)-$B$9,0)),0),0)*$B$8-(1-B$310)*IF(AND(B$309&gt;0,$B$8&gt;0),MIN(B$309*$B$17,$B$13*MAX((MIN(B329,$B$15)*$B$6+MAX(B329-$B$15,0)*$B$16*$B$7/12)-$B$9,0)),0)</f>
        <v/>
      </c>
      <c r="C330" s="179">
        <f>C329+(MIN(C329,$B$15)*$B$6+MAX(C329-$B$15,0)*$B$16*$B$7/12)-$B$9-MAX((MIN(C329,$B$15)*$B$6+MAX(C329-$B$15,0)*$B$16*$B$7/12)-$B$9-IF(AND(C$309&gt;0,$B$8&gt;0),MIN(C$309*$B$17,$B$13*MAX((MIN(C329,$B$15)*$B$6+MAX(C329-$B$15,0)*$B$16*$B$7/12)-$B$9,0)),0),0)*$B$8-(1-C$310)*IF(AND(C$309&gt;0,$B$8&gt;0),MIN(C$309*$B$17,$B$13*MAX((MIN(C329,$B$15)*$B$6+MAX(C329-$B$15,0)*$B$16*$B$7/12)-$B$9,0)),0)</f>
        <v/>
      </c>
      <c r="D330" s="179">
        <f>D329+(MIN(D329,$B$15)*$B$6+MAX(D329-$B$15,0)*$B$16*$B$7/12)-$B$9-MAX((MIN(D329,$B$15)*$B$6+MAX(D329-$B$15,0)*$B$16*$B$7/12)-$B$9-IF(AND(D$309&gt;0,$B$8&gt;0),MIN(D$309*$B$17,$B$13*MAX((MIN(D329,$B$15)*$B$6+MAX(D329-$B$15,0)*$B$16*$B$7/12)-$B$9,0)),0),0)*$B$8-(1-D$310)*IF(AND(D$309&gt;0,$B$8&gt;0),MIN(D$309*$B$17,$B$13*MAX((MIN(D329,$B$15)*$B$6+MAX(D329-$B$15,0)*$B$16*$B$7/12)-$B$9,0)),0)</f>
        <v/>
      </c>
      <c r="E330" s="179">
        <f>E329+(MIN(E329,$B$15)*$B$6+MAX(E329-$B$15,0)*$B$16*$B$7/12)-$B$9-MAX((MIN(E329,$B$15)*$B$6+MAX(E329-$B$15,0)*$B$16*$B$7/12)-$B$9-IF(AND(E$309&gt;0,$B$8&gt;0),MIN(E$309*$B$17,$B$13*MAX((MIN(E329,$B$15)*$B$6+MAX(E329-$B$15,0)*$B$16*$B$7/12)-$B$9,0)),0),0)*$B$8-(1-E$310)*IF(AND(E$309&gt;0,$B$8&gt;0),MIN(E$309*$B$17,$B$13*MAX((MIN(E329,$B$15)*$B$6+MAX(E329-$B$15,0)*$B$16*$B$7/12)-$B$9,0)),0)</f>
        <v/>
      </c>
      <c r="F330" s="179">
        <f>F329+(MIN(F329,$B$15)*$B$6+MAX(F329-$B$15,0)*$B$16*$B$7/12)-$B$9-MAX((MIN(F329,$B$15)*$B$6+MAX(F329-$B$15,0)*$B$16*$B$7/12)-$B$9-IF(AND(F$309&gt;0,$B$8&gt;0),MIN(F$309*$B$17,$B$13*MAX((MIN(F329,$B$15)*$B$6+MAX(F329-$B$15,0)*$B$16*$B$7/12)-$B$9,0)),0),0)*$B$8-(1-F$310)*IF(AND(F$309&gt;0,$B$8&gt;0),MIN(F$309*$B$17,$B$13*MAX((MIN(F329,$B$15)*$B$6+MAX(F329-$B$15,0)*$B$16*$B$7/12)-$B$9,0)),0)</f>
        <v/>
      </c>
      <c r="G330" s="179">
        <f>G329+(MIN(G329,$B$15)*$B$6+MAX(G329-$B$15,0)*$B$16*$B$7/12)-$B$9-MAX((MIN(G329,$B$15)*$B$6+MAX(G329-$B$15,0)*$B$16*$B$7/12)-$B$9-IF(AND(G$309&gt;0,$B$8&gt;0),MIN(G$309*$B$17,$B$13*MAX((MIN(G329,$B$15)*$B$6+MAX(G329-$B$15,0)*$B$16*$B$7/12)-$B$9,0)),0),0)*$B$8-(1-G$310)*IF(AND(G$309&gt;0,$B$8&gt;0),MIN(G$309*$B$17,$B$13*MAX((MIN(G329,$B$15)*$B$6+MAX(G329-$B$15,0)*$B$16*$B$7/12)-$B$9,0)),0)</f>
        <v/>
      </c>
      <c r="H330" s="179">
        <f>H329+(MIN(H329,$B$15)*$B$6+MAX(H329-$B$15,0)*$B$16*$B$7/12)-$B$9-MAX((MIN(H329,$B$15)*$B$6+MAX(H329-$B$15,0)*$B$16*$B$7/12)-$B$9-IF(AND(H$309&gt;0,$B$8&gt;0),MIN(H$309*$B$17,$B$13*MAX((MIN(H329,$B$15)*$B$6+MAX(H329-$B$15,0)*$B$16*$B$7/12)-$B$9,0)),0),0)*$B$8-(1-H$310)*IF(AND(H$309&gt;0,$B$8&gt;0),MIN(H$309*$B$17,$B$13*MAX((MIN(H329,$B$15)*$B$6+MAX(H329-$B$15,0)*$B$16*$B$7/12)-$B$9,0)),0)</f>
        <v/>
      </c>
      <c r="I330" s="179">
        <f>I329+(MIN(I329,$B$15)*$B$6+MAX(I329-$B$15,0)*$B$16*$B$7/12)-$B$9-MAX((MIN(I329,$B$15)*$B$6+MAX(I329-$B$15,0)*$B$16*$B$7/12)-$B$9-IF(AND(I$309&gt;0,$B$8&gt;0),MIN(I$309*$B$17,$B$13*MAX((MIN(I329,$B$15)*$B$6+MAX(I329-$B$15,0)*$B$16*$B$7/12)-$B$9,0)),0),0)*$B$8-(1-I$310)*IF(AND(I$309&gt;0,$B$8&gt;0),MIN(I$309*$B$17,$B$13*MAX((MIN(I329,$B$15)*$B$6+MAX(I329-$B$15,0)*$B$16*$B$7/12)-$B$9,0)),0)</f>
        <v/>
      </c>
      <c r="J330" s="179">
        <f>J329+(MIN(J329,$B$15)*$B$6+MAX(J329-$B$15,0)*$B$16*$B$7/12)-$B$9-MAX((MIN(J329,$B$15)*$B$6+MAX(J329-$B$15,0)*$B$16*$B$7/12)-$B$9-IF(AND(J$309&gt;0,$B$8&gt;0),MIN(J$309*$B$17,$B$13*MAX((MIN(J329,$B$15)*$B$6+MAX(J329-$B$15,0)*$B$16*$B$7/12)-$B$9,0)),0),0)*$B$8-(1-J$310)*IF(AND(J$309&gt;0,$B$8&gt;0),MIN(J$309*$B$17,$B$13*MAX((MIN(J329,$B$15)*$B$6+MAX(J329-$B$15,0)*$B$16*$B$7/12)-$B$9,0)),0)</f>
        <v/>
      </c>
      <c r="K330" s="179">
        <f>K329+(MIN(K329,$B$15)*$B$6+MAX(K329-$B$15,0)*$B$16*$B$7/12)-$B$9-MAX((MIN(K329,$B$15)*$B$6+MAX(K329-$B$15,0)*$B$16*$B$7/12)-$B$9-IF(AND(K$309&gt;0,$B$8&gt;0),MIN(K$309*$B$17,$B$13*MAX((MIN(K329,$B$15)*$B$6+MAX(K329-$B$15,0)*$B$16*$B$7/12)-$B$9,0)),0),0)*$B$8-(1-K$310)*IF(AND(K$309&gt;0,$B$8&gt;0),MIN(K$309*$B$17,$B$13*MAX((MIN(K329,$B$15)*$B$6+MAX(K329-$B$15,0)*$B$16*$B$7/12)-$B$9,0)),0)</f>
        <v/>
      </c>
      <c r="L330" s="179">
        <f>L329+(MIN(L329,$B$15)*$B$6+MAX(L329-$B$15,0)*$B$16*$B$7/12)-$B$9-MAX((MIN(L329,$B$15)*$B$6+MAX(L329-$B$15,0)*$B$16*$B$7/12)-$B$9-IF(AND(L$309&gt;0,$B$8&gt;0),MIN(L$309*$B$17,$B$13*MAX((MIN(L329,$B$15)*$B$6+MAX(L329-$B$15,0)*$B$16*$B$7/12)-$B$9,0)),0),0)*$B$8-(1-L$310)*IF(AND(L$309&gt;0,$B$8&gt;0),MIN(L$309*$B$17,$B$13*MAX((MIN(L329,$B$15)*$B$6+MAX(L329-$B$15,0)*$B$16*$B$7/12)-$B$9,0)),0)</f>
        <v/>
      </c>
      <c r="M330" s="179">
        <f>M329+(MIN(M329,$B$15)*$B$6+MAX(M329-$B$15,0)*$B$16*$B$7/12)-$B$9-MAX((MIN(M329,$B$15)*$B$6+MAX(M329-$B$15,0)*$B$16*$B$7/12)-$B$9-IF(AND(M$309&gt;0,$B$8&gt;0),MIN(M$309*$B$17,$B$13*MAX((MIN(M329,$B$15)*$B$6+MAX(M329-$B$15,0)*$B$16*$B$7/12)-$B$9,0)),0),0)*$B$8-(1-M$310)*IF(AND(M$309&gt;0,$B$8&gt;0),MIN(M$309*$B$17,$B$13*MAX((MIN(M329,$B$15)*$B$6+MAX(M329-$B$15,0)*$B$16*$B$7/12)-$B$9,0)),0)</f>
        <v/>
      </c>
      <c r="N330" s="179">
        <f>N329+(MIN(N329,$B$15)*$B$6+MAX(N329-$B$15,0)*$B$16*$B$7/12)-$B$9-MAX((MIN(N329,$B$15)*$B$6+MAX(N329-$B$15,0)*$B$16*$B$7/12)-$B$9-IF(AND(N$309&gt;0,$B$8&gt;0),MIN(N$309*$B$17,$B$13*MAX((MIN(N329,$B$15)*$B$6+MAX(N329-$B$15,0)*$B$16*$B$7/12)-$B$9,0)),0),0)*$B$8-(1-N$310)*IF(AND(N$309&gt;0,$B$8&gt;0),MIN(N$309*$B$17,$B$13*MAX((MIN(N329,$B$15)*$B$6+MAX(N329-$B$15,0)*$B$16*$B$7/12)-$B$9,0)),0)</f>
        <v/>
      </c>
      <c r="O330" s="179">
        <f>O329+(MIN(O329,$B$15)*$B$6+MAX(O329-$B$15,0)*$B$16*$B$7/12)-$B$9-MAX((MIN(O329,$B$15)*$B$6+MAX(O329-$B$15,0)*$B$16*$B$7/12)-$B$9-IF(AND(O$309&gt;0,$B$8&gt;0),MIN(O$309*$B$17,$B$13*MAX((MIN(O329,$B$15)*$B$6+MAX(O329-$B$15,0)*$B$16*$B$7/12)-$B$9,0)),0),0)*$B$8-(1-O$310)*IF(AND(O$309&gt;0,$B$8&gt;0),MIN(O$309*$B$17,$B$13*MAX((MIN(O329,$B$15)*$B$6+MAX(O329-$B$15,0)*$B$16*$B$7/12)-$B$9,0)),0)</f>
        <v/>
      </c>
      <c r="P330" s="179">
        <f>P329+(MIN(P329,$B$15)*$B$6+MAX(P329-$B$15,0)*$B$16*$B$7/12)-$B$9-MAX((MIN(P329,$B$15)*$B$6+MAX(P329-$B$15,0)*$B$16*$B$7/12)-$B$9-IF(AND(P$309&gt;0,$B$8&gt;0),MIN(P$309*$B$17,$B$13*MAX((MIN(P329,$B$15)*$B$6+MAX(P329-$B$15,0)*$B$16*$B$7/12)-$B$9,0)),0),0)*$B$8-(1-P$310)*IF(AND(P$309&gt;0,$B$8&gt;0),MIN(P$309*$B$17,$B$13*MAX((MIN(P329,$B$15)*$B$6+MAX(P329-$B$15,0)*$B$16*$B$7/12)-$B$9,0)),0)</f>
        <v/>
      </c>
      <c r="Q330" s="179">
        <f>Q329+(MIN(Q329,$B$15)*$B$6+MAX(Q329-$B$15,0)*$B$16*$B$7/12)-$B$9-MAX((MIN(Q329,$B$15)*$B$6+MAX(Q329-$B$15,0)*$B$16*$B$7/12)-$B$9-IF(AND(Q$309&gt;0,$B$8&gt;0),MIN(Q$309*$B$17,$B$13*MAX((MIN(Q329,$B$15)*$B$6+MAX(Q329-$B$15,0)*$B$16*$B$7/12)-$B$9,0)),0),0)*$B$8-(1-Q$310)*IF(AND(Q$309&gt;0,$B$8&gt;0),MIN(Q$309*$B$17,$B$13*MAX((MIN(Q329,$B$15)*$B$6+MAX(Q329-$B$15,0)*$B$16*$B$7/12)-$B$9,0)),0)</f>
        <v/>
      </c>
      <c r="R330" s="179">
        <f>R329+(MIN(R329,$B$15)*$B$6+MAX(R329-$B$15,0)*$B$16*$B$7/12)-$B$9-MAX((MIN(R329,$B$15)*$B$6+MAX(R329-$B$15,0)*$B$16*$B$7/12)-$B$9-IF(AND(R$309&gt;0,$B$8&gt;0),MIN(R$309*$B$17,$B$13*MAX((MIN(R329,$B$15)*$B$6+MAX(R329-$B$15,0)*$B$16*$B$7/12)-$B$9,0)),0),0)*$B$8-(1-R$310)*IF(AND(R$309&gt;0,$B$8&gt;0),MIN(R$309*$B$17,$B$13*MAX((MIN(R329,$B$15)*$B$6+MAX(R329-$B$15,0)*$B$16*$B$7/12)-$B$9,0)),0)</f>
        <v/>
      </c>
      <c r="S330" s="179">
        <f>S329+(MIN(S329,$B$15)*$B$6+MAX(S329-$B$15,0)*$B$16*$B$7/12)-$B$9-MAX((MIN(S329,$B$15)*$B$6+MAX(S329-$B$15,0)*$B$16*$B$7/12)-$B$9-IF(AND(S$309&gt;0,$B$8&gt;0),MIN(S$309*$B$17,$B$13*MAX((MIN(S329,$B$15)*$B$6+MAX(S329-$B$15,0)*$B$16*$B$7/12)-$B$9,0)),0),0)*$B$8-(1-S$310)*IF(AND(S$309&gt;0,$B$8&gt;0),MIN(S$309*$B$17,$B$13*MAX((MIN(S329,$B$15)*$B$6+MAX(S329-$B$15,0)*$B$16*$B$7/12)-$B$9,0)),0)</f>
        <v/>
      </c>
      <c r="T330" s="179">
        <f>T329+(MIN(T329,$B$15)*$B$6+MAX(T329-$B$15,0)*$B$16*$B$7/12)-$B$9-MAX((MIN(T329,$B$15)*$B$6+MAX(T329-$B$15,0)*$B$16*$B$7/12)-$B$9-IF(AND(T$309&gt;0,$B$8&gt;0),MIN(T$309*$B$17,$B$13*MAX((MIN(T329,$B$15)*$B$6+MAX(T329-$B$15,0)*$B$16*$B$7/12)-$B$9,0)),0),0)*$B$8-(1-T$310)*IF(AND(T$309&gt;0,$B$8&gt;0),MIN(T$309*$B$17,$B$13*MAX((MIN(T329,$B$15)*$B$6+MAX(T329-$B$15,0)*$B$16*$B$7/12)-$B$9,0)),0)</f>
        <v/>
      </c>
      <c r="U330" s="179">
        <f>U329+(MIN(U329,$B$15)*$B$6+MAX(U329-$B$15,0)*$B$16*$B$7/12)-$B$9-MAX((MIN(U329,$B$15)*$B$6+MAX(U329-$B$15,0)*$B$16*$B$7/12)-$B$9-IF(AND(U$309&gt;0,$B$8&gt;0),MIN(U$309*$B$17,$B$13*MAX((MIN(U329,$B$15)*$B$6+MAX(U329-$B$15,0)*$B$16*$B$7/12)-$B$9,0)),0),0)*$B$8-(1-U$310)*IF(AND(U$309&gt;0,$B$8&gt;0),MIN(U$309*$B$17,$B$13*MAX((MIN(U329,$B$15)*$B$6+MAX(U329-$B$15,0)*$B$16*$B$7/12)-$B$9,0)),0)</f>
        <v/>
      </c>
      <c r="V330" s="179">
        <f>V329+(MIN(V329,$B$15)*$B$6+MAX(V329-$B$15,0)*$B$16*$B$7/12)-$B$9-MAX((MIN(V329,$B$15)*$B$6+MAX(V329-$B$15,0)*$B$16*$B$7/12)-$B$9-IF(AND(V$309&gt;0,$B$8&gt;0),MIN(V$309*$B$17,$B$13*MAX((MIN(V329,$B$15)*$B$6+MAX(V329-$B$15,0)*$B$16*$B$7/12)-$B$9,0)),0),0)*$B$8-(1-V$310)*IF(AND(V$309&gt;0,$B$8&gt;0),MIN(V$309*$B$17,$B$13*MAX((MIN(V329,$B$15)*$B$6+MAX(V329-$B$15,0)*$B$16*$B$7/12)-$B$9,0)),0)</f>
        <v/>
      </c>
      <c r="W330" s="179">
        <f>W329+(MIN(W329,$B$15)*$B$6+MAX(W329-$B$15,0)*$B$16*$B$7/12)-$B$9-MAX((MIN(W329,$B$15)*$B$6+MAX(W329-$B$15,0)*$B$16*$B$7/12)-$B$9-IF(AND(W$309&gt;0,$B$8&gt;0),MIN(W$309*$B$17,$B$13*MAX((MIN(W329,$B$15)*$B$6+MAX(W329-$B$15,0)*$B$16*$B$7/12)-$B$9,0)),0),0)*$B$8-(1-W$310)*IF(AND(W$309&gt;0,$B$8&gt;0),MIN(W$309*$B$17,$B$13*MAX((MIN(W329,$B$15)*$B$6+MAX(W329-$B$15,0)*$B$16*$B$7/12)-$B$9,0)),0)</f>
        <v/>
      </c>
      <c r="X330" s="179">
        <f>X329+(MIN(X329,$B$15)*$B$6+MAX(X329-$B$15,0)*$B$16*$B$7/12)-$B$9-MAX((MIN(X329,$B$15)*$B$6+MAX(X329-$B$15,0)*$B$16*$B$7/12)-$B$9-IF(AND(X$309&gt;0,$B$8&gt;0),MIN(X$309*$B$17,$B$13*MAX((MIN(X329,$B$15)*$B$6+MAX(X329-$B$15,0)*$B$16*$B$7/12)-$B$9,0)),0),0)*$B$8-(1-X$310)*IF(AND(X$309&gt;0,$B$8&gt;0),MIN(X$309*$B$17,$B$13*MAX((MIN(X329,$B$15)*$B$6+MAX(X329-$B$15,0)*$B$16*$B$7/12)-$B$9,0)),0)</f>
        <v/>
      </c>
      <c r="Y330" s="179">
        <f>Y329+(MIN(Y329,$B$15)*$B$6+MAX(Y329-$B$15,0)*$B$16*$B$7/12)-$B$9-MAX((MIN(Y329,$B$15)*$B$6+MAX(Y329-$B$15,0)*$B$16*$B$7/12)-$B$9-IF(AND(Y$309&gt;0,$B$8&gt;0),MIN(Y$309*$B$17,$B$13*MAX((MIN(Y329,$B$15)*$B$6+MAX(Y329-$B$15,0)*$B$16*$B$7/12)-$B$9,0)),0),0)*$B$8-(1-Y$310)*IF(AND(Y$309&gt;0,$B$8&gt;0),MIN(Y$309*$B$17,$B$13*MAX((MIN(Y329,$B$15)*$B$6+MAX(Y329-$B$15,0)*$B$16*$B$7/12)-$B$9,0)),0)</f>
        <v/>
      </c>
      <c r="Z330" s="179">
        <f>Z329+(MIN(Z329,$B$15)*$B$6+MAX(Z329-$B$15,0)*$B$16*$B$7/12)-$B$9-MAX((MIN(Z329,$B$15)*$B$6+MAX(Z329-$B$15,0)*$B$16*$B$7/12)-$B$9-IF(AND(Z$309&gt;0,$B$8&gt;0),MIN(Z$309*$B$17,$B$13*MAX((MIN(Z329,$B$15)*$B$6+MAX(Z329-$B$15,0)*$B$16*$B$7/12)-$B$9,0)),0),0)*$B$8-(1-Z$310)*IF(AND(Z$309&gt;0,$B$8&gt;0),MIN(Z$309*$B$17,$B$13*MAX((MIN(Z329,$B$15)*$B$6+MAX(Z329-$B$15,0)*$B$16*$B$7/12)-$B$9,0)),0)</f>
        <v/>
      </c>
      <c r="AA330" s="179">
        <f>AA329+(MIN(AA329,$B$15)*$B$6+MAX(AA329-$B$15,0)*$B$16*$B$7/12)-$B$9-MAX((MIN(AA329,$B$15)*$B$6+MAX(AA329-$B$15,0)*$B$16*$B$7/12)-$B$9-IF(AND(AA$309&gt;0,$B$8&gt;0),MIN(AA$309*$B$17,$B$13*MAX((MIN(AA329,$B$15)*$B$6+MAX(AA329-$B$15,0)*$B$16*$B$7/12)-$B$9,0)),0),0)*$B$8-(1-AA$310)*IF(AND(AA$309&gt;0,$B$8&gt;0),MIN(AA$309*$B$17,$B$13*MAX((MIN(AA329,$B$15)*$B$6+MAX(AA329-$B$15,0)*$B$16*$B$7/12)-$B$9,0)),0)</f>
        <v/>
      </c>
      <c r="AB330" s="179">
        <f>AB329+(MIN(AB329,$B$15)*$B$6+MAX(AB329-$B$15,0)*$B$16*$B$7/12)-$B$9-MAX((MIN(AB329,$B$15)*$B$6+MAX(AB329-$B$15,0)*$B$16*$B$7/12)-$B$9-IF(AND(AB$309&gt;0,$B$8&gt;0),MIN(AB$309*$B$17,$B$13*MAX((MIN(AB329,$B$15)*$B$6+MAX(AB329-$B$15,0)*$B$16*$B$7/12)-$B$9,0)),0),0)*$B$8-(1-AB$310)*IF(AND(AB$309&gt;0,$B$8&gt;0),MIN(AB$309*$B$17,$B$13*MAX((MIN(AB329,$B$15)*$B$6+MAX(AB329-$B$15,0)*$B$16*$B$7/12)-$B$9,0)),0)</f>
        <v/>
      </c>
      <c r="AC330" s="179">
        <f>AC329+(MIN(AC329,$B$15)*$B$6+MAX(AC329-$B$15,0)*$B$16*$B$7/12)-$B$9-MAX((MIN(AC329,$B$15)*$B$6+MAX(AC329-$B$15,0)*$B$16*$B$7/12)-$B$9-IF(AND(AC$309&gt;0,$B$8&gt;0),MIN(AC$309*$B$17,$B$13*MAX((MIN(AC329,$B$15)*$B$6+MAX(AC329-$B$15,0)*$B$16*$B$7/12)-$B$9,0)),0),0)*$B$8-(1-AC$310)*IF(AND(AC$309&gt;0,$B$8&gt;0),MIN(AC$309*$B$17,$B$13*MAX((MIN(AC329,$B$15)*$B$6+MAX(AC329-$B$15,0)*$B$16*$B$7/12)-$B$9,0)),0)</f>
        <v/>
      </c>
      <c r="AD330" s="179">
        <f>AD329+(MIN(AD329,$B$15)*$B$6+MAX(AD329-$B$15,0)*$B$16*$B$7/12)-$B$9-MAX((MIN(AD329,$B$15)*$B$6+MAX(AD329-$B$15,0)*$B$16*$B$7/12)-$B$9-IF(AND(AD$309&gt;0,$B$8&gt;0),MIN(AD$309*$B$17,$B$13*MAX((MIN(AD329,$B$15)*$B$6+MAX(AD329-$B$15,0)*$B$16*$B$7/12)-$B$9,0)),0),0)*$B$8-(1-AD$310)*IF(AND(AD$309&gt;0,$B$8&gt;0),MIN(AD$309*$B$17,$B$13*MAX((MIN(AD329,$B$15)*$B$6+MAX(AD329-$B$15,0)*$B$16*$B$7/12)-$B$9,0)),0)</f>
        <v/>
      </c>
      <c r="AE330" s="179">
        <f>AE329+(MIN(AE329,$B$15)*$B$6+MAX(AE329-$B$15,0)*$B$16*$B$7/12)-$B$9-MAX((MIN(AE329,$B$15)*$B$6+MAX(AE329-$B$15,0)*$B$16*$B$7/12)-$B$9-IF(AND(AE$309&gt;0,$B$8&gt;0),MIN(AE$309*$B$17,$B$13*MAX((MIN(AE329,$B$15)*$B$6+MAX(AE329-$B$15,0)*$B$16*$B$7/12)-$B$9,0)),0),0)*$B$8-(1-AE$310)*IF(AND(AE$309&gt;0,$B$8&gt;0),MIN(AE$309*$B$17,$B$13*MAX((MIN(AE329,$B$15)*$B$6+MAX(AE329-$B$15,0)*$B$16*$B$7/12)-$B$9,0)),0)</f>
        <v/>
      </c>
      <c r="AF330" s="179">
        <f>AF329+(MIN(AF329,$B$15)*$B$6+MAX(AF329-$B$15,0)*$B$16*$B$7/12)-$B$9-MAX((MIN(AF329,$B$15)*$B$6+MAX(AF329-$B$15,0)*$B$16*$B$7/12)-$B$9-IF(AND(AF$309&gt;0,$B$8&gt;0),MIN(AF$309*$B$17,$B$13*MAX((MIN(AF329,$B$15)*$B$6+MAX(AF329-$B$15,0)*$B$16*$B$7/12)-$B$9,0)),0),0)*$B$8-(1-AF$310)*IF(AND(AF$309&gt;0,$B$8&gt;0),MIN(AF$309*$B$17,$B$13*MAX((MIN(AF329,$B$15)*$B$6+MAX(AF329-$B$15,0)*$B$16*$B$7/12)-$B$9,0)),0)</f>
        <v/>
      </c>
      <c r="AG330" s="179">
        <f>AG329+(MIN(AG329,$B$15)*$B$6+MAX(AG329-$B$15,0)*$B$16*$B$7/12)-$B$9-MAX((MIN(AG329,$B$15)*$B$6+MAX(AG329-$B$15,0)*$B$16*$B$7/12)-$B$9-IF(AND(AG$309&gt;0,$B$8&gt;0),MIN(AG$309*$B$17,$B$13*MAX((MIN(AG329,$B$15)*$B$6+MAX(AG329-$B$15,0)*$B$16*$B$7/12)-$B$9,0)),0),0)*$B$8-(1-AG$310)*IF(AND(AG$309&gt;0,$B$8&gt;0),MIN(AG$309*$B$17,$B$13*MAX((MIN(AG329,$B$15)*$B$6+MAX(AG329-$B$15,0)*$B$16*$B$7/12)-$B$9,0)),0)</f>
        <v/>
      </c>
      <c r="AH330" s="179">
        <f>AH329+(MIN(AH329,$B$15)*$B$6+MAX(AH329-$B$15,0)*$B$16*$B$7/12)-$B$9-MAX((MIN(AH329,$B$15)*$B$6+MAX(AH329-$B$15,0)*$B$16*$B$7/12)-$B$9-IF(AND(AH$309&gt;0,$B$8&gt;0),MIN(AH$309*$B$17,$B$13*MAX((MIN(AH329,$B$15)*$B$6+MAX(AH329-$B$15,0)*$B$16*$B$7/12)-$B$9,0)),0),0)*$B$8-(1-AH$310)*IF(AND(AH$309&gt;0,$B$8&gt;0),MIN(AH$309*$B$17,$B$13*MAX((MIN(AH329,$B$15)*$B$6+MAX(AH329-$B$15,0)*$B$16*$B$7/12)-$B$9,0)),0)</f>
        <v/>
      </c>
      <c r="AI330" s="179">
        <f>AI329+(MIN(AI329,$B$15)*$B$6+MAX(AI329-$B$15,0)*$B$16*$B$7/12)-$B$9-MAX((MIN(AI329,$B$15)*$B$6+MAX(AI329-$B$15,0)*$B$16*$B$7/12)-$B$9-IF(AND(AI$309&gt;0,$B$8&gt;0),MIN(AI$309*$B$17,$B$13*MAX((MIN(AI329,$B$15)*$B$6+MAX(AI329-$B$15,0)*$B$16*$B$7/12)-$B$9,0)),0),0)*$B$8-(1-AI$310)*IF(AND(AI$309&gt;0,$B$8&gt;0),MIN(AI$309*$B$17,$B$13*MAX((MIN(AI329,$B$15)*$B$6+MAX(AI329-$B$15,0)*$B$16*$B$7/12)-$B$9,0)),0)</f>
        <v/>
      </c>
      <c r="AJ330" s="179">
        <f>AJ329+(MIN(AJ329,$B$15)*$B$6+MAX(AJ329-$B$15,0)*$B$16*$B$7/12)-$B$9-MAX((MIN(AJ329,$B$15)*$B$6+MAX(AJ329-$B$15,0)*$B$16*$B$7/12)-$B$9-IF(AND(AJ$309&gt;0,$B$8&gt;0),MIN(AJ$309*$B$17,$B$13*MAX((MIN(AJ329,$B$15)*$B$6+MAX(AJ329-$B$15,0)*$B$16*$B$7/12)-$B$9,0)),0),0)*$B$8-(1-AJ$310)*IF(AND(AJ$309&gt;0,$B$8&gt;0),MIN(AJ$309*$B$17,$B$13*MAX((MIN(AJ329,$B$15)*$B$6+MAX(AJ329-$B$15,0)*$B$16*$B$7/12)-$B$9,0)),0)</f>
        <v/>
      </c>
      <c r="AK330" s="179">
        <f>AK329+(MIN(AK329,$B$15)*$B$6+MAX(AK329-$B$15,0)*$B$16*$B$7/12)-$B$9-MAX((MIN(AK329,$B$15)*$B$6+MAX(AK329-$B$15,0)*$B$16*$B$7/12)-$B$9-IF(AND(AK$309&gt;0,$B$8&gt;0),MIN(AK$309*$B$17,$B$13*MAX((MIN(AK329,$B$15)*$B$6+MAX(AK329-$B$15,0)*$B$16*$B$7/12)-$B$9,0)),0),0)*$B$8-(1-AK$310)*IF(AND(AK$309&gt;0,$B$8&gt;0),MIN(AK$309*$B$17,$B$13*MAX((MIN(AK329,$B$15)*$B$6+MAX(AK329-$B$15,0)*$B$16*$B$7/12)-$B$9,0)),0)</f>
        <v/>
      </c>
      <c r="AL330" s="179">
        <f>AL329+(MIN(AL329,$B$15)*$B$6+MAX(AL329-$B$15,0)*$B$16*$B$7/12)-$B$9-MAX((MIN(AL329,$B$15)*$B$6+MAX(AL329-$B$15,0)*$B$16*$B$7/12)-$B$9-IF(AND(AL$309&gt;0,$B$8&gt;0),MIN(AL$309*$B$17,$B$13*MAX((MIN(AL329,$B$15)*$B$6+MAX(AL329-$B$15,0)*$B$16*$B$7/12)-$B$9,0)),0),0)*$B$8-(1-AL$310)*IF(AND(AL$309&gt;0,$B$8&gt;0),MIN(AL$309*$B$17,$B$13*MAX((MIN(AL329,$B$15)*$B$6+MAX(AL329-$B$15,0)*$B$16*$B$7/12)-$B$9,0)),0)</f>
        <v/>
      </c>
      <c r="AM330" s="179">
        <f>AM329+(MIN(AM329,$B$15)*$B$6+MAX(AM329-$B$15,0)*$B$16*$B$7/12)-$B$9-MAX((MIN(AM329,$B$15)*$B$6+MAX(AM329-$B$15,0)*$B$16*$B$7/12)-$B$9-IF(AND(AM$309&gt;0,$B$8&gt;0),MIN(AM$309*$B$17,$B$13*MAX((MIN(AM329,$B$15)*$B$6+MAX(AM329-$B$15,0)*$B$16*$B$7/12)-$B$9,0)),0),0)*$B$8-(1-AM$310)*IF(AND(AM$309&gt;0,$B$8&gt;0),MIN(AM$309*$B$17,$B$13*MAX((MIN(AM329,$B$15)*$B$6+MAX(AM329-$B$15,0)*$B$16*$B$7/12)-$B$9,0)),0)</f>
        <v/>
      </c>
      <c r="AN330" s="179">
        <f>AN329+(MIN(AN329,$B$15)*$B$6+MAX(AN329-$B$15,0)*$B$16*$B$7/12)-$B$9-MAX((MIN(AN329,$B$15)*$B$6+MAX(AN329-$B$15,0)*$B$16*$B$7/12)-$B$9-IF(AND(AN$309&gt;0,$B$8&gt;0),MIN(AN$309*$B$17,$B$13*MAX((MIN(AN329,$B$15)*$B$6+MAX(AN329-$B$15,0)*$B$16*$B$7/12)-$B$9,0)),0),0)*$B$8-(1-AN$310)*IF(AND(AN$309&gt;0,$B$8&gt;0),MIN(AN$309*$B$17,$B$13*MAX((MIN(AN329,$B$15)*$B$6+MAX(AN329-$B$15,0)*$B$16*$B$7/12)-$B$9,0)),0)</f>
        <v/>
      </c>
      <c r="AO330" s="179">
        <f>AO329+(MIN(AO329,$B$15)*$B$6+MAX(AO329-$B$15,0)*$B$16*$B$7/12)-$B$9-MAX((MIN(AO329,$B$15)*$B$6+MAX(AO329-$B$15,0)*$B$16*$B$7/12)-$B$9-IF(AND(AO$309&gt;0,$B$8&gt;0),MIN(AO$309*$B$17,$B$13*MAX((MIN(AO329,$B$15)*$B$6+MAX(AO329-$B$15,0)*$B$16*$B$7/12)-$B$9,0)),0),0)*$B$8-(1-AO$310)*IF(AND(AO$309&gt;0,$B$8&gt;0),MIN(AO$309*$B$17,$B$13*MAX((MIN(AO329,$B$15)*$B$6+MAX(AO329-$B$15,0)*$B$16*$B$7/12)-$B$9,0)),0)</f>
        <v/>
      </c>
      <c r="AP330" s="179">
        <f>AP329+(MIN(AP329,$B$15)*$B$6+MAX(AP329-$B$15,0)*$B$16*$B$7/12)-$B$9-MAX((MIN(AP329,$B$15)*$B$6+MAX(AP329-$B$15,0)*$B$16*$B$7/12)-$B$9-IF(AND(AP$309&gt;0,$B$8&gt;0),MIN(AP$309*$B$17,$B$13*MAX((MIN(AP329,$B$15)*$B$6+MAX(AP329-$B$15,0)*$B$16*$B$7/12)-$B$9,0)),0),0)*$B$8-(1-AP$310)*IF(AND(AP$309&gt;0,$B$8&gt;0),MIN(AP$309*$B$17,$B$13*MAX((MIN(AP329,$B$15)*$B$6+MAX(AP329-$B$15,0)*$B$16*$B$7/12)-$B$9,0)),0)</f>
        <v/>
      </c>
      <c r="AQ330" s="179">
        <f>AQ329+(MIN(AQ329,$B$15)*$B$6+MAX(AQ329-$B$15,0)*$B$16*$B$7/12)-$B$9-MAX((MIN(AQ329,$B$15)*$B$6+MAX(AQ329-$B$15,0)*$B$16*$B$7/12)-$B$9-IF(AND(AQ$309&gt;0,$B$8&gt;0),MIN(AQ$309*$B$17,$B$13*MAX((MIN(AQ329,$B$15)*$B$6+MAX(AQ329-$B$15,0)*$B$16*$B$7/12)-$B$9,0)),0),0)*$B$8-(1-AQ$310)*IF(AND(AQ$309&gt;0,$B$8&gt;0),MIN(AQ$309*$B$17,$B$13*MAX((MIN(AQ329,$B$15)*$B$6+MAX(AQ329-$B$15,0)*$B$16*$B$7/12)-$B$9,0)),0)</f>
        <v/>
      </c>
    </row>
  </sheetData>
  <mergeCells count="23">
    <mergeCell ref="A97:S97"/>
    <mergeCell ref="A4:S4"/>
    <mergeCell ref="A100:S100"/>
    <mergeCell ref="A96:S96"/>
    <mergeCell ref="A81:S81"/>
    <mergeCell ref="A308:S308"/>
    <mergeCell ref="A19:S19"/>
    <mergeCell ref="A258:S258"/>
    <mergeCell ref="A31:S31"/>
    <mergeCell ref="A98:S98"/>
    <mergeCell ref="A107:S107"/>
    <mergeCell ref="A1:S1"/>
    <mergeCell ref="A183:S183"/>
    <mergeCell ref="A108:S108"/>
    <mergeCell ref="A283:S283"/>
    <mergeCell ref="A99:S99"/>
    <mergeCell ref="A133:S133"/>
    <mergeCell ref="A208:S208"/>
    <mergeCell ref="A233:S233"/>
    <mergeCell ref="A158:S158"/>
    <mergeCell ref="A55:S55"/>
    <mergeCell ref="A95:S95"/>
    <mergeCell ref="A2:S2"/>
  </mergeCells>
  <conditionalFormatting sqref="K33:L5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B33:I53">
    <cfRule type="expression" priority="2" dxfId="0">
      <formula>B33=MAX($B33:$I33)</formula>
    </cfRule>
  </conditionalFormatting>
  <conditionalFormatting sqref="B86:G92">
    <cfRule type="colorScale" priority="3">
      <colorScale>
        <cfvo type="min"/>
        <cfvo type="max"/>
        <color rgb="00FFFFFF"/>
        <color rgb="0063BE7B"/>
      </colorScale>
    </cfRule>
  </conditionalFormatting>
  <dataValidations count="4">
    <dataValidation sqref="B14" showDropDown="0" showInputMessage="0" showErrorMessage="0" allowBlank="0" type="list">
      <formula1>$U$5:$U$12</formula1>
    </dataValidation>
    <dataValidation sqref="B7" showDropDown="0" showInputMessage="0" showErrorMessage="0" allowBlank="0" type="list" errorStyle="warning">
      <formula1>"12,18,24,30,36"</formula1>
    </dataValidation>
    <dataValidation sqref="B8 B11 B13" showDropDown="0" showInputMessage="0" showErrorMessage="0" allowBlank="0" error="Enter 0%–100%" type="decimal" errorStyle="stop" operator="between">
      <formula1>0</formula1>
      <formula2>1</formula2>
    </dataValidation>
    <dataValidation sqref="B82" showDropDown="0" showInputMessage="0" showErrorMessage="0" allowBlank="0" type="list">
      <formula1>"1,2,3,4,5,6,7,8,9,10,11,12,13,14,15,16,17,18,19,20"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C9A227"/>
    <outlinePr summaryBelow="0"/>
    <pageSetUpPr fitToPage="1"/>
  </sheetPr>
  <dimension ref="A1:S227"/>
  <sheetViews>
    <sheetView showGridLines="0" tabSelected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7" customWidth="1" min="2" max="2"/>
    <col width="20" customWidth="1" min="3" max="3"/>
    <col width="22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3" customWidth="1" min="12" max="12"/>
    <col width="15" customWidth="1" min="13" max="13"/>
    <col width="15" customWidth="1" min="14" max="14"/>
    <col width="16" customWidth="1" min="15" max="15"/>
    <col width="16" customWidth="1" min="16" max="16"/>
    <col width="40" customWidth="1" min="17" max="17"/>
    <col width="15" customWidth="1" min="18" max="18"/>
    <col width="40" customWidth="1" min="19" max="19"/>
  </cols>
  <sheetData>
    <row r="1" ht="26" customHeight="1">
      <c r="A1" s="151" t="inlineStr">
        <is>
          <t>SHIPPING ENGINE  ·  BDRY → SGX/ICE FFA  ·  FOUR TAX CASES  (separate business — not MCX)</t>
        </is>
      </c>
      <c r="B1" s="152" t="n"/>
      <c r="C1" s="152" t="n"/>
      <c r="D1" s="152" t="n"/>
      <c r="E1" s="152" t="n"/>
      <c r="F1" s="152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</row>
    <row r="2" ht="30" customHeight="1">
      <c r="A2" s="153" t="inlineStr">
        <is>
          <t>Change the blue cells; pick which tax case to read in the cycle ledger. Cycle 0 is the opening. The four calculation blocks are tucked away at the bottom (click the [+] in the left margin to open them).</t>
        </is>
      </c>
    </row>
    <row r="4" ht="20" customHeight="1">
      <c r="A4" s="154" t="inlineStr">
        <is>
          <t>CONTROLS  —  this sheet only</t>
        </is>
      </c>
      <c r="B4" s="155" t="n"/>
      <c r="C4" s="155" t="n"/>
      <c r="D4" s="155" t="n"/>
      <c r="E4" s="155" t="n"/>
      <c r="F4" s="155" t="n"/>
      <c r="G4" s="155" t="n"/>
      <c r="H4" s="155" t="n"/>
      <c r="I4" s="155" t="n"/>
      <c r="J4" s="155" t="n"/>
      <c r="K4" s="155" t="n"/>
      <c r="L4" s="155" t="n"/>
      <c r="M4" s="155" t="n"/>
      <c r="N4" s="155" t="n"/>
      <c r="O4" s="155" t="n"/>
      <c r="P4" s="155" t="n"/>
      <c r="Q4" s="155" t="n"/>
    </row>
    <row r="5">
      <c r="A5" s="164" t="inlineStr">
        <is>
          <t>Starting capital (₹ Cr)</t>
        </is>
      </c>
      <c r="B5" s="190" t="n">
        <v>0.6</v>
      </c>
      <c r="C5" s="166" t="inlineStr">
        <is>
          <t>Cycle-1 opening corpus</t>
        </is>
      </c>
    </row>
    <row r="6">
      <c r="A6" s="164" t="inlineStr">
        <is>
          <t>Gross return per cycle</t>
        </is>
      </c>
      <c r="B6" s="191" t="n">
        <v>0.75</v>
      </c>
      <c r="C6" s="166" t="inlineStr">
        <is>
          <t>On deployed capital — your assumption, not data</t>
        </is>
      </c>
    </row>
    <row r="7">
      <c r="A7" s="164" t="inlineStr">
        <is>
          <t>Cycle length (months)</t>
        </is>
      </c>
      <c r="B7" s="185" t="n">
        <v>18</v>
      </c>
      <c r="C7" s="166" t="inlineStr">
        <is>
          <t>&lt;24 ⇒ personal STCG at slabs; ≥24 ⇒ LTCG 12.5% (surcharge capped at 15%)</t>
        </is>
      </c>
    </row>
    <row r="8">
      <c r="A8" s="164" t="inlineStr">
        <is>
          <t>Company-switch threshold (₹ Cr)</t>
        </is>
      </c>
      <c r="B8" s="190" t="n">
        <v>20</v>
      </c>
      <c r="C8" s="166" t="inlineStr">
        <is>
          <t>Case 3 only: personal account becomes a GIFT/IFSC company at this corpus</t>
        </is>
      </c>
    </row>
    <row r="9">
      <c r="A9" s="164" t="inlineStr">
        <is>
          <t>USD/INR</t>
        </is>
      </c>
      <c r="B9" s="192" t="n">
        <v>94.98</v>
      </c>
      <c r="C9" s="166" t="inlineStr"/>
    </row>
    <row r="10">
      <c r="A10" s="164" t="inlineStr">
        <is>
          <t>Company tax rate (s.115BAA)</t>
        </is>
      </c>
      <c r="B10" s="193">
        <f>'NG Inputs'!B4</f>
        <v/>
      </c>
      <c r="C10" s="166" t="inlineStr">
        <is>
          <t>Linked to NG Inputs!B4</t>
        </is>
      </c>
    </row>
    <row r="11">
      <c r="A11" s="164" t="inlineStr">
        <is>
          <t>Company running cost per cycle — full stack (₹ Cr)</t>
        </is>
      </c>
      <c r="B11" s="190" t="n">
        <v>0.5</v>
      </c>
      <c r="C11" s="166" t="inlineStr">
        <is>
          <t>Charged only in the GIFT/IFSC company stage; deductible</t>
        </is>
      </c>
    </row>
    <row r="12">
      <c r="A12" s="164" t="inlineStr">
        <is>
          <t>Lean running cost BEFORE threshold (₹ Cr)</t>
        </is>
      </c>
      <c r="B12" s="190" t="n">
        <v>0</v>
      </c>
      <c r="C12" s="166" t="inlineStr">
        <is>
          <t>Case 2 only (company from cycle 1)</t>
        </is>
      </c>
    </row>
    <row r="13">
      <c r="A13" s="164" t="inlineStr">
        <is>
          <t>BDRY liquidity regime</t>
        </is>
      </c>
      <c r="B13" s="169" t="inlineStr">
        <is>
          <t>Current</t>
        </is>
      </c>
      <c r="C13" s="166" t="inlineStr">
        <is>
          <t>Current = 90-day mean ($82.7K/day); Hot = freight upswing ($352K/day)</t>
        </is>
      </c>
    </row>
    <row r="14">
      <c r="A14" s="164" t="inlineStr">
        <is>
          <t>BDRY safe $/day — current</t>
        </is>
      </c>
      <c r="B14" s="194" t="n">
        <v>82683</v>
      </c>
      <c r="C14" s="166" t="inlineStr">
        <is>
          <t>bdry_liquidity.csv, 90-day mean of tiered safe liquidity</t>
        </is>
      </c>
    </row>
    <row r="15">
      <c r="A15" s="164" t="inlineStr">
        <is>
          <t>BDRY safe $/day — hot</t>
        </is>
      </c>
      <c r="B15" s="194" t="n">
        <v>352235</v>
      </c>
      <c r="C15" s="166" t="inlineStr">
        <is>
          <t>Top-quartile rolling 90-day windows since 2018</t>
        </is>
      </c>
    </row>
    <row r="16">
      <c r="A16" s="164" t="inlineStr">
        <is>
          <t>Build window — entry (days)</t>
        </is>
      </c>
      <c r="B16" s="185" t="n">
        <v>45</v>
      </c>
      <c r="C16" s="166" t="inlineStr">
        <is>
          <t>1–1.5 month stretched accumulation</t>
        </is>
      </c>
    </row>
    <row r="17">
      <c r="A17" s="164" t="inlineStr">
        <is>
          <t>Exit window (days)</t>
        </is>
      </c>
      <c r="B17" s="185" t="n">
        <v>45</v>
      </c>
      <c r="C17" s="166" t="inlineStr">
        <is>
          <t>Exit capacity = safe $/day × exit days</t>
        </is>
      </c>
    </row>
    <row r="18">
      <c r="A18" s="164" t="inlineStr">
        <is>
          <t>FFA capacity per position ($)</t>
        </is>
      </c>
      <c r="B18" s="194" t="n">
        <v>60000000</v>
      </c>
      <c r="C18" s="166" t="inlineStr">
        <is>
          <t>SGX/ICE Cape 5TC + Pmx 4TC — verify with your FCM</t>
        </is>
      </c>
    </row>
    <row r="19">
      <c r="A19" s="164" t="inlineStr">
        <is>
          <t>LTCG base (unlisted foreign ≥24m)</t>
        </is>
      </c>
      <c r="B19" s="191" t="n">
        <v>0.125</v>
      </c>
      <c r="C19" s="166" t="inlineStr"/>
    </row>
    <row r="20">
      <c r="A20" s="164" t="inlineStr">
        <is>
          <t>STCG top base rate (slab)</t>
        </is>
      </c>
      <c r="B20" s="191" t="n">
        <v>0.3</v>
      </c>
      <c r="C20" s="166" t="inlineStr">
        <is>
          <t>New Tax Regime top slab</t>
        </is>
      </c>
    </row>
    <row r="21">
      <c r="A21" s="164" t="inlineStr">
        <is>
          <t>Health &amp; education cess</t>
        </is>
      </c>
      <c r="B21" s="191" t="n">
        <v>0.04</v>
      </c>
      <c r="C21" s="166" t="inlineStr"/>
    </row>
    <row r="22">
      <c r="A22" s="164" t="inlineStr">
        <is>
          <t>LTCG surcharge cap</t>
        </is>
      </c>
      <c r="B22" s="191" t="n">
        <v>0.15</v>
      </c>
      <c r="C22" s="166" t="inlineStr"/>
    </row>
    <row r="23">
      <c r="A23" s="164" t="inlineStr">
        <is>
          <t>Idle-capital yield (liquid fund)</t>
        </is>
      </c>
      <c r="B23" s="193">
        <f>'NG Inputs'!B10</f>
        <v/>
      </c>
      <c r="C23" s="166" t="inlineStr">
        <is>
          <t>Linked to NG Inputs!B10</t>
        </is>
      </c>
    </row>
    <row r="24">
      <c r="A24" s="164" t="inlineStr">
        <is>
          <t>Family payroll</t>
        </is>
      </c>
      <c r="B24" s="169" t="inlineStr">
        <is>
          <t>On</t>
        </is>
      </c>
      <c r="C24" s="166" t="inlineStr">
        <is>
          <t>On / Off — company stages of Cases 2 and 3; switches off if company tax = 0</t>
        </is>
      </c>
    </row>
    <row r="25">
      <c r="A25" s="164" t="inlineStr">
        <is>
          <t>Members on payroll</t>
        </is>
      </c>
      <c r="B25" s="185" t="n">
        <v>3</v>
      </c>
      <c r="C25" s="166" t="inlineStr">
        <is>
          <t>0 to 6</t>
        </is>
      </c>
    </row>
    <row r="26">
      <c r="A26" s="164" t="inlineStr">
        <is>
          <t>Per-person salary cap per YEAR (₹ Cr)</t>
        </is>
      </c>
      <c r="B26" s="190" t="n">
        <v>0.12</v>
      </c>
      <c r="C26" s="166" t="inlineStr">
        <is>
          <t>Equals ₹12L/yr — inside the s.87A rebate zone</t>
        </is>
      </c>
    </row>
    <row r="27">
      <c r="A27" s="164" t="inlineStr">
        <is>
          <t>Total salary cap (% of cycle profit)</t>
        </is>
      </c>
      <c r="B27" s="191" t="n">
        <v>0.4</v>
      </c>
      <c r="C27" s="166" t="inlineStr">
        <is>
          <t>s.40A(2) reasonableness guard</t>
        </is>
      </c>
    </row>
    <row r="28">
      <c r="A28" s="164" t="inlineStr">
        <is>
          <t>Recycle ratio r (share of salary lent back)</t>
        </is>
      </c>
      <c r="B28" s="191" t="n">
        <v>1</v>
      </c>
      <c r="C28" s="166" t="inlineStr">
        <is>
          <t>Below 100% leaks (1−r) × salary out of the company each cycle</t>
        </is>
      </c>
    </row>
    <row r="29">
      <c r="A29" s="164" t="inlineStr">
        <is>
          <t>Tax case shown in the cycle ledger below</t>
        </is>
      </c>
      <c r="B29" s="195" t="inlineStr">
        <is>
          <t>Case 3 · Personal slabs → company at threshold</t>
        </is>
      </c>
      <c r="C29" s="170">
        <f>MATCH(B29,$A$50:$A$53,0)</f>
        <v/>
      </c>
    </row>
    <row r="30" ht="20" customHeight="1">
      <c r="A30" s="154" t="inlineStr">
        <is>
          <t>DERIVED  —  capacity and caps</t>
        </is>
      </c>
      <c r="B30" s="155" t="n"/>
      <c r="C30" s="155" t="n"/>
      <c r="D30" s="155" t="n"/>
      <c r="E30" s="155" t="n"/>
      <c r="F30" s="155" t="n"/>
      <c r="G30" s="155" t="n"/>
      <c r="H30" s="155" t="n"/>
      <c r="I30" s="155" t="n"/>
      <c r="J30" s="155" t="n"/>
      <c r="K30" s="155" t="n"/>
      <c r="L30" s="155" t="n"/>
      <c r="M30" s="155" t="n"/>
      <c r="N30" s="155" t="n"/>
      <c r="O30" s="155" t="n"/>
      <c r="P30" s="155" t="n"/>
      <c r="Q30" s="155" t="n"/>
    </row>
    <row r="31">
      <c r="A31" s="164" t="inlineStr">
        <is>
          <t>BDRY safe $/day in force</t>
        </is>
      </c>
      <c r="B31" s="196">
        <f>IF(B13="Hot",B15,B14)</f>
        <v/>
      </c>
      <c r="C31" s="166" t="inlineStr"/>
    </row>
    <row r="32">
      <c r="A32" s="164" t="inlineStr">
        <is>
          <t>BDRY build capacity (₹ Cr)</t>
        </is>
      </c>
      <c r="B32" s="173">
        <f>B31*B16*B9/10000000</f>
        <v/>
      </c>
      <c r="C32" s="166" t="inlineStr">
        <is>
          <t>safe $/day × build days</t>
        </is>
      </c>
    </row>
    <row r="33">
      <c r="A33" s="164" t="inlineStr">
        <is>
          <t>BDRY exit capacity (₹ Cr)</t>
        </is>
      </c>
      <c r="B33" s="173">
        <f>B31*B17*B9/10000000</f>
        <v/>
      </c>
      <c r="C33" s="166" t="inlineStr">
        <is>
          <t>safe $/day × exit days</t>
        </is>
      </c>
    </row>
    <row r="34">
      <c r="A34" s="164" t="inlineStr">
        <is>
          <t>FFA position capacity (₹ Cr)</t>
        </is>
      </c>
      <c r="B34" s="173">
        <f>B18*B9/10000000</f>
        <v/>
      </c>
      <c r="C34" s="166" t="inlineStr"/>
    </row>
    <row r="35">
      <c r="A35" s="164" t="inlineStr">
        <is>
          <t>ENTRY ceiling — BDRY (₹ Cr)</t>
        </is>
      </c>
      <c r="B35" s="173">
        <f>MIN(B32,B33/(1+B6))</f>
        <v/>
      </c>
      <c r="C35" s="166" t="inlineStr">
        <is>
          <t>Exit binds: the position grows by (1+gross) before it must be sold</t>
        </is>
      </c>
    </row>
    <row r="36">
      <c r="A36" s="164" t="inlineStr">
        <is>
          <t>ENTRY ceiling — FFA (₹ Cr)</t>
        </is>
      </c>
      <c r="B36" s="173">
        <f>B34/(1+B6)</f>
        <v/>
      </c>
      <c r="C36" s="166" t="inlineStr"/>
    </row>
    <row r="37">
      <c r="A37" s="164" t="inlineStr">
        <is>
          <t>Salary cap per person per cycle (₹ Cr)</t>
        </is>
      </c>
      <c r="B37" s="173">
        <f>B26*B7/12</f>
        <v/>
      </c>
      <c r="C37" s="166" t="inlineStr">
        <is>
          <t>annual cap × cycle months ÷ 12</t>
        </is>
      </c>
    </row>
    <row r="38">
      <c r="A38" s="164" t="inlineStr">
        <is>
          <t>Max family salary per cycle (₹ Cr)</t>
        </is>
      </c>
      <c r="B38" s="173">
        <f>B25*B37</f>
        <v/>
      </c>
      <c r="C38" s="166" t="inlineStr">
        <is>
          <t>members × per-person cap (before the % of profit cap)</t>
        </is>
      </c>
    </row>
    <row r="40" ht="20" customHeight="1">
      <c r="A40" s="154" t="inlineStr">
        <is>
          <t>PERSONAL TAX LADDER  —  New Regime, surcharge on slab income (looked up on each cycle's taxable gain)</t>
        </is>
      </c>
      <c r="B40" s="155" t="n"/>
      <c r="C40" s="155" t="n"/>
      <c r="D40" s="155" t="n"/>
      <c r="E40" s="155" t="n"/>
      <c r="F40" s="155" t="n"/>
      <c r="G40" s="155" t="n"/>
      <c r="H40" s="155" t="n"/>
      <c r="I40" s="155" t="n"/>
      <c r="J40" s="155" t="n"/>
      <c r="K40" s="155" t="n"/>
      <c r="L40" s="155" t="n"/>
      <c r="M40" s="155" t="n"/>
      <c r="N40" s="155" t="n"/>
      <c r="O40" s="155" t="n"/>
      <c r="P40" s="155" t="n"/>
      <c r="Q40" s="155" t="n"/>
    </row>
    <row r="41" ht="34" customHeight="1">
      <c r="A41" s="156" t="inlineStr">
        <is>
          <t>Taxable gain ≥ (₹ Cr)</t>
        </is>
      </c>
      <c r="B41" s="156" t="inlineStr">
        <is>
          <t>Surcharge</t>
        </is>
      </c>
      <c r="C41" s="156" t="inlineStr">
        <is>
          <t>Eff. STCG rate</t>
        </is>
      </c>
      <c r="D41" s="156" t="inlineStr">
        <is>
          <t>Eff. LTCG rate (cap applied)</t>
        </is>
      </c>
    </row>
    <row r="42">
      <c r="A42" s="197" t="n">
        <v>0</v>
      </c>
      <c r="B42" s="187" t="n">
        <v>0</v>
      </c>
      <c r="C42" s="186">
        <f>$B$20*(1+B42)*(1+$B$21)</f>
        <v/>
      </c>
      <c r="D42" s="186">
        <f>$B$19*(1+MIN(B42,$B$22))*(1+$B$21)</f>
        <v/>
      </c>
      <c r="E42" s="166" t="inlineStr">
        <is>
          <t>Top surcharge tier is applied to the whole gain (no marginal relief) — slightly overstates personal tax (conservative).</t>
        </is>
      </c>
    </row>
    <row r="43">
      <c r="A43" s="197" t="n">
        <v>0.5</v>
      </c>
      <c r="B43" s="187" t="n">
        <v>0.1</v>
      </c>
      <c r="C43" s="186">
        <f>$B$20*(1+B43)*(1+$B$21)</f>
        <v/>
      </c>
      <c r="D43" s="186">
        <f>$B$19*(1+MIN(B43,$B$22))*(1+$B$21)</f>
        <v/>
      </c>
    </row>
    <row r="44">
      <c r="A44" s="197" t="n">
        <v>1</v>
      </c>
      <c r="B44" s="187" t="n">
        <v>0.15</v>
      </c>
      <c r="C44" s="186">
        <f>$B$20*(1+B44)*(1+$B$21)</f>
        <v/>
      </c>
      <c r="D44" s="186">
        <f>$B$19*(1+MIN(B44,$B$22))*(1+$B$21)</f>
        <v/>
      </c>
    </row>
    <row r="45">
      <c r="A45" s="197" t="n">
        <v>2</v>
      </c>
      <c r="B45" s="187" t="n">
        <v>0.25</v>
      </c>
      <c r="C45" s="186">
        <f>$B$20*(1+B45)*(1+$B$21)</f>
        <v/>
      </c>
      <c r="D45" s="186">
        <f>$B$19*(1+MIN(B45,$B$22))*(1+$B$21)</f>
        <v/>
      </c>
    </row>
    <row r="48" ht="20" customHeight="1">
      <c r="A48" s="154" t="inlineStr">
        <is>
          <t>COMPARISON  —  after 20 cycles</t>
        </is>
      </c>
      <c r="B48" s="155" t="n"/>
      <c r="C48" s="155" t="n"/>
      <c r="D48" s="155" t="n"/>
      <c r="E48" s="155" t="n"/>
      <c r="F48" s="155" t="n"/>
      <c r="G48" s="155" t="n"/>
      <c r="H48" s="155" t="n"/>
      <c r="I48" s="155" t="n"/>
      <c r="J48" s="155" t="n"/>
      <c r="K48" s="155" t="n"/>
      <c r="L48" s="155" t="n"/>
      <c r="M48" s="155" t="n"/>
      <c r="N48" s="155" t="n"/>
      <c r="O48" s="155" t="n"/>
      <c r="P48" s="155" t="n"/>
      <c r="Q48" s="155" t="n"/>
    </row>
    <row r="49" ht="46" customHeight="1">
      <c r="A49" s="156" t="inlineStr">
        <is>
          <t>Tax case</t>
        </is>
      </c>
      <c r="B49" s="156" t="inlineStr">
        <is>
          <t>Final wealth (₹ Cr)</t>
        </is>
      </c>
      <c r="C49" s="156" t="inlineStr">
        <is>
          <t>Final wealth (USD)</t>
        </is>
      </c>
      <c r="D49" s="156" t="inlineStr">
        <is>
          <t>Net after-tax CAGR</t>
        </is>
      </c>
      <c r="E49" s="156" t="inlineStr">
        <is>
          <t>Total tax (₹ Cr)</t>
        </is>
      </c>
      <c r="F49" s="156" t="inlineStr">
        <is>
          <t>Total running cost (₹ Cr)</t>
        </is>
      </c>
      <c r="G49" s="156" t="inlineStr">
        <is>
          <t>Family salary paid (₹ Cr)</t>
        </is>
      </c>
      <c r="H49" s="156" t="inlineStr">
        <is>
          <t>Tax saved by payroll (₹ Cr)</t>
        </is>
      </c>
      <c r="I49" s="156" t="inlineStr">
        <is>
          <t>Net payroll leakage (₹ Cr)</t>
        </is>
      </c>
      <c r="J49" s="156" t="inlineStr">
        <is>
          <t>Company from cycle</t>
        </is>
      </c>
      <c r="K49" s="156" t="inlineStr">
        <is>
          <t>FFA from cycle</t>
        </is>
      </c>
      <c r="L49" s="156" t="inlineStr">
        <is>
          <t>Wealth ÷ Case 2</t>
        </is>
      </c>
    </row>
    <row r="50">
      <c r="A50" s="164" t="inlineStr">
        <is>
          <t>Case 1 · 0% tax throughout</t>
        </is>
      </c>
      <c r="B50" s="174">
        <f>Q152</f>
        <v/>
      </c>
      <c r="C50" s="198">
        <f>R152</f>
        <v/>
      </c>
      <c r="D50" s="199">
        <f>(Q152/$B$5)^(1/(20*$B$7/12))-1</f>
        <v/>
      </c>
      <c r="E50" s="174">
        <f>SUM(O133:O152)</f>
        <v/>
      </c>
      <c r="F50" s="174">
        <f>SUM(J133:J152)</f>
        <v/>
      </c>
      <c r="G50" s="174">
        <f>SUM(K133:K152)</f>
        <v/>
      </c>
      <c r="H50" s="174">
        <f>SUMPRODUCT(K133:K152,N133:N152)</f>
        <v/>
      </c>
      <c r="I50" s="174">
        <f>SUM(P133:P152)</f>
        <v/>
      </c>
      <c r="J50" s="200">
        <f>IFERROR(MATCH(1,C133:C152,0),"never")</f>
        <v/>
      </c>
      <c r="K50" s="200">
        <f>IFERROR(MATCH("SGX/ICE FFA blocks",E133:E152,0),"never")</f>
        <v/>
      </c>
      <c r="L50" s="201">
        <f>B50/$B$51</f>
        <v/>
      </c>
    </row>
    <row r="51">
      <c r="A51" s="164" t="inlineStr">
        <is>
          <t>Case 2 · Company flat 25.168% from cycle 1</t>
        </is>
      </c>
      <c r="B51" s="174">
        <f>Q177</f>
        <v/>
      </c>
      <c r="C51" s="198">
        <f>R177</f>
        <v/>
      </c>
      <c r="D51" s="199">
        <f>(Q177/$B$5)^(1/(20*$B$7/12))-1</f>
        <v/>
      </c>
      <c r="E51" s="174">
        <f>SUM(O158:O177)</f>
        <v/>
      </c>
      <c r="F51" s="174">
        <f>SUM(J158:J177)</f>
        <v/>
      </c>
      <c r="G51" s="174">
        <f>SUM(K158:K177)</f>
        <v/>
      </c>
      <c r="H51" s="174">
        <f>SUMPRODUCT(K158:K177,N158:N177)</f>
        <v/>
      </c>
      <c r="I51" s="174">
        <f>SUM(P158:P177)</f>
        <v/>
      </c>
      <c r="J51" s="200">
        <f>IFERROR(MATCH(1,C158:C177,0),"never")</f>
        <v/>
      </c>
      <c r="K51" s="200">
        <f>IFERROR(MATCH("SGX/ICE FFA blocks",E158:E177,0),"never")</f>
        <v/>
      </c>
      <c r="L51" s="201">
        <f>B51/$B$51</f>
        <v/>
      </c>
    </row>
    <row r="52">
      <c r="A52" s="164" t="inlineStr">
        <is>
          <t>Case 3 · Personal slabs → company at threshold</t>
        </is>
      </c>
      <c r="B52" s="174">
        <f>Q202</f>
        <v/>
      </c>
      <c r="C52" s="198">
        <f>R202</f>
        <v/>
      </c>
      <c r="D52" s="199">
        <f>(Q202/$B$5)^(1/(20*$B$7/12))-1</f>
        <v/>
      </c>
      <c r="E52" s="174">
        <f>SUM(O183:O202)</f>
        <v/>
      </c>
      <c r="F52" s="174">
        <f>SUM(J183:J202)</f>
        <v/>
      </c>
      <c r="G52" s="174">
        <f>SUM(K183:K202)</f>
        <v/>
      </c>
      <c r="H52" s="174">
        <f>SUMPRODUCT(K183:K202,N183:N202)</f>
        <v/>
      </c>
      <c r="I52" s="174">
        <f>SUM(P183:P202)</f>
        <v/>
      </c>
      <c r="J52" s="200">
        <f>IFERROR(MATCH(1,C183:C202,0),"never")</f>
        <v/>
      </c>
      <c r="K52" s="200">
        <f>IFERROR(MATCH("SGX/ICE FFA blocks",E183:E202,0),"never")</f>
        <v/>
      </c>
      <c r="L52" s="201">
        <f>B52/$B$51</f>
        <v/>
      </c>
    </row>
    <row r="53">
      <c r="A53" s="164" t="inlineStr">
        <is>
          <t>Case 4 · Personal only (never a company)</t>
        </is>
      </c>
      <c r="B53" s="174">
        <f>Q227</f>
        <v/>
      </c>
      <c r="C53" s="198">
        <f>R227</f>
        <v/>
      </c>
      <c r="D53" s="199">
        <f>(Q227/$B$5)^(1/(20*$B$7/12))-1</f>
        <v/>
      </c>
      <c r="E53" s="174">
        <f>SUM(O208:O227)</f>
        <v/>
      </c>
      <c r="F53" s="174">
        <f>SUM(J208:J227)</f>
        <v/>
      </c>
      <c r="G53" s="174">
        <f>SUM(K208:K227)</f>
        <v/>
      </c>
      <c r="H53" s="174">
        <f>SUMPRODUCT(K208:K227,N208:N227)</f>
        <v/>
      </c>
      <c r="I53" s="174">
        <f>SUM(P208:P227)</f>
        <v/>
      </c>
      <c r="J53" s="200">
        <f>IFERROR(MATCH(1,C208:C227,0),"never")</f>
        <v/>
      </c>
      <c r="K53" s="200">
        <f>IFERROR(MATCH("SGX/ICE FFA blocks",E208:E227,0),"never")</f>
        <v/>
      </c>
      <c r="L53" s="201">
        <f>B53/$B$51</f>
        <v/>
      </c>
    </row>
    <row r="54">
      <c r="A54" s="166" t="inlineStr">
        <is>
          <t>Money stays inside the company (no exit tax modelled).</t>
        </is>
      </c>
    </row>
    <row r="56" ht="20" customHeight="1">
      <c r="A56" s="154" t="inlineStr">
        <is>
          <t>EVERY CYCLE, ALL FOUR TAX CASES  —  corpus at the end of each cycle (₹ Cr)</t>
        </is>
      </c>
      <c r="B56" s="155" t="n"/>
      <c r="C56" s="155" t="n"/>
      <c r="D56" s="155" t="n"/>
      <c r="E56" s="155" t="n"/>
      <c r="F56" s="155" t="n"/>
      <c r="G56" s="155" t="n"/>
      <c r="H56" s="155" t="n"/>
      <c r="I56" s="155" t="n"/>
      <c r="J56" s="155" t="n"/>
      <c r="K56" s="155" t="n"/>
      <c r="L56" s="155" t="n"/>
      <c r="M56" s="155" t="n"/>
      <c r="N56" s="155" t="n"/>
      <c r="O56" s="155" t="n"/>
      <c r="P56" s="155" t="n"/>
      <c r="Q56" s="155" t="n"/>
    </row>
    <row r="57" ht="34" customHeight="1">
      <c r="A57" s="156" t="inlineStr">
        <is>
          <t>Cycle</t>
        </is>
      </c>
      <c r="B57" s="156" t="inlineStr">
        <is>
          <t>Case 1 · 0% tax</t>
        </is>
      </c>
      <c r="C57" s="156" t="inlineStr">
        <is>
          <t>Case 2 · company from start</t>
        </is>
      </c>
      <c r="D57" s="156" t="inlineStr">
        <is>
          <t>Case 3 · personal → company</t>
        </is>
      </c>
      <c r="E57" s="156" t="inlineStr">
        <is>
          <t>Case 4 · personal only</t>
        </is>
      </c>
      <c r="F57" s="156" t="inlineStr">
        <is>
          <t>Best case</t>
        </is>
      </c>
    </row>
    <row r="58">
      <c r="A58" s="178" t="n">
        <v>0</v>
      </c>
      <c r="B58" s="179">
        <f>$B$5</f>
        <v/>
      </c>
      <c r="C58" s="179">
        <f>$B$5</f>
        <v/>
      </c>
      <c r="D58" s="179">
        <f>$B$5</f>
        <v/>
      </c>
      <c r="E58" s="179">
        <f>$B$5</f>
        <v/>
      </c>
      <c r="F58" s="175">
        <f>IF(A58=0,"—",IF(B58=MAX(B58:E58),"Case 1",IF(C58=MAX(B58:E58),"Case 2",IF(D58=MAX(B58:E58),"Case 3","Case 4"))))</f>
        <v/>
      </c>
    </row>
    <row r="59">
      <c r="A59" s="178" t="n">
        <v>1</v>
      </c>
      <c r="B59" s="179">
        <f>Q133</f>
        <v/>
      </c>
      <c r="C59" s="179">
        <f>Q158</f>
        <v/>
      </c>
      <c r="D59" s="179">
        <f>Q183</f>
        <v/>
      </c>
      <c r="E59" s="179">
        <f>Q208</f>
        <v/>
      </c>
      <c r="F59" s="175">
        <f>IF(A59=0,"—",IF(B59=MAX(B59:E59),"Case 1",IF(C59=MAX(B59:E59),"Case 2",IF(D59=MAX(B59:E59),"Case 3","Case 4"))))</f>
        <v/>
      </c>
    </row>
    <row r="60">
      <c r="A60" s="178" t="n">
        <v>2</v>
      </c>
      <c r="B60" s="179">
        <f>Q134</f>
        <v/>
      </c>
      <c r="C60" s="179">
        <f>Q159</f>
        <v/>
      </c>
      <c r="D60" s="179">
        <f>Q184</f>
        <v/>
      </c>
      <c r="E60" s="179">
        <f>Q209</f>
        <v/>
      </c>
      <c r="F60" s="175">
        <f>IF(A60=0,"—",IF(B60=MAX(B60:E60),"Case 1",IF(C60=MAX(B60:E60),"Case 2",IF(D60=MAX(B60:E60),"Case 3","Case 4"))))</f>
        <v/>
      </c>
    </row>
    <row r="61">
      <c r="A61" s="178" t="n">
        <v>3</v>
      </c>
      <c r="B61" s="179">
        <f>Q135</f>
        <v/>
      </c>
      <c r="C61" s="179">
        <f>Q160</f>
        <v/>
      </c>
      <c r="D61" s="179">
        <f>Q185</f>
        <v/>
      </c>
      <c r="E61" s="179">
        <f>Q210</f>
        <v/>
      </c>
      <c r="F61" s="175">
        <f>IF(A61=0,"—",IF(B61=MAX(B61:E61),"Case 1",IF(C61=MAX(B61:E61),"Case 2",IF(D61=MAX(B61:E61),"Case 3","Case 4"))))</f>
        <v/>
      </c>
    </row>
    <row r="62">
      <c r="A62" s="178" t="n">
        <v>4</v>
      </c>
      <c r="B62" s="179">
        <f>Q136</f>
        <v/>
      </c>
      <c r="C62" s="179">
        <f>Q161</f>
        <v/>
      </c>
      <c r="D62" s="179">
        <f>Q186</f>
        <v/>
      </c>
      <c r="E62" s="179">
        <f>Q211</f>
        <v/>
      </c>
      <c r="F62" s="175">
        <f>IF(A62=0,"—",IF(B62=MAX(B62:E62),"Case 1",IF(C62=MAX(B62:E62),"Case 2",IF(D62=MAX(B62:E62),"Case 3","Case 4"))))</f>
        <v/>
      </c>
    </row>
    <row r="63">
      <c r="A63" s="178" t="n">
        <v>5</v>
      </c>
      <c r="B63" s="179">
        <f>Q137</f>
        <v/>
      </c>
      <c r="C63" s="179">
        <f>Q162</f>
        <v/>
      </c>
      <c r="D63" s="179">
        <f>Q187</f>
        <v/>
      </c>
      <c r="E63" s="179">
        <f>Q212</f>
        <v/>
      </c>
      <c r="F63" s="175">
        <f>IF(A63=0,"—",IF(B63=MAX(B63:E63),"Case 1",IF(C63=MAX(B63:E63),"Case 2",IF(D63=MAX(B63:E63),"Case 3","Case 4"))))</f>
        <v/>
      </c>
    </row>
    <row r="64">
      <c r="A64" s="178" t="n">
        <v>6</v>
      </c>
      <c r="B64" s="179">
        <f>Q138</f>
        <v/>
      </c>
      <c r="C64" s="179">
        <f>Q163</f>
        <v/>
      </c>
      <c r="D64" s="179">
        <f>Q188</f>
        <v/>
      </c>
      <c r="E64" s="179">
        <f>Q213</f>
        <v/>
      </c>
      <c r="F64" s="175">
        <f>IF(A64=0,"—",IF(B64=MAX(B64:E64),"Case 1",IF(C64=MAX(B64:E64),"Case 2",IF(D64=MAX(B64:E64),"Case 3","Case 4"))))</f>
        <v/>
      </c>
    </row>
    <row r="65">
      <c r="A65" s="178" t="n">
        <v>7</v>
      </c>
      <c r="B65" s="179">
        <f>Q139</f>
        <v/>
      </c>
      <c r="C65" s="179">
        <f>Q164</f>
        <v/>
      </c>
      <c r="D65" s="179">
        <f>Q189</f>
        <v/>
      </c>
      <c r="E65" s="179">
        <f>Q214</f>
        <v/>
      </c>
      <c r="F65" s="175">
        <f>IF(A65=0,"—",IF(B65=MAX(B65:E65),"Case 1",IF(C65=MAX(B65:E65),"Case 2",IF(D65=MAX(B65:E65),"Case 3","Case 4"))))</f>
        <v/>
      </c>
    </row>
    <row r="66">
      <c r="A66" s="178" t="n">
        <v>8</v>
      </c>
      <c r="B66" s="179">
        <f>Q140</f>
        <v/>
      </c>
      <c r="C66" s="179">
        <f>Q165</f>
        <v/>
      </c>
      <c r="D66" s="179">
        <f>Q190</f>
        <v/>
      </c>
      <c r="E66" s="179">
        <f>Q215</f>
        <v/>
      </c>
      <c r="F66" s="175">
        <f>IF(A66=0,"—",IF(B66=MAX(B66:E66),"Case 1",IF(C66=MAX(B66:E66),"Case 2",IF(D66=MAX(B66:E66),"Case 3","Case 4"))))</f>
        <v/>
      </c>
    </row>
    <row r="67">
      <c r="A67" s="178" t="n">
        <v>9</v>
      </c>
      <c r="B67" s="179">
        <f>Q141</f>
        <v/>
      </c>
      <c r="C67" s="179">
        <f>Q166</f>
        <v/>
      </c>
      <c r="D67" s="179">
        <f>Q191</f>
        <v/>
      </c>
      <c r="E67" s="179">
        <f>Q216</f>
        <v/>
      </c>
      <c r="F67" s="175">
        <f>IF(A67=0,"—",IF(B67=MAX(B67:E67),"Case 1",IF(C67=MAX(B67:E67),"Case 2",IF(D67=MAX(B67:E67),"Case 3","Case 4"))))</f>
        <v/>
      </c>
    </row>
    <row r="68">
      <c r="A68" s="178" t="n">
        <v>10</v>
      </c>
      <c r="B68" s="179">
        <f>Q142</f>
        <v/>
      </c>
      <c r="C68" s="179">
        <f>Q167</f>
        <v/>
      </c>
      <c r="D68" s="179">
        <f>Q192</f>
        <v/>
      </c>
      <c r="E68" s="179">
        <f>Q217</f>
        <v/>
      </c>
      <c r="F68" s="175">
        <f>IF(A68=0,"—",IF(B68=MAX(B68:E68),"Case 1",IF(C68=MAX(B68:E68),"Case 2",IF(D68=MAX(B68:E68),"Case 3","Case 4"))))</f>
        <v/>
      </c>
    </row>
    <row r="69">
      <c r="A69" s="178" t="n">
        <v>11</v>
      </c>
      <c r="B69" s="179">
        <f>Q143</f>
        <v/>
      </c>
      <c r="C69" s="179">
        <f>Q168</f>
        <v/>
      </c>
      <c r="D69" s="179">
        <f>Q193</f>
        <v/>
      </c>
      <c r="E69" s="179">
        <f>Q218</f>
        <v/>
      </c>
      <c r="F69" s="175">
        <f>IF(A69=0,"—",IF(B69=MAX(B69:E69),"Case 1",IF(C69=MAX(B69:E69),"Case 2",IF(D69=MAX(B69:E69),"Case 3","Case 4"))))</f>
        <v/>
      </c>
    </row>
    <row r="70">
      <c r="A70" s="178" t="n">
        <v>12</v>
      </c>
      <c r="B70" s="179">
        <f>Q144</f>
        <v/>
      </c>
      <c r="C70" s="179">
        <f>Q169</f>
        <v/>
      </c>
      <c r="D70" s="179">
        <f>Q194</f>
        <v/>
      </c>
      <c r="E70" s="179">
        <f>Q219</f>
        <v/>
      </c>
      <c r="F70" s="175">
        <f>IF(A70=0,"—",IF(B70=MAX(B70:E70),"Case 1",IF(C70=MAX(B70:E70),"Case 2",IF(D70=MAX(B70:E70),"Case 3","Case 4"))))</f>
        <v/>
      </c>
    </row>
    <row r="71">
      <c r="A71" s="178" t="n">
        <v>13</v>
      </c>
      <c r="B71" s="179">
        <f>Q145</f>
        <v/>
      </c>
      <c r="C71" s="179">
        <f>Q170</f>
        <v/>
      </c>
      <c r="D71" s="179">
        <f>Q195</f>
        <v/>
      </c>
      <c r="E71" s="179">
        <f>Q220</f>
        <v/>
      </c>
      <c r="F71" s="175">
        <f>IF(A71=0,"—",IF(B71=MAX(B71:E71),"Case 1",IF(C71=MAX(B71:E71),"Case 2",IF(D71=MAX(B71:E71),"Case 3","Case 4"))))</f>
        <v/>
      </c>
    </row>
    <row r="72">
      <c r="A72" s="178" t="n">
        <v>14</v>
      </c>
      <c r="B72" s="179">
        <f>Q146</f>
        <v/>
      </c>
      <c r="C72" s="179">
        <f>Q171</f>
        <v/>
      </c>
      <c r="D72" s="179">
        <f>Q196</f>
        <v/>
      </c>
      <c r="E72" s="179">
        <f>Q221</f>
        <v/>
      </c>
      <c r="F72" s="175">
        <f>IF(A72=0,"—",IF(B72=MAX(B72:E72),"Case 1",IF(C72=MAX(B72:E72),"Case 2",IF(D72=MAX(B72:E72),"Case 3","Case 4"))))</f>
        <v/>
      </c>
    </row>
    <row r="73">
      <c r="A73" s="178" t="n">
        <v>15</v>
      </c>
      <c r="B73" s="179">
        <f>Q147</f>
        <v/>
      </c>
      <c r="C73" s="179">
        <f>Q172</f>
        <v/>
      </c>
      <c r="D73" s="179">
        <f>Q197</f>
        <v/>
      </c>
      <c r="E73" s="179">
        <f>Q222</f>
        <v/>
      </c>
      <c r="F73" s="175">
        <f>IF(A73=0,"—",IF(B73=MAX(B73:E73),"Case 1",IF(C73=MAX(B73:E73),"Case 2",IF(D73=MAX(B73:E73),"Case 3","Case 4"))))</f>
        <v/>
      </c>
    </row>
    <row r="74">
      <c r="A74" s="178" t="n">
        <v>16</v>
      </c>
      <c r="B74" s="179">
        <f>Q148</f>
        <v/>
      </c>
      <c r="C74" s="179">
        <f>Q173</f>
        <v/>
      </c>
      <c r="D74" s="179">
        <f>Q198</f>
        <v/>
      </c>
      <c r="E74" s="179">
        <f>Q223</f>
        <v/>
      </c>
      <c r="F74" s="175">
        <f>IF(A74=0,"—",IF(B74=MAX(B74:E74),"Case 1",IF(C74=MAX(B74:E74),"Case 2",IF(D74=MAX(B74:E74),"Case 3","Case 4"))))</f>
        <v/>
      </c>
    </row>
    <row r="75">
      <c r="A75" s="178" t="n">
        <v>17</v>
      </c>
      <c r="B75" s="179">
        <f>Q149</f>
        <v/>
      </c>
      <c r="C75" s="179">
        <f>Q174</f>
        <v/>
      </c>
      <c r="D75" s="179">
        <f>Q199</f>
        <v/>
      </c>
      <c r="E75" s="179">
        <f>Q224</f>
        <v/>
      </c>
      <c r="F75" s="175">
        <f>IF(A75=0,"—",IF(B75=MAX(B75:E75),"Case 1",IF(C75=MAX(B75:E75),"Case 2",IF(D75=MAX(B75:E75),"Case 3","Case 4"))))</f>
        <v/>
      </c>
    </row>
    <row r="76">
      <c r="A76" s="178" t="n">
        <v>18</v>
      </c>
      <c r="B76" s="179">
        <f>Q150</f>
        <v/>
      </c>
      <c r="C76" s="179">
        <f>Q175</f>
        <v/>
      </c>
      <c r="D76" s="179">
        <f>Q200</f>
        <v/>
      </c>
      <c r="E76" s="179">
        <f>Q225</f>
        <v/>
      </c>
      <c r="F76" s="175">
        <f>IF(A76=0,"—",IF(B76=MAX(B76:E76),"Case 1",IF(C76=MAX(B76:E76),"Case 2",IF(D76=MAX(B76:E76),"Case 3","Case 4"))))</f>
        <v/>
      </c>
    </row>
    <row r="77">
      <c r="A77" s="178" t="n">
        <v>19</v>
      </c>
      <c r="B77" s="179">
        <f>Q151</f>
        <v/>
      </c>
      <c r="C77" s="179">
        <f>Q176</f>
        <v/>
      </c>
      <c r="D77" s="179">
        <f>Q201</f>
        <v/>
      </c>
      <c r="E77" s="179">
        <f>Q226</f>
        <v/>
      </c>
      <c r="F77" s="175">
        <f>IF(A77=0,"—",IF(B77=MAX(B77:E77),"Case 1",IF(C77=MAX(B77:E77),"Case 2",IF(D77=MAX(B77:E77),"Case 3","Case 4"))))</f>
        <v/>
      </c>
    </row>
    <row r="78">
      <c r="A78" s="178" t="n">
        <v>20</v>
      </c>
      <c r="B78" s="179">
        <f>Q152</f>
        <v/>
      </c>
      <c r="C78" s="179">
        <f>Q177</f>
        <v/>
      </c>
      <c r="D78" s="179">
        <f>Q202</f>
        <v/>
      </c>
      <c r="E78" s="179">
        <f>Q227</f>
        <v/>
      </c>
      <c r="F78" s="175">
        <f>IF(A78=0,"—",IF(B78=MAX(B78:E78),"Case 1",IF(C78=MAX(B78:E78),"Case 2",IF(D78=MAX(B78:E78),"Case 3","Case 4"))))</f>
        <v/>
      </c>
    </row>
    <row r="80" ht="20" customHeight="1">
      <c r="A80" s="154" t="inlineStr">
        <is>
          <t>CYCLE LEDGER OF THE CASE YOU PICKED (B29)  —  cycle 0 = opening; read across to see where every rupee went</t>
        </is>
      </c>
      <c r="B80" s="155" t="n"/>
      <c r="C80" s="155" t="n"/>
      <c r="D80" s="155" t="n"/>
      <c r="E80" s="155" t="n"/>
      <c r="F80" s="155" t="n"/>
      <c r="G80" s="155" t="n"/>
      <c r="H80" s="155" t="n"/>
      <c r="I80" s="155" t="n"/>
      <c r="J80" s="155" t="n"/>
      <c r="K80" s="155" t="n"/>
      <c r="L80" s="155" t="n"/>
      <c r="M80" s="155" t="n"/>
      <c r="N80" s="155" t="n"/>
      <c r="O80" s="155" t="n"/>
      <c r="P80" s="155" t="n"/>
      <c r="Q80" s="155" t="n"/>
    </row>
    <row r="81" ht="40" customHeight="1">
      <c r="A81" s="156" t="inlineStr">
        <is>
          <t>Cycle</t>
        </is>
      </c>
      <c r="B81" s="156" t="inlineStr">
        <is>
          <t>Opening corpus ₹ Cr</t>
        </is>
      </c>
      <c r="C81" s="156" t="inlineStr">
        <is>
          <t>Wrapper (FEMA gate)</t>
        </is>
      </c>
      <c r="D81" s="156" t="inlineStr">
        <is>
          <t>Instrument</t>
        </is>
      </c>
      <c r="E81" s="156" t="inlineStr">
        <is>
          <t>Deployed ₹ Cr</t>
        </is>
      </c>
      <c r="F81" s="156" t="inlineStr">
        <is>
          <t>Idle ₹ Cr</t>
        </is>
      </c>
      <c r="G81" s="156" t="inlineStr">
        <is>
          <t>Gross profit ₹ Cr</t>
        </is>
      </c>
      <c r="H81" s="156" t="inlineStr">
        <is>
          <t>Running cost ₹ Cr</t>
        </is>
      </c>
      <c r="I81" s="156" t="inlineStr">
        <is>
          <t>Family salary ₹ Cr</t>
        </is>
      </c>
      <c r="J81" s="156" t="inlineStr">
        <is>
          <t>Taxable profit ₹ Cr</t>
        </is>
      </c>
      <c r="K81" s="156" t="inlineStr">
        <is>
          <t>Tax basis</t>
        </is>
      </c>
      <c r="L81" s="156" t="inlineStr">
        <is>
          <t>Tax rate</t>
        </is>
      </c>
      <c r="M81" s="156" t="inlineStr">
        <is>
          <t>Tax paid ₹ Cr</t>
        </is>
      </c>
      <c r="N81" s="156" t="inlineStr">
        <is>
          <t>Net payroll leakage ₹ Cr</t>
        </is>
      </c>
      <c r="O81" s="156" t="inlineStr">
        <is>
          <t>Closing corpus ₹ Cr</t>
        </is>
      </c>
      <c r="P81" s="156" t="inlineStr">
        <is>
          <t>Closing USD</t>
        </is>
      </c>
      <c r="Q81" s="156" t="inlineStr">
        <is>
          <t>Compliance flag</t>
        </is>
      </c>
    </row>
    <row r="82">
      <c r="A82" s="178" t="n">
        <v>0</v>
      </c>
      <c r="B82" s="179" t="n"/>
      <c r="C82" s="181" t="inlineStr">
        <is>
          <t>Opening</t>
        </is>
      </c>
      <c r="D82" s="181" t="inlineStr">
        <is>
          <t>—</t>
        </is>
      </c>
      <c r="E82" s="179" t="n"/>
      <c r="F82" s="179" t="n"/>
      <c r="G82" s="179" t="n"/>
      <c r="H82" s="179" t="n"/>
      <c r="I82" s="179" t="n"/>
      <c r="J82" s="179" t="n"/>
      <c r="K82" s="181" t="n"/>
      <c r="L82" s="182" t="n"/>
      <c r="M82" s="179" t="n"/>
      <c r="N82" s="179" t="n"/>
      <c r="O82" s="174">
        <f>$B$5</f>
        <v/>
      </c>
      <c r="P82" s="202">
        <f>$B$5*10000000/$B$9</f>
        <v/>
      </c>
      <c r="Q82" s="181" t="n"/>
    </row>
    <row r="83">
      <c r="A83" s="178" t="n">
        <v>1</v>
      </c>
      <c r="B83" s="179">
        <f>CHOOSE($C$29,B133,B158,B183,B208)</f>
        <v/>
      </c>
      <c r="C83" s="181">
        <f>CHOOSE($C$29,D133,D158,D183,D208)</f>
        <v/>
      </c>
      <c r="D83" s="181">
        <f>CHOOSE($C$29,E133,E158,E183,E208)</f>
        <v/>
      </c>
      <c r="E83" s="179">
        <f>CHOOSE($C$29,G133,G158,G183,G208)</f>
        <v/>
      </c>
      <c r="F83" s="179">
        <f>CHOOSE($C$29,H133,H158,H183,H208)</f>
        <v/>
      </c>
      <c r="G83" s="179">
        <f>CHOOSE($C$29,I133,I158,I183,I208)</f>
        <v/>
      </c>
      <c r="H83" s="179">
        <f>CHOOSE($C$29,J133,J158,J183,J208)</f>
        <v/>
      </c>
      <c r="I83" s="179">
        <f>CHOOSE($C$29,K133,K158,K183,K208)</f>
        <v/>
      </c>
      <c r="J83" s="179">
        <f>CHOOSE($C$29,L133,L158,L183,L208)</f>
        <v/>
      </c>
      <c r="K83" s="181">
        <f>CHOOSE($C$29,M133,M158,M183,M208)</f>
        <v/>
      </c>
      <c r="L83" s="182">
        <f>CHOOSE($C$29,N133,N158,N183,N208)</f>
        <v/>
      </c>
      <c r="M83" s="179">
        <f>CHOOSE($C$29,O133,O158,O183,O208)</f>
        <v/>
      </c>
      <c r="N83" s="179">
        <f>CHOOSE($C$29,P133,P158,P183,P208)</f>
        <v/>
      </c>
      <c r="O83" s="174">
        <f>CHOOSE($C$29,Q133,Q158,Q183,Q208)</f>
        <v/>
      </c>
      <c r="P83" s="202">
        <f>CHOOSE($C$29,R133,R158,R183,R208)</f>
        <v/>
      </c>
      <c r="Q83" s="203">
        <f>CHOOSE($C$29,S133,S158,S183,S208)</f>
        <v/>
      </c>
    </row>
    <row r="84">
      <c r="A84" s="178" t="n">
        <v>2</v>
      </c>
      <c r="B84" s="179">
        <f>CHOOSE($C$29,B134,B159,B184,B209)</f>
        <v/>
      </c>
      <c r="C84" s="181">
        <f>CHOOSE($C$29,D134,D159,D184,D209)</f>
        <v/>
      </c>
      <c r="D84" s="181">
        <f>CHOOSE($C$29,E134,E159,E184,E209)</f>
        <v/>
      </c>
      <c r="E84" s="179">
        <f>CHOOSE($C$29,G134,G159,G184,G209)</f>
        <v/>
      </c>
      <c r="F84" s="179">
        <f>CHOOSE($C$29,H134,H159,H184,H209)</f>
        <v/>
      </c>
      <c r="G84" s="179">
        <f>CHOOSE($C$29,I134,I159,I184,I209)</f>
        <v/>
      </c>
      <c r="H84" s="179">
        <f>CHOOSE($C$29,J134,J159,J184,J209)</f>
        <v/>
      </c>
      <c r="I84" s="179">
        <f>CHOOSE($C$29,K134,K159,K184,K209)</f>
        <v/>
      </c>
      <c r="J84" s="179">
        <f>CHOOSE($C$29,L134,L159,L184,L209)</f>
        <v/>
      </c>
      <c r="K84" s="181">
        <f>CHOOSE($C$29,M134,M159,M184,M209)</f>
        <v/>
      </c>
      <c r="L84" s="182">
        <f>CHOOSE($C$29,N134,N159,N184,N209)</f>
        <v/>
      </c>
      <c r="M84" s="179">
        <f>CHOOSE($C$29,O134,O159,O184,O209)</f>
        <v/>
      </c>
      <c r="N84" s="179">
        <f>CHOOSE($C$29,P134,P159,P184,P209)</f>
        <v/>
      </c>
      <c r="O84" s="174">
        <f>CHOOSE($C$29,Q134,Q159,Q184,Q209)</f>
        <v/>
      </c>
      <c r="P84" s="202">
        <f>CHOOSE($C$29,R134,R159,R184,R209)</f>
        <v/>
      </c>
      <c r="Q84" s="203">
        <f>CHOOSE($C$29,S134,S159,S184,S209)</f>
        <v/>
      </c>
    </row>
    <row r="85">
      <c r="A85" s="178" t="n">
        <v>3</v>
      </c>
      <c r="B85" s="179">
        <f>CHOOSE($C$29,B135,B160,B185,B210)</f>
        <v/>
      </c>
      <c r="C85" s="181">
        <f>CHOOSE($C$29,D135,D160,D185,D210)</f>
        <v/>
      </c>
      <c r="D85" s="181">
        <f>CHOOSE($C$29,E135,E160,E185,E210)</f>
        <v/>
      </c>
      <c r="E85" s="179">
        <f>CHOOSE($C$29,G135,G160,G185,G210)</f>
        <v/>
      </c>
      <c r="F85" s="179">
        <f>CHOOSE($C$29,H135,H160,H185,H210)</f>
        <v/>
      </c>
      <c r="G85" s="179">
        <f>CHOOSE($C$29,I135,I160,I185,I210)</f>
        <v/>
      </c>
      <c r="H85" s="179">
        <f>CHOOSE($C$29,J135,J160,J185,J210)</f>
        <v/>
      </c>
      <c r="I85" s="179">
        <f>CHOOSE($C$29,K135,K160,K185,K210)</f>
        <v/>
      </c>
      <c r="J85" s="179">
        <f>CHOOSE($C$29,L135,L160,L185,L210)</f>
        <v/>
      </c>
      <c r="K85" s="181">
        <f>CHOOSE($C$29,M135,M160,M185,M210)</f>
        <v/>
      </c>
      <c r="L85" s="182">
        <f>CHOOSE($C$29,N135,N160,N185,N210)</f>
        <v/>
      </c>
      <c r="M85" s="179">
        <f>CHOOSE($C$29,O135,O160,O185,O210)</f>
        <v/>
      </c>
      <c r="N85" s="179">
        <f>CHOOSE($C$29,P135,P160,P185,P210)</f>
        <v/>
      </c>
      <c r="O85" s="174">
        <f>CHOOSE($C$29,Q135,Q160,Q185,Q210)</f>
        <v/>
      </c>
      <c r="P85" s="202">
        <f>CHOOSE($C$29,R135,R160,R185,R210)</f>
        <v/>
      </c>
      <c r="Q85" s="203">
        <f>CHOOSE($C$29,S135,S160,S185,S210)</f>
        <v/>
      </c>
    </row>
    <row r="86">
      <c r="A86" s="178" t="n">
        <v>4</v>
      </c>
      <c r="B86" s="179">
        <f>CHOOSE($C$29,B136,B161,B186,B211)</f>
        <v/>
      </c>
      <c r="C86" s="181">
        <f>CHOOSE($C$29,D136,D161,D186,D211)</f>
        <v/>
      </c>
      <c r="D86" s="181">
        <f>CHOOSE($C$29,E136,E161,E186,E211)</f>
        <v/>
      </c>
      <c r="E86" s="179">
        <f>CHOOSE($C$29,G136,G161,G186,G211)</f>
        <v/>
      </c>
      <c r="F86" s="179">
        <f>CHOOSE($C$29,H136,H161,H186,H211)</f>
        <v/>
      </c>
      <c r="G86" s="179">
        <f>CHOOSE($C$29,I136,I161,I186,I211)</f>
        <v/>
      </c>
      <c r="H86" s="179">
        <f>CHOOSE($C$29,J136,J161,J186,J211)</f>
        <v/>
      </c>
      <c r="I86" s="179">
        <f>CHOOSE($C$29,K136,K161,K186,K211)</f>
        <v/>
      </c>
      <c r="J86" s="179">
        <f>CHOOSE($C$29,L136,L161,L186,L211)</f>
        <v/>
      </c>
      <c r="K86" s="181">
        <f>CHOOSE($C$29,M136,M161,M186,M211)</f>
        <v/>
      </c>
      <c r="L86" s="182">
        <f>CHOOSE($C$29,N136,N161,N186,N211)</f>
        <v/>
      </c>
      <c r="M86" s="179">
        <f>CHOOSE($C$29,O136,O161,O186,O211)</f>
        <v/>
      </c>
      <c r="N86" s="179">
        <f>CHOOSE($C$29,P136,P161,P186,P211)</f>
        <v/>
      </c>
      <c r="O86" s="174">
        <f>CHOOSE($C$29,Q136,Q161,Q186,Q211)</f>
        <v/>
      </c>
      <c r="P86" s="202">
        <f>CHOOSE($C$29,R136,R161,R186,R211)</f>
        <v/>
      </c>
      <c r="Q86" s="203">
        <f>CHOOSE($C$29,S136,S161,S186,S211)</f>
        <v/>
      </c>
    </row>
    <row r="87">
      <c r="A87" s="178" t="n">
        <v>5</v>
      </c>
      <c r="B87" s="179">
        <f>CHOOSE($C$29,B137,B162,B187,B212)</f>
        <v/>
      </c>
      <c r="C87" s="181">
        <f>CHOOSE($C$29,D137,D162,D187,D212)</f>
        <v/>
      </c>
      <c r="D87" s="181">
        <f>CHOOSE($C$29,E137,E162,E187,E212)</f>
        <v/>
      </c>
      <c r="E87" s="179">
        <f>CHOOSE($C$29,G137,G162,G187,G212)</f>
        <v/>
      </c>
      <c r="F87" s="179">
        <f>CHOOSE($C$29,H137,H162,H187,H212)</f>
        <v/>
      </c>
      <c r="G87" s="179">
        <f>CHOOSE($C$29,I137,I162,I187,I212)</f>
        <v/>
      </c>
      <c r="H87" s="179">
        <f>CHOOSE($C$29,J137,J162,J187,J212)</f>
        <v/>
      </c>
      <c r="I87" s="179">
        <f>CHOOSE($C$29,K137,K162,K187,K212)</f>
        <v/>
      </c>
      <c r="J87" s="179">
        <f>CHOOSE($C$29,L137,L162,L187,L212)</f>
        <v/>
      </c>
      <c r="K87" s="181">
        <f>CHOOSE($C$29,M137,M162,M187,M212)</f>
        <v/>
      </c>
      <c r="L87" s="182">
        <f>CHOOSE($C$29,N137,N162,N187,N212)</f>
        <v/>
      </c>
      <c r="M87" s="179">
        <f>CHOOSE($C$29,O137,O162,O187,O212)</f>
        <v/>
      </c>
      <c r="N87" s="179">
        <f>CHOOSE($C$29,P137,P162,P187,P212)</f>
        <v/>
      </c>
      <c r="O87" s="174">
        <f>CHOOSE($C$29,Q137,Q162,Q187,Q212)</f>
        <v/>
      </c>
      <c r="P87" s="202">
        <f>CHOOSE($C$29,R137,R162,R187,R212)</f>
        <v/>
      </c>
      <c r="Q87" s="203">
        <f>CHOOSE($C$29,S137,S162,S187,S212)</f>
        <v/>
      </c>
    </row>
    <row r="88">
      <c r="A88" s="178" t="n">
        <v>6</v>
      </c>
      <c r="B88" s="179">
        <f>CHOOSE($C$29,B138,B163,B188,B213)</f>
        <v/>
      </c>
      <c r="C88" s="181">
        <f>CHOOSE($C$29,D138,D163,D188,D213)</f>
        <v/>
      </c>
      <c r="D88" s="181">
        <f>CHOOSE($C$29,E138,E163,E188,E213)</f>
        <v/>
      </c>
      <c r="E88" s="179">
        <f>CHOOSE($C$29,G138,G163,G188,G213)</f>
        <v/>
      </c>
      <c r="F88" s="179">
        <f>CHOOSE($C$29,H138,H163,H188,H213)</f>
        <v/>
      </c>
      <c r="G88" s="179">
        <f>CHOOSE($C$29,I138,I163,I188,I213)</f>
        <v/>
      </c>
      <c r="H88" s="179">
        <f>CHOOSE($C$29,J138,J163,J188,J213)</f>
        <v/>
      </c>
      <c r="I88" s="179">
        <f>CHOOSE($C$29,K138,K163,K188,K213)</f>
        <v/>
      </c>
      <c r="J88" s="179">
        <f>CHOOSE($C$29,L138,L163,L188,L213)</f>
        <v/>
      </c>
      <c r="K88" s="181">
        <f>CHOOSE($C$29,M138,M163,M188,M213)</f>
        <v/>
      </c>
      <c r="L88" s="182">
        <f>CHOOSE($C$29,N138,N163,N188,N213)</f>
        <v/>
      </c>
      <c r="M88" s="179">
        <f>CHOOSE($C$29,O138,O163,O188,O213)</f>
        <v/>
      </c>
      <c r="N88" s="179">
        <f>CHOOSE($C$29,P138,P163,P188,P213)</f>
        <v/>
      </c>
      <c r="O88" s="174">
        <f>CHOOSE($C$29,Q138,Q163,Q188,Q213)</f>
        <v/>
      </c>
      <c r="P88" s="202">
        <f>CHOOSE($C$29,R138,R163,R188,R213)</f>
        <v/>
      </c>
      <c r="Q88" s="203">
        <f>CHOOSE($C$29,S138,S163,S188,S213)</f>
        <v/>
      </c>
    </row>
    <row r="89">
      <c r="A89" s="178" t="n">
        <v>7</v>
      </c>
      <c r="B89" s="179">
        <f>CHOOSE($C$29,B139,B164,B189,B214)</f>
        <v/>
      </c>
      <c r="C89" s="181">
        <f>CHOOSE($C$29,D139,D164,D189,D214)</f>
        <v/>
      </c>
      <c r="D89" s="181">
        <f>CHOOSE($C$29,E139,E164,E189,E214)</f>
        <v/>
      </c>
      <c r="E89" s="179">
        <f>CHOOSE($C$29,G139,G164,G189,G214)</f>
        <v/>
      </c>
      <c r="F89" s="179">
        <f>CHOOSE($C$29,H139,H164,H189,H214)</f>
        <v/>
      </c>
      <c r="G89" s="179">
        <f>CHOOSE($C$29,I139,I164,I189,I214)</f>
        <v/>
      </c>
      <c r="H89" s="179">
        <f>CHOOSE($C$29,J139,J164,J189,J214)</f>
        <v/>
      </c>
      <c r="I89" s="179">
        <f>CHOOSE($C$29,K139,K164,K189,K214)</f>
        <v/>
      </c>
      <c r="J89" s="179">
        <f>CHOOSE($C$29,L139,L164,L189,L214)</f>
        <v/>
      </c>
      <c r="K89" s="181">
        <f>CHOOSE($C$29,M139,M164,M189,M214)</f>
        <v/>
      </c>
      <c r="L89" s="182">
        <f>CHOOSE($C$29,N139,N164,N189,N214)</f>
        <v/>
      </c>
      <c r="M89" s="179">
        <f>CHOOSE($C$29,O139,O164,O189,O214)</f>
        <v/>
      </c>
      <c r="N89" s="179">
        <f>CHOOSE($C$29,P139,P164,P189,P214)</f>
        <v/>
      </c>
      <c r="O89" s="174">
        <f>CHOOSE($C$29,Q139,Q164,Q189,Q214)</f>
        <v/>
      </c>
      <c r="P89" s="202">
        <f>CHOOSE($C$29,R139,R164,R189,R214)</f>
        <v/>
      </c>
      <c r="Q89" s="203">
        <f>CHOOSE($C$29,S139,S164,S189,S214)</f>
        <v/>
      </c>
    </row>
    <row r="90">
      <c r="A90" s="178" t="n">
        <v>8</v>
      </c>
      <c r="B90" s="179">
        <f>CHOOSE($C$29,B140,B165,B190,B215)</f>
        <v/>
      </c>
      <c r="C90" s="181">
        <f>CHOOSE($C$29,D140,D165,D190,D215)</f>
        <v/>
      </c>
      <c r="D90" s="181">
        <f>CHOOSE($C$29,E140,E165,E190,E215)</f>
        <v/>
      </c>
      <c r="E90" s="179">
        <f>CHOOSE($C$29,G140,G165,G190,G215)</f>
        <v/>
      </c>
      <c r="F90" s="179">
        <f>CHOOSE($C$29,H140,H165,H190,H215)</f>
        <v/>
      </c>
      <c r="G90" s="179">
        <f>CHOOSE($C$29,I140,I165,I190,I215)</f>
        <v/>
      </c>
      <c r="H90" s="179">
        <f>CHOOSE($C$29,J140,J165,J190,J215)</f>
        <v/>
      </c>
      <c r="I90" s="179">
        <f>CHOOSE($C$29,K140,K165,K190,K215)</f>
        <v/>
      </c>
      <c r="J90" s="179">
        <f>CHOOSE($C$29,L140,L165,L190,L215)</f>
        <v/>
      </c>
      <c r="K90" s="181">
        <f>CHOOSE($C$29,M140,M165,M190,M215)</f>
        <v/>
      </c>
      <c r="L90" s="182">
        <f>CHOOSE($C$29,N140,N165,N190,N215)</f>
        <v/>
      </c>
      <c r="M90" s="179">
        <f>CHOOSE($C$29,O140,O165,O190,O215)</f>
        <v/>
      </c>
      <c r="N90" s="179">
        <f>CHOOSE($C$29,P140,P165,P190,P215)</f>
        <v/>
      </c>
      <c r="O90" s="174">
        <f>CHOOSE($C$29,Q140,Q165,Q190,Q215)</f>
        <v/>
      </c>
      <c r="P90" s="202">
        <f>CHOOSE($C$29,R140,R165,R190,R215)</f>
        <v/>
      </c>
      <c r="Q90" s="203">
        <f>CHOOSE($C$29,S140,S165,S190,S215)</f>
        <v/>
      </c>
    </row>
    <row r="91">
      <c r="A91" s="178" t="n">
        <v>9</v>
      </c>
      <c r="B91" s="179">
        <f>CHOOSE($C$29,B141,B166,B191,B216)</f>
        <v/>
      </c>
      <c r="C91" s="181">
        <f>CHOOSE($C$29,D141,D166,D191,D216)</f>
        <v/>
      </c>
      <c r="D91" s="181">
        <f>CHOOSE($C$29,E141,E166,E191,E216)</f>
        <v/>
      </c>
      <c r="E91" s="179">
        <f>CHOOSE($C$29,G141,G166,G191,G216)</f>
        <v/>
      </c>
      <c r="F91" s="179">
        <f>CHOOSE($C$29,H141,H166,H191,H216)</f>
        <v/>
      </c>
      <c r="G91" s="179">
        <f>CHOOSE($C$29,I141,I166,I191,I216)</f>
        <v/>
      </c>
      <c r="H91" s="179">
        <f>CHOOSE($C$29,J141,J166,J191,J216)</f>
        <v/>
      </c>
      <c r="I91" s="179">
        <f>CHOOSE($C$29,K141,K166,K191,K216)</f>
        <v/>
      </c>
      <c r="J91" s="179">
        <f>CHOOSE($C$29,L141,L166,L191,L216)</f>
        <v/>
      </c>
      <c r="K91" s="181">
        <f>CHOOSE($C$29,M141,M166,M191,M216)</f>
        <v/>
      </c>
      <c r="L91" s="182">
        <f>CHOOSE($C$29,N141,N166,N191,N216)</f>
        <v/>
      </c>
      <c r="M91" s="179">
        <f>CHOOSE($C$29,O141,O166,O191,O216)</f>
        <v/>
      </c>
      <c r="N91" s="179">
        <f>CHOOSE($C$29,P141,P166,P191,P216)</f>
        <v/>
      </c>
      <c r="O91" s="174">
        <f>CHOOSE($C$29,Q141,Q166,Q191,Q216)</f>
        <v/>
      </c>
      <c r="P91" s="202">
        <f>CHOOSE($C$29,R141,R166,R191,R216)</f>
        <v/>
      </c>
      <c r="Q91" s="203">
        <f>CHOOSE($C$29,S141,S166,S191,S216)</f>
        <v/>
      </c>
    </row>
    <row r="92">
      <c r="A92" s="178" t="n">
        <v>10</v>
      </c>
      <c r="B92" s="179">
        <f>CHOOSE($C$29,B142,B167,B192,B217)</f>
        <v/>
      </c>
      <c r="C92" s="181">
        <f>CHOOSE($C$29,D142,D167,D192,D217)</f>
        <v/>
      </c>
      <c r="D92" s="181">
        <f>CHOOSE($C$29,E142,E167,E192,E217)</f>
        <v/>
      </c>
      <c r="E92" s="179">
        <f>CHOOSE($C$29,G142,G167,G192,G217)</f>
        <v/>
      </c>
      <c r="F92" s="179">
        <f>CHOOSE($C$29,H142,H167,H192,H217)</f>
        <v/>
      </c>
      <c r="G92" s="179">
        <f>CHOOSE($C$29,I142,I167,I192,I217)</f>
        <v/>
      </c>
      <c r="H92" s="179">
        <f>CHOOSE($C$29,J142,J167,J192,J217)</f>
        <v/>
      </c>
      <c r="I92" s="179">
        <f>CHOOSE($C$29,K142,K167,K192,K217)</f>
        <v/>
      </c>
      <c r="J92" s="179">
        <f>CHOOSE($C$29,L142,L167,L192,L217)</f>
        <v/>
      </c>
      <c r="K92" s="181">
        <f>CHOOSE($C$29,M142,M167,M192,M217)</f>
        <v/>
      </c>
      <c r="L92" s="182">
        <f>CHOOSE($C$29,N142,N167,N192,N217)</f>
        <v/>
      </c>
      <c r="M92" s="179">
        <f>CHOOSE($C$29,O142,O167,O192,O217)</f>
        <v/>
      </c>
      <c r="N92" s="179">
        <f>CHOOSE($C$29,P142,P167,P192,P217)</f>
        <v/>
      </c>
      <c r="O92" s="174">
        <f>CHOOSE($C$29,Q142,Q167,Q192,Q217)</f>
        <v/>
      </c>
      <c r="P92" s="202">
        <f>CHOOSE($C$29,R142,R167,R192,R217)</f>
        <v/>
      </c>
      <c r="Q92" s="203">
        <f>CHOOSE($C$29,S142,S167,S192,S217)</f>
        <v/>
      </c>
    </row>
    <row r="93">
      <c r="A93" s="178" t="n">
        <v>11</v>
      </c>
      <c r="B93" s="179">
        <f>CHOOSE($C$29,B143,B168,B193,B218)</f>
        <v/>
      </c>
      <c r="C93" s="181">
        <f>CHOOSE($C$29,D143,D168,D193,D218)</f>
        <v/>
      </c>
      <c r="D93" s="181">
        <f>CHOOSE($C$29,E143,E168,E193,E218)</f>
        <v/>
      </c>
      <c r="E93" s="179">
        <f>CHOOSE($C$29,G143,G168,G193,G218)</f>
        <v/>
      </c>
      <c r="F93" s="179">
        <f>CHOOSE($C$29,H143,H168,H193,H218)</f>
        <v/>
      </c>
      <c r="G93" s="179">
        <f>CHOOSE($C$29,I143,I168,I193,I218)</f>
        <v/>
      </c>
      <c r="H93" s="179">
        <f>CHOOSE($C$29,J143,J168,J193,J218)</f>
        <v/>
      </c>
      <c r="I93" s="179">
        <f>CHOOSE($C$29,K143,K168,K193,K218)</f>
        <v/>
      </c>
      <c r="J93" s="179">
        <f>CHOOSE($C$29,L143,L168,L193,L218)</f>
        <v/>
      </c>
      <c r="K93" s="181">
        <f>CHOOSE($C$29,M143,M168,M193,M218)</f>
        <v/>
      </c>
      <c r="L93" s="182">
        <f>CHOOSE($C$29,N143,N168,N193,N218)</f>
        <v/>
      </c>
      <c r="M93" s="179">
        <f>CHOOSE($C$29,O143,O168,O193,O218)</f>
        <v/>
      </c>
      <c r="N93" s="179">
        <f>CHOOSE($C$29,P143,P168,P193,P218)</f>
        <v/>
      </c>
      <c r="O93" s="174">
        <f>CHOOSE($C$29,Q143,Q168,Q193,Q218)</f>
        <v/>
      </c>
      <c r="P93" s="202">
        <f>CHOOSE($C$29,R143,R168,R193,R218)</f>
        <v/>
      </c>
      <c r="Q93" s="203">
        <f>CHOOSE($C$29,S143,S168,S193,S218)</f>
        <v/>
      </c>
    </row>
    <row r="94">
      <c r="A94" s="178" t="n">
        <v>12</v>
      </c>
      <c r="B94" s="179">
        <f>CHOOSE($C$29,B144,B169,B194,B219)</f>
        <v/>
      </c>
      <c r="C94" s="181">
        <f>CHOOSE($C$29,D144,D169,D194,D219)</f>
        <v/>
      </c>
      <c r="D94" s="181">
        <f>CHOOSE($C$29,E144,E169,E194,E219)</f>
        <v/>
      </c>
      <c r="E94" s="179">
        <f>CHOOSE($C$29,G144,G169,G194,G219)</f>
        <v/>
      </c>
      <c r="F94" s="179">
        <f>CHOOSE($C$29,H144,H169,H194,H219)</f>
        <v/>
      </c>
      <c r="G94" s="179">
        <f>CHOOSE($C$29,I144,I169,I194,I219)</f>
        <v/>
      </c>
      <c r="H94" s="179">
        <f>CHOOSE($C$29,J144,J169,J194,J219)</f>
        <v/>
      </c>
      <c r="I94" s="179">
        <f>CHOOSE($C$29,K144,K169,K194,K219)</f>
        <v/>
      </c>
      <c r="J94" s="179">
        <f>CHOOSE($C$29,L144,L169,L194,L219)</f>
        <v/>
      </c>
      <c r="K94" s="181">
        <f>CHOOSE($C$29,M144,M169,M194,M219)</f>
        <v/>
      </c>
      <c r="L94" s="182">
        <f>CHOOSE($C$29,N144,N169,N194,N219)</f>
        <v/>
      </c>
      <c r="M94" s="179">
        <f>CHOOSE($C$29,O144,O169,O194,O219)</f>
        <v/>
      </c>
      <c r="N94" s="179">
        <f>CHOOSE($C$29,P144,P169,P194,P219)</f>
        <v/>
      </c>
      <c r="O94" s="174">
        <f>CHOOSE($C$29,Q144,Q169,Q194,Q219)</f>
        <v/>
      </c>
      <c r="P94" s="202">
        <f>CHOOSE($C$29,R144,R169,R194,R219)</f>
        <v/>
      </c>
      <c r="Q94" s="203">
        <f>CHOOSE($C$29,S144,S169,S194,S219)</f>
        <v/>
      </c>
    </row>
    <row r="95">
      <c r="A95" s="178" t="n">
        <v>13</v>
      </c>
      <c r="B95" s="179">
        <f>CHOOSE($C$29,B145,B170,B195,B220)</f>
        <v/>
      </c>
      <c r="C95" s="181">
        <f>CHOOSE($C$29,D145,D170,D195,D220)</f>
        <v/>
      </c>
      <c r="D95" s="181">
        <f>CHOOSE($C$29,E145,E170,E195,E220)</f>
        <v/>
      </c>
      <c r="E95" s="179">
        <f>CHOOSE($C$29,G145,G170,G195,G220)</f>
        <v/>
      </c>
      <c r="F95" s="179">
        <f>CHOOSE($C$29,H145,H170,H195,H220)</f>
        <v/>
      </c>
      <c r="G95" s="179">
        <f>CHOOSE($C$29,I145,I170,I195,I220)</f>
        <v/>
      </c>
      <c r="H95" s="179">
        <f>CHOOSE($C$29,J145,J170,J195,J220)</f>
        <v/>
      </c>
      <c r="I95" s="179">
        <f>CHOOSE($C$29,K145,K170,K195,K220)</f>
        <v/>
      </c>
      <c r="J95" s="179">
        <f>CHOOSE($C$29,L145,L170,L195,L220)</f>
        <v/>
      </c>
      <c r="K95" s="181">
        <f>CHOOSE($C$29,M145,M170,M195,M220)</f>
        <v/>
      </c>
      <c r="L95" s="182">
        <f>CHOOSE($C$29,N145,N170,N195,N220)</f>
        <v/>
      </c>
      <c r="M95" s="179">
        <f>CHOOSE($C$29,O145,O170,O195,O220)</f>
        <v/>
      </c>
      <c r="N95" s="179">
        <f>CHOOSE($C$29,P145,P170,P195,P220)</f>
        <v/>
      </c>
      <c r="O95" s="174">
        <f>CHOOSE($C$29,Q145,Q170,Q195,Q220)</f>
        <v/>
      </c>
      <c r="P95" s="202">
        <f>CHOOSE($C$29,R145,R170,R195,R220)</f>
        <v/>
      </c>
      <c r="Q95" s="203">
        <f>CHOOSE($C$29,S145,S170,S195,S220)</f>
        <v/>
      </c>
    </row>
    <row r="96">
      <c r="A96" s="178" t="n">
        <v>14</v>
      </c>
      <c r="B96" s="179">
        <f>CHOOSE($C$29,B146,B171,B196,B221)</f>
        <v/>
      </c>
      <c r="C96" s="181">
        <f>CHOOSE($C$29,D146,D171,D196,D221)</f>
        <v/>
      </c>
      <c r="D96" s="181">
        <f>CHOOSE($C$29,E146,E171,E196,E221)</f>
        <v/>
      </c>
      <c r="E96" s="179">
        <f>CHOOSE($C$29,G146,G171,G196,G221)</f>
        <v/>
      </c>
      <c r="F96" s="179">
        <f>CHOOSE($C$29,H146,H171,H196,H221)</f>
        <v/>
      </c>
      <c r="G96" s="179">
        <f>CHOOSE($C$29,I146,I171,I196,I221)</f>
        <v/>
      </c>
      <c r="H96" s="179">
        <f>CHOOSE($C$29,J146,J171,J196,J221)</f>
        <v/>
      </c>
      <c r="I96" s="179">
        <f>CHOOSE($C$29,K146,K171,K196,K221)</f>
        <v/>
      </c>
      <c r="J96" s="179">
        <f>CHOOSE($C$29,L146,L171,L196,L221)</f>
        <v/>
      </c>
      <c r="K96" s="181">
        <f>CHOOSE($C$29,M146,M171,M196,M221)</f>
        <v/>
      </c>
      <c r="L96" s="182">
        <f>CHOOSE($C$29,N146,N171,N196,N221)</f>
        <v/>
      </c>
      <c r="M96" s="179">
        <f>CHOOSE($C$29,O146,O171,O196,O221)</f>
        <v/>
      </c>
      <c r="N96" s="179">
        <f>CHOOSE($C$29,P146,P171,P196,P221)</f>
        <v/>
      </c>
      <c r="O96" s="174">
        <f>CHOOSE($C$29,Q146,Q171,Q196,Q221)</f>
        <v/>
      </c>
      <c r="P96" s="202">
        <f>CHOOSE($C$29,R146,R171,R196,R221)</f>
        <v/>
      </c>
      <c r="Q96" s="203">
        <f>CHOOSE($C$29,S146,S171,S196,S221)</f>
        <v/>
      </c>
    </row>
    <row r="97">
      <c r="A97" s="178" t="n">
        <v>15</v>
      </c>
      <c r="B97" s="179">
        <f>CHOOSE($C$29,B147,B172,B197,B222)</f>
        <v/>
      </c>
      <c r="C97" s="181">
        <f>CHOOSE($C$29,D147,D172,D197,D222)</f>
        <v/>
      </c>
      <c r="D97" s="181">
        <f>CHOOSE($C$29,E147,E172,E197,E222)</f>
        <v/>
      </c>
      <c r="E97" s="179">
        <f>CHOOSE($C$29,G147,G172,G197,G222)</f>
        <v/>
      </c>
      <c r="F97" s="179">
        <f>CHOOSE($C$29,H147,H172,H197,H222)</f>
        <v/>
      </c>
      <c r="G97" s="179">
        <f>CHOOSE($C$29,I147,I172,I197,I222)</f>
        <v/>
      </c>
      <c r="H97" s="179">
        <f>CHOOSE($C$29,J147,J172,J197,J222)</f>
        <v/>
      </c>
      <c r="I97" s="179">
        <f>CHOOSE($C$29,K147,K172,K197,K222)</f>
        <v/>
      </c>
      <c r="J97" s="179">
        <f>CHOOSE($C$29,L147,L172,L197,L222)</f>
        <v/>
      </c>
      <c r="K97" s="181">
        <f>CHOOSE($C$29,M147,M172,M197,M222)</f>
        <v/>
      </c>
      <c r="L97" s="182">
        <f>CHOOSE($C$29,N147,N172,N197,N222)</f>
        <v/>
      </c>
      <c r="M97" s="179">
        <f>CHOOSE($C$29,O147,O172,O197,O222)</f>
        <v/>
      </c>
      <c r="N97" s="179">
        <f>CHOOSE($C$29,P147,P172,P197,P222)</f>
        <v/>
      </c>
      <c r="O97" s="174">
        <f>CHOOSE($C$29,Q147,Q172,Q197,Q222)</f>
        <v/>
      </c>
      <c r="P97" s="202">
        <f>CHOOSE($C$29,R147,R172,R197,R222)</f>
        <v/>
      </c>
      <c r="Q97" s="203">
        <f>CHOOSE($C$29,S147,S172,S197,S222)</f>
        <v/>
      </c>
    </row>
    <row r="98">
      <c r="A98" s="178" t="n">
        <v>16</v>
      </c>
      <c r="B98" s="179">
        <f>CHOOSE($C$29,B148,B173,B198,B223)</f>
        <v/>
      </c>
      <c r="C98" s="181">
        <f>CHOOSE($C$29,D148,D173,D198,D223)</f>
        <v/>
      </c>
      <c r="D98" s="181">
        <f>CHOOSE($C$29,E148,E173,E198,E223)</f>
        <v/>
      </c>
      <c r="E98" s="179">
        <f>CHOOSE($C$29,G148,G173,G198,G223)</f>
        <v/>
      </c>
      <c r="F98" s="179">
        <f>CHOOSE($C$29,H148,H173,H198,H223)</f>
        <v/>
      </c>
      <c r="G98" s="179">
        <f>CHOOSE($C$29,I148,I173,I198,I223)</f>
        <v/>
      </c>
      <c r="H98" s="179">
        <f>CHOOSE($C$29,J148,J173,J198,J223)</f>
        <v/>
      </c>
      <c r="I98" s="179">
        <f>CHOOSE($C$29,K148,K173,K198,K223)</f>
        <v/>
      </c>
      <c r="J98" s="179">
        <f>CHOOSE($C$29,L148,L173,L198,L223)</f>
        <v/>
      </c>
      <c r="K98" s="181">
        <f>CHOOSE($C$29,M148,M173,M198,M223)</f>
        <v/>
      </c>
      <c r="L98" s="182">
        <f>CHOOSE($C$29,N148,N173,N198,N223)</f>
        <v/>
      </c>
      <c r="M98" s="179">
        <f>CHOOSE($C$29,O148,O173,O198,O223)</f>
        <v/>
      </c>
      <c r="N98" s="179">
        <f>CHOOSE($C$29,P148,P173,P198,P223)</f>
        <v/>
      </c>
      <c r="O98" s="174">
        <f>CHOOSE($C$29,Q148,Q173,Q198,Q223)</f>
        <v/>
      </c>
      <c r="P98" s="202">
        <f>CHOOSE($C$29,R148,R173,R198,R223)</f>
        <v/>
      </c>
      <c r="Q98" s="203">
        <f>CHOOSE($C$29,S148,S173,S198,S223)</f>
        <v/>
      </c>
    </row>
    <row r="99">
      <c r="A99" s="178" t="n">
        <v>17</v>
      </c>
      <c r="B99" s="179">
        <f>CHOOSE($C$29,B149,B174,B199,B224)</f>
        <v/>
      </c>
      <c r="C99" s="181">
        <f>CHOOSE($C$29,D149,D174,D199,D224)</f>
        <v/>
      </c>
      <c r="D99" s="181">
        <f>CHOOSE($C$29,E149,E174,E199,E224)</f>
        <v/>
      </c>
      <c r="E99" s="179">
        <f>CHOOSE($C$29,G149,G174,G199,G224)</f>
        <v/>
      </c>
      <c r="F99" s="179">
        <f>CHOOSE($C$29,H149,H174,H199,H224)</f>
        <v/>
      </c>
      <c r="G99" s="179">
        <f>CHOOSE($C$29,I149,I174,I199,I224)</f>
        <v/>
      </c>
      <c r="H99" s="179">
        <f>CHOOSE($C$29,J149,J174,J199,J224)</f>
        <v/>
      </c>
      <c r="I99" s="179">
        <f>CHOOSE($C$29,K149,K174,K199,K224)</f>
        <v/>
      </c>
      <c r="J99" s="179">
        <f>CHOOSE($C$29,L149,L174,L199,L224)</f>
        <v/>
      </c>
      <c r="K99" s="181">
        <f>CHOOSE($C$29,M149,M174,M199,M224)</f>
        <v/>
      </c>
      <c r="L99" s="182">
        <f>CHOOSE($C$29,N149,N174,N199,N224)</f>
        <v/>
      </c>
      <c r="M99" s="179">
        <f>CHOOSE($C$29,O149,O174,O199,O224)</f>
        <v/>
      </c>
      <c r="N99" s="179">
        <f>CHOOSE($C$29,P149,P174,P199,P224)</f>
        <v/>
      </c>
      <c r="O99" s="174">
        <f>CHOOSE($C$29,Q149,Q174,Q199,Q224)</f>
        <v/>
      </c>
      <c r="P99" s="202">
        <f>CHOOSE($C$29,R149,R174,R199,R224)</f>
        <v/>
      </c>
      <c r="Q99" s="203">
        <f>CHOOSE($C$29,S149,S174,S199,S224)</f>
        <v/>
      </c>
    </row>
    <row r="100">
      <c r="A100" s="178" t="n">
        <v>18</v>
      </c>
      <c r="B100" s="179">
        <f>CHOOSE($C$29,B150,B175,B200,B225)</f>
        <v/>
      </c>
      <c r="C100" s="181">
        <f>CHOOSE($C$29,D150,D175,D200,D225)</f>
        <v/>
      </c>
      <c r="D100" s="181">
        <f>CHOOSE($C$29,E150,E175,E200,E225)</f>
        <v/>
      </c>
      <c r="E100" s="179">
        <f>CHOOSE($C$29,G150,G175,G200,G225)</f>
        <v/>
      </c>
      <c r="F100" s="179">
        <f>CHOOSE($C$29,H150,H175,H200,H225)</f>
        <v/>
      </c>
      <c r="G100" s="179">
        <f>CHOOSE($C$29,I150,I175,I200,I225)</f>
        <v/>
      </c>
      <c r="H100" s="179">
        <f>CHOOSE($C$29,J150,J175,J200,J225)</f>
        <v/>
      </c>
      <c r="I100" s="179">
        <f>CHOOSE($C$29,K150,K175,K200,K225)</f>
        <v/>
      </c>
      <c r="J100" s="179">
        <f>CHOOSE($C$29,L150,L175,L200,L225)</f>
        <v/>
      </c>
      <c r="K100" s="181">
        <f>CHOOSE($C$29,M150,M175,M200,M225)</f>
        <v/>
      </c>
      <c r="L100" s="182">
        <f>CHOOSE($C$29,N150,N175,N200,N225)</f>
        <v/>
      </c>
      <c r="M100" s="179">
        <f>CHOOSE($C$29,O150,O175,O200,O225)</f>
        <v/>
      </c>
      <c r="N100" s="179">
        <f>CHOOSE($C$29,P150,P175,P200,P225)</f>
        <v/>
      </c>
      <c r="O100" s="174">
        <f>CHOOSE($C$29,Q150,Q175,Q200,Q225)</f>
        <v/>
      </c>
      <c r="P100" s="202">
        <f>CHOOSE($C$29,R150,R175,R200,R225)</f>
        <v/>
      </c>
      <c r="Q100" s="203">
        <f>CHOOSE($C$29,S150,S175,S200,S225)</f>
        <v/>
      </c>
    </row>
    <row r="101">
      <c r="A101" s="178" t="n">
        <v>19</v>
      </c>
      <c r="B101" s="179">
        <f>CHOOSE($C$29,B151,B176,B201,B226)</f>
        <v/>
      </c>
      <c r="C101" s="181">
        <f>CHOOSE($C$29,D151,D176,D201,D226)</f>
        <v/>
      </c>
      <c r="D101" s="181">
        <f>CHOOSE($C$29,E151,E176,E201,E226)</f>
        <v/>
      </c>
      <c r="E101" s="179">
        <f>CHOOSE($C$29,G151,G176,G201,G226)</f>
        <v/>
      </c>
      <c r="F101" s="179">
        <f>CHOOSE($C$29,H151,H176,H201,H226)</f>
        <v/>
      </c>
      <c r="G101" s="179">
        <f>CHOOSE($C$29,I151,I176,I201,I226)</f>
        <v/>
      </c>
      <c r="H101" s="179">
        <f>CHOOSE($C$29,J151,J176,J201,J226)</f>
        <v/>
      </c>
      <c r="I101" s="179">
        <f>CHOOSE($C$29,K151,K176,K201,K226)</f>
        <v/>
      </c>
      <c r="J101" s="179">
        <f>CHOOSE($C$29,L151,L176,L201,L226)</f>
        <v/>
      </c>
      <c r="K101" s="181">
        <f>CHOOSE($C$29,M151,M176,M201,M226)</f>
        <v/>
      </c>
      <c r="L101" s="182">
        <f>CHOOSE($C$29,N151,N176,N201,N226)</f>
        <v/>
      </c>
      <c r="M101" s="179">
        <f>CHOOSE($C$29,O151,O176,O201,O226)</f>
        <v/>
      </c>
      <c r="N101" s="179">
        <f>CHOOSE($C$29,P151,P176,P201,P226)</f>
        <v/>
      </c>
      <c r="O101" s="174">
        <f>CHOOSE($C$29,Q151,Q176,Q201,Q226)</f>
        <v/>
      </c>
      <c r="P101" s="202">
        <f>CHOOSE($C$29,R151,R176,R201,R226)</f>
        <v/>
      </c>
      <c r="Q101" s="203">
        <f>CHOOSE($C$29,S151,S176,S201,S226)</f>
        <v/>
      </c>
    </row>
    <row r="102">
      <c r="A102" s="178" t="n">
        <v>20</v>
      </c>
      <c r="B102" s="179">
        <f>CHOOSE($C$29,B152,B177,B202,B227)</f>
        <v/>
      </c>
      <c r="C102" s="181">
        <f>CHOOSE($C$29,D152,D177,D202,D227)</f>
        <v/>
      </c>
      <c r="D102" s="181">
        <f>CHOOSE($C$29,E152,E177,E202,E227)</f>
        <v/>
      </c>
      <c r="E102" s="179">
        <f>CHOOSE($C$29,G152,G177,G202,G227)</f>
        <v/>
      </c>
      <c r="F102" s="179">
        <f>CHOOSE($C$29,H152,H177,H202,H227)</f>
        <v/>
      </c>
      <c r="G102" s="179">
        <f>CHOOSE($C$29,I152,I177,I202,I227)</f>
        <v/>
      </c>
      <c r="H102" s="179">
        <f>CHOOSE($C$29,J152,J177,J202,J227)</f>
        <v/>
      </c>
      <c r="I102" s="179">
        <f>CHOOSE($C$29,K152,K177,K202,K227)</f>
        <v/>
      </c>
      <c r="J102" s="179">
        <f>CHOOSE($C$29,L152,L177,L202,L227)</f>
        <v/>
      </c>
      <c r="K102" s="181">
        <f>CHOOSE($C$29,M152,M177,M202,M227)</f>
        <v/>
      </c>
      <c r="L102" s="182">
        <f>CHOOSE($C$29,N152,N177,N202,N227)</f>
        <v/>
      </c>
      <c r="M102" s="179">
        <f>CHOOSE($C$29,O152,O177,O202,O227)</f>
        <v/>
      </c>
      <c r="N102" s="179">
        <f>CHOOSE($C$29,P152,P177,P202,P227)</f>
        <v/>
      </c>
      <c r="O102" s="174">
        <f>CHOOSE($C$29,Q152,Q177,Q202,Q227)</f>
        <v/>
      </c>
      <c r="P102" s="202">
        <f>CHOOSE($C$29,R152,R177,R202,R227)</f>
        <v/>
      </c>
      <c r="Q102" s="203">
        <f>CHOOSE($C$29,S152,S177,S202,S227)</f>
        <v/>
      </c>
    </row>
    <row r="103">
      <c r="A103" s="164" t="inlineStr">
        <is>
          <t>Total / end</t>
        </is>
      </c>
      <c r="G103" s="174">
        <f>SUM(G83:G102)</f>
        <v/>
      </c>
      <c r="H103" s="174">
        <f>SUM(H83:H102)</f>
        <v/>
      </c>
      <c r="I103" s="174">
        <f>SUM(I83:I102)</f>
        <v/>
      </c>
      <c r="M103" s="174">
        <f>SUM(M83:M102)</f>
        <v/>
      </c>
      <c r="N103" s="174">
        <f>SUM(N83:N102)</f>
        <v/>
      </c>
      <c r="O103" s="174">
        <f>O102</f>
        <v/>
      </c>
      <c r="P103" s="198">
        <f>P102</f>
        <v/>
      </c>
    </row>
    <row r="104">
      <c r="A104" s="166" t="inlineStr">
        <is>
          <t>Opening + gross profit − running cost − tax − payroll leakage = closing corpus, every row.</t>
        </is>
      </c>
    </row>
    <row r="106" ht="20" customHeight="1">
      <c r="A106" s="154" t="inlineStr">
        <is>
          <t>NOTES  —  tax &amp; legal (get CA / counsel sign-off)</t>
        </is>
      </c>
      <c r="B106" s="155" t="n"/>
      <c r="C106" s="155" t="n"/>
      <c r="D106" s="155" t="n"/>
      <c r="E106" s="155" t="n"/>
      <c r="F106" s="155" t="n"/>
      <c r="G106" s="155" t="n"/>
      <c r="H106" s="155" t="n"/>
      <c r="I106" s="155" t="n"/>
      <c r="J106" s="155" t="n"/>
      <c r="K106" s="155" t="n"/>
      <c r="L106" s="155" t="n"/>
      <c r="M106" s="155" t="n"/>
      <c r="N106" s="155" t="n"/>
      <c r="O106" s="155" t="n"/>
      <c r="P106" s="155" t="n"/>
      <c r="Q106" s="155" t="n"/>
    </row>
    <row r="107" ht="44" customHeight="1">
      <c r="A107" s="163" t="inlineStr">
        <is>
          <t>1. LRS/individual: US-listed ETFs = unlisted foreign securities; &lt;24m STCG at New-Regime slabs, surcharge 10/15/25% → 39.00% peak; s.48 bars business expenses. ≥24m: LTCG u/s 112 @12.5%, surcharge cap 15% (~14.95% max) — ledger switches on cycle-length input.</t>
        </is>
      </c>
    </row>
    <row r="108" ht="30" customHeight="1">
      <c r="A108" s="163" t="inlineStr">
        <is>
          <t>2. FEMA: unlisted Indian co. barred from open-market OPI (OI Rules 2022); GIFT IFSC FIF/unit = person resident outside India. LRS→IFSC-FIF capitalization compliance-sensitive (RBI/IFSCA 2024-25): licensed FME + counsel.</t>
        </is>
      </c>
    </row>
    <row r="109" ht="30" customHeight="1">
      <c r="A109" s="163" t="inlineStr">
        <is>
          <t>3. Corporate: s.115BAA 25.168% flat; structural expenses deductible. IFSC s.80LA 10-yr holiday may apply instead (not modelled — conservative).</t>
        </is>
      </c>
    </row>
    <row r="110" ht="30" customHeight="1">
      <c r="A110" s="163" t="inlineStr">
        <is>
          <t>Approximation: top surcharge tier applied to whole gain (no marginal relief) — slightly overstates individual tax = conservative.</t>
        </is>
      </c>
    </row>
    <row r="111" ht="30" customHeight="1">
      <c r="A111" s="163" t="inlineStr">
        <is>
          <t>4. SECTION NUMBERS follow the Income-tax Act 1961. The Income-tax Act 2025 took effect 1-Apr-2026 with renumbered sections; have your CA map each provision for FY 2026-27 onward.</t>
        </is>
      </c>
    </row>
    <row r="112" ht="30" customHeight="1">
      <c r="A112" s="163" t="inlineStr">
        <is>
          <t>5. s.87A: the new-regime rebate (income up to ₹12L) offsets slab-rate tax only — not special-rate income. Family salary qualifies; capital gains in their hands do not.</t>
        </is>
      </c>
    </row>
    <row r="113" ht="30" customHeight="1">
      <c r="A113" s="163" t="inlineStr">
        <is>
          <t>6. PAYROLL: salary must be for real, documented services at market rate (s.37(1) / s.40A(2)). Lending 100% back every cycle is the most scrutiny-prone setting. Pay by bank transfer only (s.269SS/269T) and deduct TDS where due.</t>
        </is>
      </c>
    </row>
    <row r="114" ht="44" customHeight="1">
      <c r="A114" s="163" t="inlineStr">
        <is>
          <t>7. LRS: individual investment remittances attract 20% TCS above ₹10L per PAN per FY and are capped (USD 250,000 per FY); LRS bars margin/derivative trading abroad — hence the compliance flag on FFA cycles run through an individual.</t>
        </is>
      </c>
    </row>
    <row r="115" ht="30" customHeight="1">
      <c r="A115" s="163" t="inlineStr">
        <is>
          <t>8. COMPANY SWITCH (Case 3): moving a personal foreign portfolio into a company is not free of tax or FEMA process (LRS caps, ODI/OPI rules). The model treats it as frictionless — structure it before you reach the threshold.</t>
        </is>
      </c>
    </row>
    <row r="116" ht="30" customHeight="1">
      <c r="A116" s="163" t="inlineStr">
        <is>
          <t>Capacity = tier-safe $/day × build days. Current: $82.7K/day → $3.72M ≈ ₹35.3 Cr at 45d. Your "$3M when heated" holds: 36 build days at current liquidity, ~9 days in HOT regimes ($352K/day; Jul-2021 peak $663K/day → ~$29.8M).</t>
        </is>
      </c>
    </row>
    <row r="117" ht="30" customHeight="1">
      <c r="A117" s="163" t="inlineStr">
        <is>
          <t>Cost of the stretch: ~90 trading days round-trip inventory/thesis risk per cycle; hot-regime capacity is procyclical — toggle to 1 only on confirmed freight upswings.</t>
        </is>
      </c>
    </row>
    <row r="118" ht="44" customHeight="1">
      <c r="A118" s="163" t="inlineStr">
        <is>
          <t>No exchange approval of your company: onboard with a clearing FCM (Marex, Straits Financial, StoneX) clearing SGX FFAs / ICE Futures Europe freight — corporate KYC/AML, financials, board resolutions, LEI, USD margin account; 4–8 weeks (longer first time for an IFSC entity).</t>
        </is>
      </c>
    </row>
    <row r="119" ht="30" customHeight="1">
      <c r="A119" s="163" t="inlineStr">
        <is>
          <t>Blocks negotiated via FFA brokers (FIS, SSY, Clarksons Securities, BRS), given up to your clearer, margined at SGX-DC / ICE Clear. Lots ≈ 1 day time-charter (~$15–30K), so $60M Cape 5TC positions are routine institutional size.</t>
        </is>
      </c>
    </row>
    <row r="120" ht="30" customHeight="1">
      <c r="A120" s="163" t="inlineStr">
        <is>
          <t>Real gates: IM ~10–20% notional, daily USD VM, broker commission commitments — relationships, not approvals.</t>
        </is>
      </c>
    </row>
    <row r="128" ht="20" customHeight="1">
      <c r="A128" s="188" t="inlineStr">
        <is>
          <t>CALCULATION BLOCKS  —  four ledgers that feed everything above (click [+] at the left to open; no need to edit)</t>
        </is>
      </c>
      <c r="B128" s="152" t="n"/>
      <c r="C128" s="152" t="n"/>
      <c r="D128" s="152" t="n"/>
      <c r="E128" s="152" t="n"/>
      <c r="F128" s="152" t="n"/>
      <c r="G128" s="152" t="n"/>
      <c r="H128" s="152" t="n"/>
      <c r="I128" s="152" t="n"/>
      <c r="J128" s="152" t="n"/>
      <c r="K128" s="152" t="n"/>
      <c r="L128" s="152" t="n"/>
      <c r="M128" s="152" t="n"/>
      <c r="N128" s="152" t="n"/>
      <c r="O128" s="152" t="n"/>
      <c r="P128" s="152" t="n"/>
      <c r="Q128" s="152" t="n"/>
    </row>
    <row r="129" hidden="1" outlineLevel="1"/>
    <row r="130" hidden="1" outlineLevel="1" ht="20" customHeight="1">
      <c r="A130" s="154" t="inlineStr">
        <is>
          <t>CASE 1 · 0% TAX THROUGHOUT   —   Benchmark: s.80LA IFSC holiday / NRI / tax-free</t>
        </is>
      </c>
      <c r="B130" s="155" t="n"/>
      <c r="C130" s="155" t="n"/>
      <c r="D130" s="155" t="n"/>
      <c r="E130" s="155" t="n"/>
      <c r="F130" s="155" t="n"/>
      <c r="G130" s="155" t="n"/>
      <c r="H130" s="155" t="n"/>
      <c r="I130" s="155" t="n"/>
      <c r="J130" s="155" t="n"/>
      <c r="K130" s="155" t="n"/>
      <c r="L130" s="155" t="n"/>
      <c r="M130" s="155" t="n"/>
      <c r="N130" s="155" t="n"/>
      <c r="O130" s="155" t="n"/>
      <c r="P130" s="155" t="n"/>
      <c r="Q130" s="155" t="n"/>
      <c r="R130" s="155" t="n"/>
      <c r="S130" s="155" t="n"/>
    </row>
    <row r="131" hidden="1" outlineLevel="1">
      <c r="A131" s="164" t="inlineStr">
        <is>
          <t>Tax mode</t>
        </is>
      </c>
      <c r="B131" s="178" t="n">
        <v>1</v>
      </c>
    </row>
    <row r="132" hidden="1" outlineLevel="1" ht="34" customHeight="1">
      <c r="A132" s="156" t="inlineStr">
        <is>
          <t>Cycle</t>
        </is>
      </c>
      <c r="B132" s="156" t="inlineStr">
        <is>
          <t>Start ₹ Cr</t>
        </is>
      </c>
      <c r="C132" s="156" t="inlineStr">
        <is>
          <t>Company? (1/0)</t>
        </is>
      </c>
      <c r="D132" s="156" t="inlineStr">
        <is>
          <t>Wrapper (FEMA gate)</t>
        </is>
      </c>
      <c r="E132" s="156" t="inlineStr">
        <is>
          <t>Instrument</t>
        </is>
      </c>
      <c r="F132" s="156" t="inlineStr">
        <is>
          <t>Capacity ₹ Cr</t>
        </is>
      </c>
      <c r="G132" s="156" t="inlineStr">
        <is>
          <t>Deployed ₹ Cr</t>
        </is>
      </c>
      <c r="H132" s="156" t="inlineStr">
        <is>
          <t>Idle ₹ Cr</t>
        </is>
      </c>
      <c r="I132" s="156" t="inlineStr">
        <is>
          <t>Gross gain ₹ Cr</t>
        </is>
      </c>
      <c r="J132" s="156" t="inlineStr">
        <is>
          <t>Running cost ₹ Cr</t>
        </is>
      </c>
      <c r="K132" s="156" t="inlineStr">
        <is>
          <t>Family salary ₹ Cr</t>
        </is>
      </c>
      <c r="L132" s="156" t="inlineStr">
        <is>
          <t>Taxable ₹ Cr</t>
        </is>
      </c>
      <c r="M132" s="156" t="inlineStr">
        <is>
          <t>Tax basis</t>
        </is>
      </c>
      <c r="N132" s="156" t="inlineStr">
        <is>
          <t>Eff. tax rate</t>
        </is>
      </c>
      <c r="O132" s="156" t="inlineStr">
        <is>
          <t>Tax ₹ Cr</t>
        </is>
      </c>
      <c r="P132" s="156" t="inlineStr">
        <is>
          <t>Net payroll leakage ₹ Cr</t>
        </is>
      </c>
      <c r="Q132" s="156" t="inlineStr">
        <is>
          <t>End ₹ Cr</t>
        </is>
      </c>
      <c r="R132" s="156" t="inlineStr">
        <is>
          <t>End USD</t>
        </is>
      </c>
      <c r="S132" s="156" t="inlineStr">
        <is>
          <t>Compliance flag</t>
        </is>
      </c>
    </row>
    <row r="133" hidden="1" outlineLevel="1">
      <c r="A133" s="178" t="n">
        <v>1</v>
      </c>
      <c r="B133" s="179">
        <f>$B$5</f>
        <v/>
      </c>
      <c r="C133" s="204">
        <f>IF($B$131=2,1,IF($B$131=4,0,IF(B133&gt;=$B$8,1,0)))</f>
        <v/>
      </c>
      <c r="D133" s="181">
        <f>IF(C133=1,IF($B$131=2,"Company (115BAA)","GIFT FIF (IFSC) Corp"),IF($B$131=1,"Individual / NRI (0%)","Individual LRS"))</f>
        <v/>
      </c>
      <c r="E133" s="181">
        <f>IF(B133&gt;$B$35,"SGX/ICE FFA blocks","BDRY (45-day iceberg)")</f>
        <v/>
      </c>
      <c r="F133" s="179">
        <f>IF(B133&gt;$B$35,$B$36,$B$35)</f>
        <v/>
      </c>
      <c r="G133" s="179">
        <f>MIN(B133,F133)</f>
        <v/>
      </c>
      <c r="H133" s="179">
        <f>B133-G133</f>
        <v/>
      </c>
      <c r="I133" s="179">
        <f>G133*$B$6+H133*$B$23*$B$7/12</f>
        <v/>
      </c>
      <c r="J133" s="179">
        <f>IF(C133=1,IF(B133&gt;=$B$8,$B$11,$B$12),0)</f>
        <v/>
      </c>
      <c r="K133" s="179">
        <f>IF(AND($B$24="On",C133=1,$B$131&lt;&gt;1,$B$10&gt;0),MIN($B$38,$B$27*MAX(I133-J133,0)),0)</f>
        <v/>
      </c>
      <c r="L133" s="179">
        <f>MAX(I133-J133-K133,0)</f>
        <v/>
      </c>
      <c r="M133" s="181">
        <f>IF($B$131=1,"0% (exempt)",IF(C133=1,"115BAA company",IF($B$7&gt;=24,"LTCG 112","STCG @ slab")))</f>
        <v/>
      </c>
      <c r="N133" s="182">
        <f>IF($B$131=1,0,IF(C133=1,$B$10,IF($B$7&gt;=24,$B$19*(1+MIN(VLOOKUP(L133,$A$42:$B$45,2,TRUE),$B$22))*(1+$B$21),$B$20*(1+VLOOKUP(L133,$A$42:$B$45,2,TRUE))*(1+$B$21))))</f>
        <v/>
      </c>
      <c r="O133" s="179">
        <f>L133*N133</f>
        <v/>
      </c>
      <c r="P133" s="179">
        <f>(1-$B$28)*K133</f>
        <v/>
      </c>
      <c r="Q133" s="174">
        <f>B133+I133-J133-O133-P133</f>
        <v/>
      </c>
      <c r="R133" s="202">
        <f>Q133*10000000/$B$9</f>
        <v/>
      </c>
      <c r="S133" s="181">
        <f>IF(AND(C133=0,E133="SGX/ICE FFA blocks"),"⚠ FFA derivatives need a corporate/IFSC wrapper — not via personal LRS","")</f>
        <v/>
      </c>
    </row>
    <row r="134" hidden="1" outlineLevel="1">
      <c r="A134" s="178" t="n">
        <v>2</v>
      </c>
      <c r="B134" s="179">
        <f>Q133</f>
        <v/>
      </c>
      <c r="C134" s="204">
        <f>IF($B$131=2,1,IF($B$131=4,0,IF(B134&gt;=$B$8,1,0)))</f>
        <v/>
      </c>
      <c r="D134" s="181">
        <f>IF(C134=1,IF($B$131=2,"Company (115BAA)","GIFT FIF (IFSC) Corp"),IF($B$131=1,"Individual / NRI (0%)","Individual LRS"))</f>
        <v/>
      </c>
      <c r="E134" s="181">
        <f>IF(B134&gt;$B$35,"SGX/ICE FFA blocks","BDRY (45-day iceberg)")</f>
        <v/>
      </c>
      <c r="F134" s="179">
        <f>IF(B134&gt;$B$35,$B$36,$B$35)</f>
        <v/>
      </c>
      <c r="G134" s="179">
        <f>MIN(B134,F134)</f>
        <v/>
      </c>
      <c r="H134" s="179">
        <f>B134-G134</f>
        <v/>
      </c>
      <c r="I134" s="179">
        <f>G134*$B$6+H134*$B$23*$B$7/12</f>
        <v/>
      </c>
      <c r="J134" s="179">
        <f>IF(C134=1,IF(B134&gt;=$B$8,$B$11,$B$12),0)</f>
        <v/>
      </c>
      <c r="K134" s="179">
        <f>IF(AND($B$24="On",C134=1,$B$131&lt;&gt;1,$B$10&gt;0),MIN($B$38,$B$27*MAX(I134-J134,0)),0)</f>
        <v/>
      </c>
      <c r="L134" s="179">
        <f>MAX(I134-J134-K134,0)</f>
        <v/>
      </c>
      <c r="M134" s="181">
        <f>IF($B$131=1,"0% (exempt)",IF(C134=1,"115BAA company",IF($B$7&gt;=24,"LTCG 112","STCG @ slab")))</f>
        <v/>
      </c>
      <c r="N134" s="182">
        <f>IF($B$131=1,0,IF(C134=1,$B$10,IF($B$7&gt;=24,$B$19*(1+MIN(VLOOKUP(L134,$A$42:$B$45,2,TRUE),$B$22))*(1+$B$21),$B$20*(1+VLOOKUP(L134,$A$42:$B$45,2,TRUE))*(1+$B$21))))</f>
        <v/>
      </c>
      <c r="O134" s="179">
        <f>L134*N134</f>
        <v/>
      </c>
      <c r="P134" s="179">
        <f>(1-$B$28)*K134</f>
        <v/>
      </c>
      <c r="Q134" s="174">
        <f>B134+I134-J134-O134-P134</f>
        <v/>
      </c>
      <c r="R134" s="202">
        <f>Q134*10000000/$B$9</f>
        <v/>
      </c>
      <c r="S134" s="181">
        <f>IF(AND(C134=0,E134="SGX/ICE FFA blocks"),"⚠ FFA derivatives need a corporate/IFSC wrapper — not via personal LRS","")</f>
        <v/>
      </c>
    </row>
    <row r="135" hidden="1" outlineLevel="1">
      <c r="A135" s="178" t="n">
        <v>3</v>
      </c>
      <c r="B135" s="179">
        <f>Q134</f>
        <v/>
      </c>
      <c r="C135" s="204">
        <f>IF($B$131=2,1,IF($B$131=4,0,IF(B135&gt;=$B$8,1,0)))</f>
        <v/>
      </c>
      <c r="D135" s="181">
        <f>IF(C135=1,IF($B$131=2,"Company (115BAA)","GIFT FIF (IFSC) Corp"),IF($B$131=1,"Individual / NRI (0%)","Individual LRS"))</f>
        <v/>
      </c>
      <c r="E135" s="181">
        <f>IF(B135&gt;$B$35,"SGX/ICE FFA blocks","BDRY (45-day iceberg)")</f>
        <v/>
      </c>
      <c r="F135" s="179">
        <f>IF(B135&gt;$B$35,$B$36,$B$35)</f>
        <v/>
      </c>
      <c r="G135" s="179">
        <f>MIN(B135,F135)</f>
        <v/>
      </c>
      <c r="H135" s="179">
        <f>B135-G135</f>
        <v/>
      </c>
      <c r="I135" s="179">
        <f>G135*$B$6+H135*$B$23*$B$7/12</f>
        <v/>
      </c>
      <c r="J135" s="179">
        <f>IF(C135=1,IF(B135&gt;=$B$8,$B$11,$B$12),0)</f>
        <v/>
      </c>
      <c r="K135" s="179">
        <f>IF(AND($B$24="On",C135=1,$B$131&lt;&gt;1,$B$10&gt;0),MIN($B$38,$B$27*MAX(I135-J135,0)),0)</f>
        <v/>
      </c>
      <c r="L135" s="179">
        <f>MAX(I135-J135-K135,0)</f>
        <v/>
      </c>
      <c r="M135" s="181">
        <f>IF($B$131=1,"0% (exempt)",IF(C135=1,"115BAA company",IF($B$7&gt;=24,"LTCG 112","STCG @ slab")))</f>
        <v/>
      </c>
      <c r="N135" s="182">
        <f>IF($B$131=1,0,IF(C135=1,$B$10,IF($B$7&gt;=24,$B$19*(1+MIN(VLOOKUP(L135,$A$42:$B$45,2,TRUE),$B$22))*(1+$B$21),$B$20*(1+VLOOKUP(L135,$A$42:$B$45,2,TRUE))*(1+$B$21))))</f>
        <v/>
      </c>
      <c r="O135" s="179">
        <f>L135*N135</f>
        <v/>
      </c>
      <c r="P135" s="179">
        <f>(1-$B$28)*K135</f>
        <v/>
      </c>
      <c r="Q135" s="174">
        <f>B135+I135-J135-O135-P135</f>
        <v/>
      </c>
      <c r="R135" s="202">
        <f>Q135*10000000/$B$9</f>
        <v/>
      </c>
      <c r="S135" s="181">
        <f>IF(AND(C135=0,E135="SGX/ICE FFA blocks"),"⚠ FFA derivatives need a corporate/IFSC wrapper — not via personal LRS","")</f>
        <v/>
      </c>
    </row>
    <row r="136" hidden="1" outlineLevel="1">
      <c r="A136" s="178" t="n">
        <v>4</v>
      </c>
      <c r="B136" s="179">
        <f>Q135</f>
        <v/>
      </c>
      <c r="C136" s="204">
        <f>IF($B$131=2,1,IF($B$131=4,0,IF(B136&gt;=$B$8,1,0)))</f>
        <v/>
      </c>
      <c r="D136" s="181">
        <f>IF(C136=1,IF($B$131=2,"Company (115BAA)","GIFT FIF (IFSC) Corp"),IF($B$131=1,"Individual / NRI (0%)","Individual LRS"))</f>
        <v/>
      </c>
      <c r="E136" s="181">
        <f>IF(B136&gt;$B$35,"SGX/ICE FFA blocks","BDRY (45-day iceberg)")</f>
        <v/>
      </c>
      <c r="F136" s="179">
        <f>IF(B136&gt;$B$35,$B$36,$B$35)</f>
        <v/>
      </c>
      <c r="G136" s="179">
        <f>MIN(B136,F136)</f>
        <v/>
      </c>
      <c r="H136" s="179">
        <f>B136-G136</f>
        <v/>
      </c>
      <c r="I136" s="179">
        <f>G136*$B$6+H136*$B$23*$B$7/12</f>
        <v/>
      </c>
      <c r="J136" s="179">
        <f>IF(C136=1,IF(B136&gt;=$B$8,$B$11,$B$12),0)</f>
        <v/>
      </c>
      <c r="K136" s="179">
        <f>IF(AND($B$24="On",C136=1,$B$131&lt;&gt;1,$B$10&gt;0),MIN($B$38,$B$27*MAX(I136-J136,0)),0)</f>
        <v/>
      </c>
      <c r="L136" s="179">
        <f>MAX(I136-J136-K136,0)</f>
        <v/>
      </c>
      <c r="M136" s="181">
        <f>IF($B$131=1,"0% (exempt)",IF(C136=1,"115BAA company",IF($B$7&gt;=24,"LTCG 112","STCG @ slab")))</f>
        <v/>
      </c>
      <c r="N136" s="182">
        <f>IF($B$131=1,0,IF(C136=1,$B$10,IF($B$7&gt;=24,$B$19*(1+MIN(VLOOKUP(L136,$A$42:$B$45,2,TRUE),$B$22))*(1+$B$21),$B$20*(1+VLOOKUP(L136,$A$42:$B$45,2,TRUE))*(1+$B$21))))</f>
        <v/>
      </c>
      <c r="O136" s="179">
        <f>L136*N136</f>
        <v/>
      </c>
      <c r="P136" s="179">
        <f>(1-$B$28)*K136</f>
        <v/>
      </c>
      <c r="Q136" s="174">
        <f>B136+I136-J136-O136-P136</f>
        <v/>
      </c>
      <c r="R136" s="202">
        <f>Q136*10000000/$B$9</f>
        <v/>
      </c>
      <c r="S136" s="181">
        <f>IF(AND(C136=0,E136="SGX/ICE FFA blocks"),"⚠ FFA derivatives need a corporate/IFSC wrapper — not via personal LRS","")</f>
        <v/>
      </c>
    </row>
    <row r="137" hidden="1" outlineLevel="1">
      <c r="A137" s="178" t="n">
        <v>5</v>
      </c>
      <c r="B137" s="179">
        <f>Q136</f>
        <v/>
      </c>
      <c r="C137" s="204">
        <f>IF($B$131=2,1,IF($B$131=4,0,IF(B137&gt;=$B$8,1,0)))</f>
        <v/>
      </c>
      <c r="D137" s="181">
        <f>IF(C137=1,IF($B$131=2,"Company (115BAA)","GIFT FIF (IFSC) Corp"),IF($B$131=1,"Individual / NRI (0%)","Individual LRS"))</f>
        <v/>
      </c>
      <c r="E137" s="181">
        <f>IF(B137&gt;$B$35,"SGX/ICE FFA blocks","BDRY (45-day iceberg)")</f>
        <v/>
      </c>
      <c r="F137" s="179">
        <f>IF(B137&gt;$B$35,$B$36,$B$35)</f>
        <v/>
      </c>
      <c r="G137" s="179">
        <f>MIN(B137,F137)</f>
        <v/>
      </c>
      <c r="H137" s="179">
        <f>B137-G137</f>
        <v/>
      </c>
      <c r="I137" s="179">
        <f>G137*$B$6+H137*$B$23*$B$7/12</f>
        <v/>
      </c>
      <c r="J137" s="179">
        <f>IF(C137=1,IF(B137&gt;=$B$8,$B$11,$B$12),0)</f>
        <v/>
      </c>
      <c r="K137" s="179">
        <f>IF(AND($B$24="On",C137=1,$B$131&lt;&gt;1,$B$10&gt;0),MIN($B$38,$B$27*MAX(I137-J137,0)),0)</f>
        <v/>
      </c>
      <c r="L137" s="179">
        <f>MAX(I137-J137-K137,0)</f>
        <v/>
      </c>
      <c r="M137" s="181">
        <f>IF($B$131=1,"0% (exempt)",IF(C137=1,"115BAA company",IF($B$7&gt;=24,"LTCG 112","STCG @ slab")))</f>
        <v/>
      </c>
      <c r="N137" s="182">
        <f>IF($B$131=1,0,IF(C137=1,$B$10,IF($B$7&gt;=24,$B$19*(1+MIN(VLOOKUP(L137,$A$42:$B$45,2,TRUE),$B$22))*(1+$B$21),$B$20*(1+VLOOKUP(L137,$A$42:$B$45,2,TRUE))*(1+$B$21))))</f>
        <v/>
      </c>
      <c r="O137" s="179">
        <f>L137*N137</f>
        <v/>
      </c>
      <c r="P137" s="179">
        <f>(1-$B$28)*K137</f>
        <v/>
      </c>
      <c r="Q137" s="174">
        <f>B137+I137-J137-O137-P137</f>
        <v/>
      </c>
      <c r="R137" s="202">
        <f>Q137*10000000/$B$9</f>
        <v/>
      </c>
      <c r="S137" s="181">
        <f>IF(AND(C137=0,E137="SGX/ICE FFA blocks"),"⚠ FFA derivatives need a corporate/IFSC wrapper — not via personal LRS","")</f>
        <v/>
      </c>
    </row>
    <row r="138" hidden="1" outlineLevel="1">
      <c r="A138" s="178" t="n">
        <v>6</v>
      </c>
      <c r="B138" s="179">
        <f>Q137</f>
        <v/>
      </c>
      <c r="C138" s="204">
        <f>IF($B$131=2,1,IF($B$131=4,0,IF(B138&gt;=$B$8,1,0)))</f>
        <v/>
      </c>
      <c r="D138" s="181">
        <f>IF(C138=1,IF($B$131=2,"Company (115BAA)","GIFT FIF (IFSC) Corp"),IF($B$131=1,"Individual / NRI (0%)","Individual LRS"))</f>
        <v/>
      </c>
      <c r="E138" s="181">
        <f>IF(B138&gt;$B$35,"SGX/ICE FFA blocks","BDRY (45-day iceberg)")</f>
        <v/>
      </c>
      <c r="F138" s="179">
        <f>IF(B138&gt;$B$35,$B$36,$B$35)</f>
        <v/>
      </c>
      <c r="G138" s="179">
        <f>MIN(B138,F138)</f>
        <v/>
      </c>
      <c r="H138" s="179">
        <f>B138-G138</f>
        <v/>
      </c>
      <c r="I138" s="179">
        <f>G138*$B$6+H138*$B$23*$B$7/12</f>
        <v/>
      </c>
      <c r="J138" s="179">
        <f>IF(C138=1,IF(B138&gt;=$B$8,$B$11,$B$12),0)</f>
        <v/>
      </c>
      <c r="K138" s="179">
        <f>IF(AND($B$24="On",C138=1,$B$131&lt;&gt;1,$B$10&gt;0),MIN($B$38,$B$27*MAX(I138-J138,0)),0)</f>
        <v/>
      </c>
      <c r="L138" s="179">
        <f>MAX(I138-J138-K138,0)</f>
        <v/>
      </c>
      <c r="M138" s="181">
        <f>IF($B$131=1,"0% (exempt)",IF(C138=1,"115BAA company",IF($B$7&gt;=24,"LTCG 112","STCG @ slab")))</f>
        <v/>
      </c>
      <c r="N138" s="182">
        <f>IF($B$131=1,0,IF(C138=1,$B$10,IF($B$7&gt;=24,$B$19*(1+MIN(VLOOKUP(L138,$A$42:$B$45,2,TRUE),$B$22))*(1+$B$21),$B$20*(1+VLOOKUP(L138,$A$42:$B$45,2,TRUE))*(1+$B$21))))</f>
        <v/>
      </c>
      <c r="O138" s="179">
        <f>L138*N138</f>
        <v/>
      </c>
      <c r="P138" s="179">
        <f>(1-$B$28)*K138</f>
        <v/>
      </c>
      <c r="Q138" s="174">
        <f>B138+I138-J138-O138-P138</f>
        <v/>
      </c>
      <c r="R138" s="202">
        <f>Q138*10000000/$B$9</f>
        <v/>
      </c>
      <c r="S138" s="181">
        <f>IF(AND(C138=0,E138="SGX/ICE FFA blocks"),"⚠ FFA derivatives need a corporate/IFSC wrapper — not via personal LRS","")</f>
        <v/>
      </c>
    </row>
    <row r="139" hidden="1" outlineLevel="1">
      <c r="A139" s="178" t="n">
        <v>7</v>
      </c>
      <c r="B139" s="179">
        <f>Q138</f>
        <v/>
      </c>
      <c r="C139" s="204">
        <f>IF($B$131=2,1,IF($B$131=4,0,IF(B139&gt;=$B$8,1,0)))</f>
        <v/>
      </c>
      <c r="D139" s="181">
        <f>IF(C139=1,IF($B$131=2,"Company (115BAA)","GIFT FIF (IFSC) Corp"),IF($B$131=1,"Individual / NRI (0%)","Individual LRS"))</f>
        <v/>
      </c>
      <c r="E139" s="181">
        <f>IF(B139&gt;$B$35,"SGX/ICE FFA blocks","BDRY (45-day iceberg)")</f>
        <v/>
      </c>
      <c r="F139" s="179">
        <f>IF(B139&gt;$B$35,$B$36,$B$35)</f>
        <v/>
      </c>
      <c r="G139" s="179">
        <f>MIN(B139,F139)</f>
        <v/>
      </c>
      <c r="H139" s="179">
        <f>B139-G139</f>
        <v/>
      </c>
      <c r="I139" s="179">
        <f>G139*$B$6+H139*$B$23*$B$7/12</f>
        <v/>
      </c>
      <c r="J139" s="179">
        <f>IF(C139=1,IF(B139&gt;=$B$8,$B$11,$B$12),0)</f>
        <v/>
      </c>
      <c r="K139" s="179">
        <f>IF(AND($B$24="On",C139=1,$B$131&lt;&gt;1,$B$10&gt;0),MIN($B$38,$B$27*MAX(I139-J139,0)),0)</f>
        <v/>
      </c>
      <c r="L139" s="179">
        <f>MAX(I139-J139-K139,0)</f>
        <v/>
      </c>
      <c r="M139" s="181">
        <f>IF($B$131=1,"0% (exempt)",IF(C139=1,"115BAA company",IF($B$7&gt;=24,"LTCG 112","STCG @ slab")))</f>
        <v/>
      </c>
      <c r="N139" s="182">
        <f>IF($B$131=1,0,IF(C139=1,$B$10,IF($B$7&gt;=24,$B$19*(1+MIN(VLOOKUP(L139,$A$42:$B$45,2,TRUE),$B$22))*(1+$B$21),$B$20*(1+VLOOKUP(L139,$A$42:$B$45,2,TRUE))*(1+$B$21))))</f>
        <v/>
      </c>
      <c r="O139" s="179">
        <f>L139*N139</f>
        <v/>
      </c>
      <c r="P139" s="179">
        <f>(1-$B$28)*K139</f>
        <v/>
      </c>
      <c r="Q139" s="174">
        <f>B139+I139-J139-O139-P139</f>
        <v/>
      </c>
      <c r="R139" s="202">
        <f>Q139*10000000/$B$9</f>
        <v/>
      </c>
      <c r="S139" s="181">
        <f>IF(AND(C139=0,E139="SGX/ICE FFA blocks"),"⚠ FFA derivatives need a corporate/IFSC wrapper — not via personal LRS","")</f>
        <v/>
      </c>
    </row>
    <row r="140" hidden="1" outlineLevel="1">
      <c r="A140" s="178" t="n">
        <v>8</v>
      </c>
      <c r="B140" s="179">
        <f>Q139</f>
        <v/>
      </c>
      <c r="C140" s="204">
        <f>IF($B$131=2,1,IF($B$131=4,0,IF(B140&gt;=$B$8,1,0)))</f>
        <v/>
      </c>
      <c r="D140" s="181">
        <f>IF(C140=1,IF($B$131=2,"Company (115BAA)","GIFT FIF (IFSC) Corp"),IF($B$131=1,"Individual / NRI (0%)","Individual LRS"))</f>
        <v/>
      </c>
      <c r="E140" s="181">
        <f>IF(B140&gt;$B$35,"SGX/ICE FFA blocks","BDRY (45-day iceberg)")</f>
        <v/>
      </c>
      <c r="F140" s="179">
        <f>IF(B140&gt;$B$35,$B$36,$B$35)</f>
        <v/>
      </c>
      <c r="G140" s="179">
        <f>MIN(B140,F140)</f>
        <v/>
      </c>
      <c r="H140" s="179">
        <f>B140-G140</f>
        <v/>
      </c>
      <c r="I140" s="179">
        <f>G140*$B$6+H140*$B$23*$B$7/12</f>
        <v/>
      </c>
      <c r="J140" s="179">
        <f>IF(C140=1,IF(B140&gt;=$B$8,$B$11,$B$12),0)</f>
        <v/>
      </c>
      <c r="K140" s="179">
        <f>IF(AND($B$24="On",C140=1,$B$131&lt;&gt;1,$B$10&gt;0),MIN($B$38,$B$27*MAX(I140-J140,0)),0)</f>
        <v/>
      </c>
      <c r="L140" s="179">
        <f>MAX(I140-J140-K140,0)</f>
        <v/>
      </c>
      <c r="M140" s="181">
        <f>IF($B$131=1,"0% (exempt)",IF(C140=1,"115BAA company",IF($B$7&gt;=24,"LTCG 112","STCG @ slab")))</f>
        <v/>
      </c>
      <c r="N140" s="182">
        <f>IF($B$131=1,0,IF(C140=1,$B$10,IF($B$7&gt;=24,$B$19*(1+MIN(VLOOKUP(L140,$A$42:$B$45,2,TRUE),$B$22))*(1+$B$21),$B$20*(1+VLOOKUP(L140,$A$42:$B$45,2,TRUE))*(1+$B$21))))</f>
        <v/>
      </c>
      <c r="O140" s="179">
        <f>L140*N140</f>
        <v/>
      </c>
      <c r="P140" s="179">
        <f>(1-$B$28)*K140</f>
        <v/>
      </c>
      <c r="Q140" s="174">
        <f>B140+I140-J140-O140-P140</f>
        <v/>
      </c>
      <c r="R140" s="202">
        <f>Q140*10000000/$B$9</f>
        <v/>
      </c>
      <c r="S140" s="181">
        <f>IF(AND(C140=0,E140="SGX/ICE FFA blocks"),"⚠ FFA derivatives need a corporate/IFSC wrapper — not via personal LRS","")</f>
        <v/>
      </c>
    </row>
    <row r="141" hidden="1" outlineLevel="1">
      <c r="A141" s="178" t="n">
        <v>9</v>
      </c>
      <c r="B141" s="179">
        <f>Q140</f>
        <v/>
      </c>
      <c r="C141" s="204">
        <f>IF($B$131=2,1,IF($B$131=4,0,IF(B141&gt;=$B$8,1,0)))</f>
        <v/>
      </c>
      <c r="D141" s="181">
        <f>IF(C141=1,IF($B$131=2,"Company (115BAA)","GIFT FIF (IFSC) Corp"),IF($B$131=1,"Individual / NRI (0%)","Individual LRS"))</f>
        <v/>
      </c>
      <c r="E141" s="181">
        <f>IF(B141&gt;$B$35,"SGX/ICE FFA blocks","BDRY (45-day iceberg)")</f>
        <v/>
      </c>
      <c r="F141" s="179">
        <f>IF(B141&gt;$B$35,$B$36,$B$35)</f>
        <v/>
      </c>
      <c r="G141" s="179">
        <f>MIN(B141,F141)</f>
        <v/>
      </c>
      <c r="H141" s="179">
        <f>B141-G141</f>
        <v/>
      </c>
      <c r="I141" s="179">
        <f>G141*$B$6+H141*$B$23*$B$7/12</f>
        <v/>
      </c>
      <c r="J141" s="179">
        <f>IF(C141=1,IF(B141&gt;=$B$8,$B$11,$B$12),0)</f>
        <v/>
      </c>
      <c r="K141" s="179">
        <f>IF(AND($B$24="On",C141=1,$B$131&lt;&gt;1,$B$10&gt;0),MIN($B$38,$B$27*MAX(I141-J141,0)),0)</f>
        <v/>
      </c>
      <c r="L141" s="179">
        <f>MAX(I141-J141-K141,0)</f>
        <v/>
      </c>
      <c r="M141" s="181">
        <f>IF($B$131=1,"0% (exempt)",IF(C141=1,"115BAA company",IF($B$7&gt;=24,"LTCG 112","STCG @ slab")))</f>
        <v/>
      </c>
      <c r="N141" s="182">
        <f>IF($B$131=1,0,IF(C141=1,$B$10,IF($B$7&gt;=24,$B$19*(1+MIN(VLOOKUP(L141,$A$42:$B$45,2,TRUE),$B$22))*(1+$B$21),$B$20*(1+VLOOKUP(L141,$A$42:$B$45,2,TRUE))*(1+$B$21))))</f>
        <v/>
      </c>
      <c r="O141" s="179">
        <f>L141*N141</f>
        <v/>
      </c>
      <c r="P141" s="179">
        <f>(1-$B$28)*K141</f>
        <v/>
      </c>
      <c r="Q141" s="174">
        <f>B141+I141-J141-O141-P141</f>
        <v/>
      </c>
      <c r="R141" s="202">
        <f>Q141*10000000/$B$9</f>
        <v/>
      </c>
      <c r="S141" s="181">
        <f>IF(AND(C141=0,E141="SGX/ICE FFA blocks"),"⚠ FFA derivatives need a corporate/IFSC wrapper — not via personal LRS","")</f>
        <v/>
      </c>
    </row>
    <row r="142" hidden="1" outlineLevel="1">
      <c r="A142" s="178" t="n">
        <v>10</v>
      </c>
      <c r="B142" s="179">
        <f>Q141</f>
        <v/>
      </c>
      <c r="C142" s="204">
        <f>IF($B$131=2,1,IF($B$131=4,0,IF(B142&gt;=$B$8,1,0)))</f>
        <v/>
      </c>
      <c r="D142" s="181">
        <f>IF(C142=1,IF($B$131=2,"Company (115BAA)","GIFT FIF (IFSC) Corp"),IF($B$131=1,"Individual / NRI (0%)","Individual LRS"))</f>
        <v/>
      </c>
      <c r="E142" s="181">
        <f>IF(B142&gt;$B$35,"SGX/ICE FFA blocks","BDRY (45-day iceberg)")</f>
        <v/>
      </c>
      <c r="F142" s="179">
        <f>IF(B142&gt;$B$35,$B$36,$B$35)</f>
        <v/>
      </c>
      <c r="G142" s="179">
        <f>MIN(B142,F142)</f>
        <v/>
      </c>
      <c r="H142" s="179">
        <f>B142-G142</f>
        <v/>
      </c>
      <c r="I142" s="179">
        <f>G142*$B$6+H142*$B$23*$B$7/12</f>
        <v/>
      </c>
      <c r="J142" s="179">
        <f>IF(C142=1,IF(B142&gt;=$B$8,$B$11,$B$12),0)</f>
        <v/>
      </c>
      <c r="K142" s="179">
        <f>IF(AND($B$24="On",C142=1,$B$131&lt;&gt;1,$B$10&gt;0),MIN($B$38,$B$27*MAX(I142-J142,0)),0)</f>
        <v/>
      </c>
      <c r="L142" s="179">
        <f>MAX(I142-J142-K142,0)</f>
        <v/>
      </c>
      <c r="M142" s="181">
        <f>IF($B$131=1,"0% (exempt)",IF(C142=1,"115BAA company",IF($B$7&gt;=24,"LTCG 112","STCG @ slab")))</f>
        <v/>
      </c>
      <c r="N142" s="182">
        <f>IF($B$131=1,0,IF(C142=1,$B$10,IF($B$7&gt;=24,$B$19*(1+MIN(VLOOKUP(L142,$A$42:$B$45,2,TRUE),$B$22))*(1+$B$21),$B$20*(1+VLOOKUP(L142,$A$42:$B$45,2,TRUE))*(1+$B$21))))</f>
        <v/>
      </c>
      <c r="O142" s="179">
        <f>L142*N142</f>
        <v/>
      </c>
      <c r="P142" s="179">
        <f>(1-$B$28)*K142</f>
        <v/>
      </c>
      <c r="Q142" s="174">
        <f>B142+I142-J142-O142-P142</f>
        <v/>
      </c>
      <c r="R142" s="202">
        <f>Q142*10000000/$B$9</f>
        <v/>
      </c>
      <c r="S142" s="181">
        <f>IF(AND(C142=0,E142="SGX/ICE FFA blocks"),"⚠ FFA derivatives need a corporate/IFSC wrapper — not via personal LRS","")</f>
        <v/>
      </c>
    </row>
    <row r="143" hidden="1" outlineLevel="1">
      <c r="A143" s="178" t="n">
        <v>11</v>
      </c>
      <c r="B143" s="179">
        <f>Q142</f>
        <v/>
      </c>
      <c r="C143" s="204">
        <f>IF($B$131=2,1,IF($B$131=4,0,IF(B143&gt;=$B$8,1,0)))</f>
        <v/>
      </c>
      <c r="D143" s="181">
        <f>IF(C143=1,IF($B$131=2,"Company (115BAA)","GIFT FIF (IFSC) Corp"),IF($B$131=1,"Individual / NRI (0%)","Individual LRS"))</f>
        <v/>
      </c>
      <c r="E143" s="181">
        <f>IF(B143&gt;$B$35,"SGX/ICE FFA blocks","BDRY (45-day iceberg)")</f>
        <v/>
      </c>
      <c r="F143" s="179">
        <f>IF(B143&gt;$B$35,$B$36,$B$35)</f>
        <v/>
      </c>
      <c r="G143" s="179">
        <f>MIN(B143,F143)</f>
        <v/>
      </c>
      <c r="H143" s="179">
        <f>B143-G143</f>
        <v/>
      </c>
      <c r="I143" s="179">
        <f>G143*$B$6+H143*$B$23*$B$7/12</f>
        <v/>
      </c>
      <c r="J143" s="179">
        <f>IF(C143=1,IF(B143&gt;=$B$8,$B$11,$B$12),0)</f>
        <v/>
      </c>
      <c r="K143" s="179">
        <f>IF(AND($B$24="On",C143=1,$B$131&lt;&gt;1,$B$10&gt;0),MIN($B$38,$B$27*MAX(I143-J143,0)),0)</f>
        <v/>
      </c>
      <c r="L143" s="179">
        <f>MAX(I143-J143-K143,0)</f>
        <v/>
      </c>
      <c r="M143" s="181">
        <f>IF($B$131=1,"0% (exempt)",IF(C143=1,"115BAA company",IF($B$7&gt;=24,"LTCG 112","STCG @ slab")))</f>
        <v/>
      </c>
      <c r="N143" s="182">
        <f>IF($B$131=1,0,IF(C143=1,$B$10,IF($B$7&gt;=24,$B$19*(1+MIN(VLOOKUP(L143,$A$42:$B$45,2,TRUE),$B$22))*(1+$B$21),$B$20*(1+VLOOKUP(L143,$A$42:$B$45,2,TRUE))*(1+$B$21))))</f>
        <v/>
      </c>
      <c r="O143" s="179">
        <f>L143*N143</f>
        <v/>
      </c>
      <c r="P143" s="179">
        <f>(1-$B$28)*K143</f>
        <v/>
      </c>
      <c r="Q143" s="174">
        <f>B143+I143-J143-O143-P143</f>
        <v/>
      </c>
      <c r="R143" s="202">
        <f>Q143*10000000/$B$9</f>
        <v/>
      </c>
      <c r="S143" s="181">
        <f>IF(AND(C143=0,E143="SGX/ICE FFA blocks"),"⚠ FFA derivatives need a corporate/IFSC wrapper — not via personal LRS","")</f>
        <v/>
      </c>
    </row>
    <row r="144" hidden="1" outlineLevel="1">
      <c r="A144" s="178" t="n">
        <v>12</v>
      </c>
      <c r="B144" s="179">
        <f>Q143</f>
        <v/>
      </c>
      <c r="C144" s="204">
        <f>IF($B$131=2,1,IF($B$131=4,0,IF(B144&gt;=$B$8,1,0)))</f>
        <v/>
      </c>
      <c r="D144" s="181">
        <f>IF(C144=1,IF($B$131=2,"Company (115BAA)","GIFT FIF (IFSC) Corp"),IF($B$131=1,"Individual / NRI (0%)","Individual LRS"))</f>
        <v/>
      </c>
      <c r="E144" s="181">
        <f>IF(B144&gt;$B$35,"SGX/ICE FFA blocks","BDRY (45-day iceberg)")</f>
        <v/>
      </c>
      <c r="F144" s="179">
        <f>IF(B144&gt;$B$35,$B$36,$B$35)</f>
        <v/>
      </c>
      <c r="G144" s="179">
        <f>MIN(B144,F144)</f>
        <v/>
      </c>
      <c r="H144" s="179">
        <f>B144-G144</f>
        <v/>
      </c>
      <c r="I144" s="179">
        <f>G144*$B$6+H144*$B$23*$B$7/12</f>
        <v/>
      </c>
      <c r="J144" s="179">
        <f>IF(C144=1,IF(B144&gt;=$B$8,$B$11,$B$12),0)</f>
        <v/>
      </c>
      <c r="K144" s="179">
        <f>IF(AND($B$24="On",C144=1,$B$131&lt;&gt;1,$B$10&gt;0),MIN($B$38,$B$27*MAX(I144-J144,0)),0)</f>
        <v/>
      </c>
      <c r="L144" s="179">
        <f>MAX(I144-J144-K144,0)</f>
        <v/>
      </c>
      <c r="M144" s="181">
        <f>IF($B$131=1,"0% (exempt)",IF(C144=1,"115BAA company",IF($B$7&gt;=24,"LTCG 112","STCG @ slab")))</f>
        <v/>
      </c>
      <c r="N144" s="182">
        <f>IF($B$131=1,0,IF(C144=1,$B$10,IF($B$7&gt;=24,$B$19*(1+MIN(VLOOKUP(L144,$A$42:$B$45,2,TRUE),$B$22))*(1+$B$21),$B$20*(1+VLOOKUP(L144,$A$42:$B$45,2,TRUE))*(1+$B$21))))</f>
        <v/>
      </c>
      <c r="O144" s="179">
        <f>L144*N144</f>
        <v/>
      </c>
      <c r="P144" s="179">
        <f>(1-$B$28)*K144</f>
        <v/>
      </c>
      <c r="Q144" s="174">
        <f>B144+I144-J144-O144-P144</f>
        <v/>
      </c>
      <c r="R144" s="202">
        <f>Q144*10000000/$B$9</f>
        <v/>
      </c>
      <c r="S144" s="181">
        <f>IF(AND(C144=0,E144="SGX/ICE FFA blocks"),"⚠ FFA derivatives need a corporate/IFSC wrapper — not via personal LRS","")</f>
        <v/>
      </c>
    </row>
    <row r="145" hidden="1" outlineLevel="1">
      <c r="A145" s="178" t="n">
        <v>13</v>
      </c>
      <c r="B145" s="179">
        <f>Q144</f>
        <v/>
      </c>
      <c r="C145" s="204">
        <f>IF($B$131=2,1,IF($B$131=4,0,IF(B145&gt;=$B$8,1,0)))</f>
        <v/>
      </c>
      <c r="D145" s="181">
        <f>IF(C145=1,IF($B$131=2,"Company (115BAA)","GIFT FIF (IFSC) Corp"),IF($B$131=1,"Individual / NRI (0%)","Individual LRS"))</f>
        <v/>
      </c>
      <c r="E145" s="181">
        <f>IF(B145&gt;$B$35,"SGX/ICE FFA blocks","BDRY (45-day iceberg)")</f>
        <v/>
      </c>
      <c r="F145" s="179">
        <f>IF(B145&gt;$B$35,$B$36,$B$35)</f>
        <v/>
      </c>
      <c r="G145" s="179">
        <f>MIN(B145,F145)</f>
        <v/>
      </c>
      <c r="H145" s="179">
        <f>B145-G145</f>
        <v/>
      </c>
      <c r="I145" s="179">
        <f>G145*$B$6+H145*$B$23*$B$7/12</f>
        <v/>
      </c>
      <c r="J145" s="179">
        <f>IF(C145=1,IF(B145&gt;=$B$8,$B$11,$B$12),0)</f>
        <v/>
      </c>
      <c r="K145" s="179">
        <f>IF(AND($B$24="On",C145=1,$B$131&lt;&gt;1,$B$10&gt;0),MIN($B$38,$B$27*MAX(I145-J145,0)),0)</f>
        <v/>
      </c>
      <c r="L145" s="179">
        <f>MAX(I145-J145-K145,0)</f>
        <v/>
      </c>
      <c r="M145" s="181">
        <f>IF($B$131=1,"0% (exempt)",IF(C145=1,"115BAA company",IF($B$7&gt;=24,"LTCG 112","STCG @ slab")))</f>
        <v/>
      </c>
      <c r="N145" s="182">
        <f>IF($B$131=1,0,IF(C145=1,$B$10,IF($B$7&gt;=24,$B$19*(1+MIN(VLOOKUP(L145,$A$42:$B$45,2,TRUE),$B$22))*(1+$B$21),$B$20*(1+VLOOKUP(L145,$A$42:$B$45,2,TRUE))*(1+$B$21))))</f>
        <v/>
      </c>
      <c r="O145" s="179">
        <f>L145*N145</f>
        <v/>
      </c>
      <c r="P145" s="179">
        <f>(1-$B$28)*K145</f>
        <v/>
      </c>
      <c r="Q145" s="174">
        <f>B145+I145-J145-O145-P145</f>
        <v/>
      </c>
      <c r="R145" s="202">
        <f>Q145*10000000/$B$9</f>
        <v/>
      </c>
      <c r="S145" s="181">
        <f>IF(AND(C145=0,E145="SGX/ICE FFA blocks"),"⚠ FFA derivatives need a corporate/IFSC wrapper — not via personal LRS","")</f>
        <v/>
      </c>
    </row>
    <row r="146" hidden="1" outlineLevel="1">
      <c r="A146" s="178" t="n">
        <v>14</v>
      </c>
      <c r="B146" s="179">
        <f>Q145</f>
        <v/>
      </c>
      <c r="C146" s="204">
        <f>IF($B$131=2,1,IF($B$131=4,0,IF(B146&gt;=$B$8,1,0)))</f>
        <v/>
      </c>
      <c r="D146" s="181">
        <f>IF(C146=1,IF($B$131=2,"Company (115BAA)","GIFT FIF (IFSC) Corp"),IF($B$131=1,"Individual / NRI (0%)","Individual LRS"))</f>
        <v/>
      </c>
      <c r="E146" s="181">
        <f>IF(B146&gt;$B$35,"SGX/ICE FFA blocks","BDRY (45-day iceberg)")</f>
        <v/>
      </c>
      <c r="F146" s="179">
        <f>IF(B146&gt;$B$35,$B$36,$B$35)</f>
        <v/>
      </c>
      <c r="G146" s="179">
        <f>MIN(B146,F146)</f>
        <v/>
      </c>
      <c r="H146" s="179">
        <f>B146-G146</f>
        <v/>
      </c>
      <c r="I146" s="179">
        <f>G146*$B$6+H146*$B$23*$B$7/12</f>
        <v/>
      </c>
      <c r="J146" s="179">
        <f>IF(C146=1,IF(B146&gt;=$B$8,$B$11,$B$12),0)</f>
        <v/>
      </c>
      <c r="K146" s="179">
        <f>IF(AND($B$24="On",C146=1,$B$131&lt;&gt;1,$B$10&gt;0),MIN($B$38,$B$27*MAX(I146-J146,0)),0)</f>
        <v/>
      </c>
      <c r="L146" s="179">
        <f>MAX(I146-J146-K146,0)</f>
        <v/>
      </c>
      <c r="M146" s="181">
        <f>IF($B$131=1,"0% (exempt)",IF(C146=1,"115BAA company",IF($B$7&gt;=24,"LTCG 112","STCG @ slab")))</f>
        <v/>
      </c>
      <c r="N146" s="182">
        <f>IF($B$131=1,0,IF(C146=1,$B$10,IF($B$7&gt;=24,$B$19*(1+MIN(VLOOKUP(L146,$A$42:$B$45,2,TRUE),$B$22))*(1+$B$21),$B$20*(1+VLOOKUP(L146,$A$42:$B$45,2,TRUE))*(1+$B$21))))</f>
        <v/>
      </c>
      <c r="O146" s="179">
        <f>L146*N146</f>
        <v/>
      </c>
      <c r="P146" s="179">
        <f>(1-$B$28)*K146</f>
        <v/>
      </c>
      <c r="Q146" s="174">
        <f>B146+I146-J146-O146-P146</f>
        <v/>
      </c>
      <c r="R146" s="202">
        <f>Q146*10000000/$B$9</f>
        <v/>
      </c>
      <c r="S146" s="181">
        <f>IF(AND(C146=0,E146="SGX/ICE FFA blocks"),"⚠ FFA derivatives need a corporate/IFSC wrapper — not via personal LRS","")</f>
        <v/>
      </c>
    </row>
    <row r="147" hidden="1" outlineLevel="1">
      <c r="A147" s="178" t="n">
        <v>15</v>
      </c>
      <c r="B147" s="179">
        <f>Q146</f>
        <v/>
      </c>
      <c r="C147" s="204">
        <f>IF($B$131=2,1,IF($B$131=4,0,IF(B147&gt;=$B$8,1,0)))</f>
        <v/>
      </c>
      <c r="D147" s="181">
        <f>IF(C147=1,IF($B$131=2,"Company (115BAA)","GIFT FIF (IFSC) Corp"),IF($B$131=1,"Individual / NRI (0%)","Individual LRS"))</f>
        <v/>
      </c>
      <c r="E147" s="181">
        <f>IF(B147&gt;$B$35,"SGX/ICE FFA blocks","BDRY (45-day iceberg)")</f>
        <v/>
      </c>
      <c r="F147" s="179">
        <f>IF(B147&gt;$B$35,$B$36,$B$35)</f>
        <v/>
      </c>
      <c r="G147" s="179">
        <f>MIN(B147,F147)</f>
        <v/>
      </c>
      <c r="H147" s="179">
        <f>B147-G147</f>
        <v/>
      </c>
      <c r="I147" s="179">
        <f>G147*$B$6+H147*$B$23*$B$7/12</f>
        <v/>
      </c>
      <c r="J147" s="179">
        <f>IF(C147=1,IF(B147&gt;=$B$8,$B$11,$B$12),0)</f>
        <v/>
      </c>
      <c r="K147" s="179">
        <f>IF(AND($B$24="On",C147=1,$B$131&lt;&gt;1,$B$10&gt;0),MIN($B$38,$B$27*MAX(I147-J147,0)),0)</f>
        <v/>
      </c>
      <c r="L147" s="179">
        <f>MAX(I147-J147-K147,0)</f>
        <v/>
      </c>
      <c r="M147" s="181">
        <f>IF($B$131=1,"0% (exempt)",IF(C147=1,"115BAA company",IF($B$7&gt;=24,"LTCG 112","STCG @ slab")))</f>
        <v/>
      </c>
      <c r="N147" s="182">
        <f>IF($B$131=1,0,IF(C147=1,$B$10,IF($B$7&gt;=24,$B$19*(1+MIN(VLOOKUP(L147,$A$42:$B$45,2,TRUE),$B$22))*(1+$B$21),$B$20*(1+VLOOKUP(L147,$A$42:$B$45,2,TRUE))*(1+$B$21))))</f>
        <v/>
      </c>
      <c r="O147" s="179">
        <f>L147*N147</f>
        <v/>
      </c>
      <c r="P147" s="179">
        <f>(1-$B$28)*K147</f>
        <v/>
      </c>
      <c r="Q147" s="174">
        <f>B147+I147-J147-O147-P147</f>
        <v/>
      </c>
      <c r="R147" s="202">
        <f>Q147*10000000/$B$9</f>
        <v/>
      </c>
      <c r="S147" s="181">
        <f>IF(AND(C147=0,E147="SGX/ICE FFA blocks"),"⚠ FFA derivatives need a corporate/IFSC wrapper — not via personal LRS","")</f>
        <v/>
      </c>
    </row>
    <row r="148" hidden="1" outlineLevel="1">
      <c r="A148" s="178" t="n">
        <v>16</v>
      </c>
      <c r="B148" s="179">
        <f>Q147</f>
        <v/>
      </c>
      <c r="C148" s="204">
        <f>IF($B$131=2,1,IF($B$131=4,0,IF(B148&gt;=$B$8,1,0)))</f>
        <v/>
      </c>
      <c r="D148" s="181">
        <f>IF(C148=1,IF($B$131=2,"Company (115BAA)","GIFT FIF (IFSC) Corp"),IF($B$131=1,"Individual / NRI (0%)","Individual LRS"))</f>
        <v/>
      </c>
      <c r="E148" s="181">
        <f>IF(B148&gt;$B$35,"SGX/ICE FFA blocks","BDRY (45-day iceberg)")</f>
        <v/>
      </c>
      <c r="F148" s="179">
        <f>IF(B148&gt;$B$35,$B$36,$B$35)</f>
        <v/>
      </c>
      <c r="G148" s="179">
        <f>MIN(B148,F148)</f>
        <v/>
      </c>
      <c r="H148" s="179">
        <f>B148-G148</f>
        <v/>
      </c>
      <c r="I148" s="179">
        <f>G148*$B$6+H148*$B$23*$B$7/12</f>
        <v/>
      </c>
      <c r="J148" s="179">
        <f>IF(C148=1,IF(B148&gt;=$B$8,$B$11,$B$12),0)</f>
        <v/>
      </c>
      <c r="K148" s="179">
        <f>IF(AND($B$24="On",C148=1,$B$131&lt;&gt;1,$B$10&gt;0),MIN($B$38,$B$27*MAX(I148-J148,0)),0)</f>
        <v/>
      </c>
      <c r="L148" s="179">
        <f>MAX(I148-J148-K148,0)</f>
        <v/>
      </c>
      <c r="M148" s="181">
        <f>IF($B$131=1,"0% (exempt)",IF(C148=1,"115BAA company",IF($B$7&gt;=24,"LTCG 112","STCG @ slab")))</f>
        <v/>
      </c>
      <c r="N148" s="182">
        <f>IF($B$131=1,0,IF(C148=1,$B$10,IF($B$7&gt;=24,$B$19*(1+MIN(VLOOKUP(L148,$A$42:$B$45,2,TRUE),$B$22))*(1+$B$21),$B$20*(1+VLOOKUP(L148,$A$42:$B$45,2,TRUE))*(1+$B$21))))</f>
        <v/>
      </c>
      <c r="O148" s="179">
        <f>L148*N148</f>
        <v/>
      </c>
      <c r="P148" s="179">
        <f>(1-$B$28)*K148</f>
        <v/>
      </c>
      <c r="Q148" s="174">
        <f>B148+I148-J148-O148-P148</f>
        <v/>
      </c>
      <c r="R148" s="202">
        <f>Q148*10000000/$B$9</f>
        <v/>
      </c>
      <c r="S148" s="181">
        <f>IF(AND(C148=0,E148="SGX/ICE FFA blocks"),"⚠ FFA derivatives need a corporate/IFSC wrapper — not via personal LRS","")</f>
        <v/>
      </c>
    </row>
    <row r="149" hidden="1" outlineLevel="1">
      <c r="A149" s="178" t="n">
        <v>17</v>
      </c>
      <c r="B149" s="179">
        <f>Q148</f>
        <v/>
      </c>
      <c r="C149" s="204">
        <f>IF($B$131=2,1,IF($B$131=4,0,IF(B149&gt;=$B$8,1,0)))</f>
        <v/>
      </c>
      <c r="D149" s="181">
        <f>IF(C149=1,IF($B$131=2,"Company (115BAA)","GIFT FIF (IFSC) Corp"),IF($B$131=1,"Individual / NRI (0%)","Individual LRS"))</f>
        <v/>
      </c>
      <c r="E149" s="181">
        <f>IF(B149&gt;$B$35,"SGX/ICE FFA blocks","BDRY (45-day iceberg)")</f>
        <v/>
      </c>
      <c r="F149" s="179">
        <f>IF(B149&gt;$B$35,$B$36,$B$35)</f>
        <v/>
      </c>
      <c r="G149" s="179">
        <f>MIN(B149,F149)</f>
        <v/>
      </c>
      <c r="H149" s="179">
        <f>B149-G149</f>
        <v/>
      </c>
      <c r="I149" s="179">
        <f>G149*$B$6+H149*$B$23*$B$7/12</f>
        <v/>
      </c>
      <c r="J149" s="179">
        <f>IF(C149=1,IF(B149&gt;=$B$8,$B$11,$B$12),0)</f>
        <v/>
      </c>
      <c r="K149" s="179">
        <f>IF(AND($B$24="On",C149=1,$B$131&lt;&gt;1,$B$10&gt;0),MIN($B$38,$B$27*MAX(I149-J149,0)),0)</f>
        <v/>
      </c>
      <c r="L149" s="179">
        <f>MAX(I149-J149-K149,0)</f>
        <v/>
      </c>
      <c r="M149" s="181">
        <f>IF($B$131=1,"0% (exempt)",IF(C149=1,"115BAA company",IF($B$7&gt;=24,"LTCG 112","STCG @ slab")))</f>
        <v/>
      </c>
      <c r="N149" s="182">
        <f>IF($B$131=1,0,IF(C149=1,$B$10,IF($B$7&gt;=24,$B$19*(1+MIN(VLOOKUP(L149,$A$42:$B$45,2,TRUE),$B$22))*(1+$B$21),$B$20*(1+VLOOKUP(L149,$A$42:$B$45,2,TRUE))*(1+$B$21))))</f>
        <v/>
      </c>
      <c r="O149" s="179">
        <f>L149*N149</f>
        <v/>
      </c>
      <c r="P149" s="179">
        <f>(1-$B$28)*K149</f>
        <v/>
      </c>
      <c r="Q149" s="174">
        <f>B149+I149-J149-O149-P149</f>
        <v/>
      </c>
      <c r="R149" s="202">
        <f>Q149*10000000/$B$9</f>
        <v/>
      </c>
      <c r="S149" s="181">
        <f>IF(AND(C149=0,E149="SGX/ICE FFA blocks"),"⚠ FFA derivatives need a corporate/IFSC wrapper — not via personal LRS","")</f>
        <v/>
      </c>
    </row>
    <row r="150" hidden="1" outlineLevel="1">
      <c r="A150" s="178" t="n">
        <v>18</v>
      </c>
      <c r="B150" s="179">
        <f>Q149</f>
        <v/>
      </c>
      <c r="C150" s="204">
        <f>IF($B$131=2,1,IF($B$131=4,0,IF(B150&gt;=$B$8,1,0)))</f>
        <v/>
      </c>
      <c r="D150" s="181">
        <f>IF(C150=1,IF($B$131=2,"Company (115BAA)","GIFT FIF (IFSC) Corp"),IF($B$131=1,"Individual / NRI (0%)","Individual LRS"))</f>
        <v/>
      </c>
      <c r="E150" s="181">
        <f>IF(B150&gt;$B$35,"SGX/ICE FFA blocks","BDRY (45-day iceberg)")</f>
        <v/>
      </c>
      <c r="F150" s="179">
        <f>IF(B150&gt;$B$35,$B$36,$B$35)</f>
        <v/>
      </c>
      <c r="G150" s="179">
        <f>MIN(B150,F150)</f>
        <v/>
      </c>
      <c r="H150" s="179">
        <f>B150-G150</f>
        <v/>
      </c>
      <c r="I150" s="179">
        <f>G150*$B$6+H150*$B$23*$B$7/12</f>
        <v/>
      </c>
      <c r="J150" s="179">
        <f>IF(C150=1,IF(B150&gt;=$B$8,$B$11,$B$12),0)</f>
        <v/>
      </c>
      <c r="K150" s="179">
        <f>IF(AND($B$24="On",C150=1,$B$131&lt;&gt;1,$B$10&gt;0),MIN($B$38,$B$27*MAX(I150-J150,0)),0)</f>
        <v/>
      </c>
      <c r="L150" s="179">
        <f>MAX(I150-J150-K150,0)</f>
        <v/>
      </c>
      <c r="M150" s="181">
        <f>IF($B$131=1,"0% (exempt)",IF(C150=1,"115BAA company",IF($B$7&gt;=24,"LTCG 112","STCG @ slab")))</f>
        <v/>
      </c>
      <c r="N150" s="182">
        <f>IF($B$131=1,0,IF(C150=1,$B$10,IF($B$7&gt;=24,$B$19*(1+MIN(VLOOKUP(L150,$A$42:$B$45,2,TRUE),$B$22))*(1+$B$21),$B$20*(1+VLOOKUP(L150,$A$42:$B$45,2,TRUE))*(1+$B$21))))</f>
        <v/>
      </c>
      <c r="O150" s="179">
        <f>L150*N150</f>
        <v/>
      </c>
      <c r="P150" s="179">
        <f>(1-$B$28)*K150</f>
        <v/>
      </c>
      <c r="Q150" s="174">
        <f>B150+I150-J150-O150-P150</f>
        <v/>
      </c>
      <c r="R150" s="202">
        <f>Q150*10000000/$B$9</f>
        <v/>
      </c>
      <c r="S150" s="181">
        <f>IF(AND(C150=0,E150="SGX/ICE FFA blocks"),"⚠ FFA derivatives need a corporate/IFSC wrapper — not via personal LRS","")</f>
        <v/>
      </c>
    </row>
    <row r="151" hidden="1" outlineLevel="1">
      <c r="A151" s="178" t="n">
        <v>19</v>
      </c>
      <c r="B151" s="179">
        <f>Q150</f>
        <v/>
      </c>
      <c r="C151" s="204">
        <f>IF($B$131=2,1,IF($B$131=4,0,IF(B151&gt;=$B$8,1,0)))</f>
        <v/>
      </c>
      <c r="D151" s="181">
        <f>IF(C151=1,IF($B$131=2,"Company (115BAA)","GIFT FIF (IFSC) Corp"),IF($B$131=1,"Individual / NRI (0%)","Individual LRS"))</f>
        <v/>
      </c>
      <c r="E151" s="181">
        <f>IF(B151&gt;$B$35,"SGX/ICE FFA blocks","BDRY (45-day iceberg)")</f>
        <v/>
      </c>
      <c r="F151" s="179">
        <f>IF(B151&gt;$B$35,$B$36,$B$35)</f>
        <v/>
      </c>
      <c r="G151" s="179">
        <f>MIN(B151,F151)</f>
        <v/>
      </c>
      <c r="H151" s="179">
        <f>B151-G151</f>
        <v/>
      </c>
      <c r="I151" s="179">
        <f>G151*$B$6+H151*$B$23*$B$7/12</f>
        <v/>
      </c>
      <c r="J151" s="179">
        <f>IF(C151=1,IF(B151&gt;=$B$8,$B$11,$B$12),0)</f>
        <v/>
      </c>
      <c r="K151" s="179">
        <f>IF(AND($B$24="On",C151=1,$B$131&lt;&gt;1,$B$10&gt;0),MIN($B$38,$B$27*MAX(I151-J151,0)),0)</f>
        <v/>
      </c>
      <c r="L151" s="179">
        <f>MAX(I151-J151-K151,0)</f>
        <v/>
      </c>
      <c r="M151" s="181">
        <f>IF($B$131=1,"0% (exempt)",IF(C151=1,"115BAA company",IF($B$7&gt;=24,"LTCG 112","STCG @ slab")))</f>
        <v/>
      </c>
      <c r="N151" s="182">
        <f>IF($B$131=1,0,IF(C151=1,$B$10,IF($B$7&gt;=24,$B$19*(1+MIN(VLOOKUP(L151,$A$42:$B$45,2,TRUE),$B$22))*(1+$B$21),$B$20*(1+VLOOKUP(L151,$A$42:$B$45,2,TRUE))*(1+$B$21))))</f>
        <v/>
      </c>
      <c r="O151" s="179">
        <f>L151*N151</f>
        <v/>
      </c>
      <c r="P151" s="179">
        <f>(1-$B$28)*K151</f>
        <v/>
      </c>
      <c r="Q151" s="174">
        <f>B151+I151-J151-O151-P151</f>
        <v/>
      </c>
      <c r="R151" s="202">
        <f>Q151*10000000/$B$9</f>
        <v/>
      </c>
      <c r="S151" s="181">
        <f>IF(AND(C151=0,E151="SGX/ICE FFA blocks"),"⚠ FFA derivatives need a corporate/IFSC wrapper — not via personal LRS","")</f>
        <v/>
      </c>
    </row>
    <row r="152" hidden="1" outlineLevel="1">
      <c r="A152" s="178" t="n">
        <v>20</v>
      </c>
      <c r="B152" s="179">
        <f>Q151</f>
        <v/>
      </c>
      <c r="C152" s="204">
        <f>IF($B$131=2,1,IF($B$131=4,0,IF(B152&gt;=$B$8,1,0)))</f>
        <v/>
      </c>
      <c r="D152" s="181">
        <f>IF(C152=1,IF($B$131=2,"Company (115BAA)","GIFT FIF (IFSC) Corp"),IF($B$131=1,"Individual / NRI (0%)","Individual LRS"))</f>
        <v/>
      </c>
      <c r="E152" s="181">
        <f>IF(B152&gt;$B$35,"SGX/ICE FFA blocks","BDRY (45-day iceberg)")</f>
        <v/>
      </c>
      <c r="F152" s="179">
        <f>IF(B152&gt;$B$35,$B$36,$B$35)</f>
        <v/>
      </c>
      <c r="G152" s="179">
        <f>MIN(B152,F152)</f>
        <v/>
      </c>
      <c r="H152" s="179">
        <f>B152-G152</f>
        <v/>
      </c>
      <c r="I152" s="179">
        <f>G152*$B$6+H152*$B$23*$B$7/12</f>
        <v/>
      </c>
      <c r="J152" s="179">
        <f>IF(C152=1,IF(B152&gt;=$B$8,$B$11,$B$12),0)</f>
        <v/>
      </c>
      <c r="K152" s="179">
        <f>IF(AND($B$24="On",C152=1,$B$131&lt;&gt;1,$B$10&gt;0),MIN($B$38,$B$27*MAX(I152-J152,0)),0)</f>
        <v/>
      </c>
      <c r="L152" s="179">
        <f>MAX(I152-J152-K152,0)</f>
        <v/>
      </c>
      <c r="M152" s="181">
        <f>IF($B$131=1,"0% (exempt)",IF(C152=1,"115BAA company",IF($B$7&gt;=24,"LTCG 112","STCG @ slab")))</f>
        <v/>
      </c>
      <c r="N152" s="182">
        <f>IF($B$131=1,0,IF(C152=1,$B$10,IF($B$7&gt;=24,$B$19*(1+MIN(VLOOKUP(L152,$A$42:$B$45,2,TRUE),$B$22))*(1+$B$21),$B$20*(1+VLOOKUP(L152,$A$42:$B$45,2,TRUE))*(1+$B$21))))</f>
        <v/>
      </c>
      <c r="O152" s="179">
        <f>L152*N152</f>
        <v/>
      </c>
      <c r="P152" s="179">
        <f>(1-$B$28)*K152</f>
        <v/>
      </c>
      <c r="Q152" s="174">
        <f>B152+I152-J152-O152-P152</f>
        <v/>
      </c>
      <c r="R152" s="202">
        <f>Q152*10000000/$B$9</f>
        <v/>
      </c>
      <c r="S152" s="181">
        <f>IF(AND(C152=0,E152="SGX/ICE FFA blocks"),"⚠ FFA derivatives need a corporate/IFSC wrapper — not via personal LRS","")</f>
        <v/>
      </c>
    </row>
    <row r="153" hidden="1" outlineLevel="1"/>
    <row r="154" hidden="1" outlineLevel="1"/>
    <row r="155" hidden="1" outlineLevel="1" ht="20" customHeight="1">
      <c r="A155" s="154" t="inlineStr">
        <is>
          <t>CASE 2 · COMPANY FLAT 25.168% FROM CYCLE 1   —   115BAA rate every cycle (company from day one)</t>
        </is>
      </c>
      <c r="B155" s="155" t="n"/>
      <c r="C155" s="155" t="n"/>
      <c r="D155" s="155" t="n"/>
      <c r="E155" s="155" t="n"/>
      <c r="F155" s="155" t="n"/>
      <c r="G155" s="155" t="n"/>
      <c r="H155" s="155" t="n"/>
      <c r="I155" s="155" t="n"/>
      <c r="J155" s="155" t="n"/>
      <c r="K155" s="155" t="n"/>
      <c r="L155" s="155" t="n"/>
      <c r="M155" s="155" t="n"/>
      <c r="N155" s="155" t="n"/>
      <c r="O155" s="155" t="n"/>
      <c r="P155" s="155" t="n"/>
      <c r="Q155" s="155" t="n"/>
      <c r="R155" s="155" t="n"/>
      <c r="S155" s="155" t="n"/>
    </row>
    <row r="156" hidden="1" outlineLevel="1">
      <c r="A156" s="164" t="inlineStr">
        <is>
          <t>Tax mode</t>
        </is>
      </c>
      <c r="B156" s="178" t="n">
        <v>2</v>
      </c>
    </row>
    <row r="157" hidden="1" outlineLevel="1" ht="34" customHeight="1">
      <c r="A157" s="156" t="inlineStr">
        <is>
          <t>Cycle</t>
        </is>
      </c>
      <c r="B157" s="156" t="inlineStr">
        <is>
          <t>Start ₹ Cr</t>
        </is>
      </c>
      <c r="C157" s="156" t="inlineStr">
        <is>
          <t>Company? (1/0)</t>
        </is>
      </c>
      <c r="D157" s="156" t="inlineStr">
        <is>
          <t>Wrapper (FEMA gate)</t>
        </is>
      </c>
      <c r="E157" s="156" t="inlineStr">
        <is>
          <t>Instrument</t>
        </is>
      </c>
      <c r="F157" s="156" t="inlineStr">
        <is>
          <t>Capacity ₹ Cr</t>
        </is>
      </c>
      <c r="G157" s="156" t="inlineStr">
        <is>
          <t>Deployed ₹ Cr</t>
        </is>
      </c>
      <c r="H157" s="156" t="inlineStr">
        <is>
          <t>Idle ₹ Cr</t>
        </is>
      </c>
      <c r="I157" s="156" t="inlineStr">
        <is>
          <t>Gross gain ₹ Cr</t>
        </is>
      </c>
      <c r="J157" s="156" t="inlineStr">
        <is>
          <t>Running cost ₹ Cr</t>
        </is>
      </c>
      <c r="K157" s="156" t="inlineStr">
        <is>
          <t>Family salary ₹ Cr</t>
        </is>
      </c>
      <c r="L157" s="156" t="inlineStr">
        <is>
          <t>Taxable ₹ Cr</t>
        </is>
      </c>
      <c r="M157" s="156" t="inlineStr">
        <is>
          <t>Tax basis</t>
        </is>
      </c>
      <c r="N157" s="156" t="inlineStr">
        <is>
          <t>Eff. tax rate</t>
        </is>
      </c>
      <c r="O157" s="156" t="inlineStr">
        <is>
          <t>Tax ₹ Cr</t>
        </is>
      </c>
      <c r="P157" s="156" t="inlineStr">
        <is>
          <t>Net payroll leakage ₹ Cr</t>
        </is>
      </c>
      <c r="Q157" s="156" t="inlineStr">
        <is>
          <t>End ₹ Cr</t>
        </is>
      </c>
      <c r="R157" s="156" t="inlineStr">
        <is>
          <t>End USD</t>
        </is>
      </c>
      <c r="S157" s="156" t="inlineStr">
        <is>
          <t>Compliance flag</t>
        </is>
      </c>
    </row>
    <row r="158" hidden="1" outlineLevel="1">
      <c r="A158" s="178" t="n">
        <v>1</v>
      </c>
      <c r="B158" s="179">
        <f>$B$5</f>
        <v/>
      </c>
      <c r="C158" s="204">
        <f>IF($B$156=2,1,IF($B$156=4,0,IF(B158&gt;=$B$8,1,0)))</f>
        <v/>
      </c>
      <c r="D158" s="181">
        <f>IF(C158=1,IF($B$156=2,"Company (115BAA)","GIFT FIF (IFSC) Corp"),IF($B$156=1,"Individual / NRI (0%)","Individual LRS"))</f>
        <v/>
      </c>
      <c r="E158" s="181">
        <f>IF(B158&gt;$B$35,"SGX/ICE FFA blocks","BDRY (45-day iceberg)")</f>
        <v/>
      </c>
      <c r="F158" s="179">
        <f>IF(B158&gt;$B$35,$B$36,$B$35)</f>
        <v/>
      </c>
      <c r="G158" s="179">
        <f>MIN(B158,F158)</f>
        <v/>
      </c>
      <c r="H158" s="179">
        <f>B158-G158</f>
        <v/>
      </c>
      <c r="I158" s="179">
        <f>G158*$B$6+H158*$B$23*$B$7/12</f>
        <v/>
      </c>
      <c r="J158" s="179">
        <f>IF(C158=1,IF(B158&gt;=$B$8,$B$11,$B$12),0)</f>
        <v/>
      </c>
      <c r="K158" s="179">
        <f>IF(AND($B$24="On",C158=1,$B$156&lt;&gt;1,$B$10&gt;0),MIN($B$38,$B$27*MAX(I158-J158,0)),0)</f>
        <v/>
      </c>
      <c r="L158" s="179">
        <f>MAX(I158-J158-K158,0)</f>
        <v/>
      </c>
      <c r="M158" s="181">
        <f>IF($B$156=1,"0% (exempt)",IF(C158=1,"115BAA company",IF($B$7&gt;=24,"LTCG 112","STCG @ slab")))</f>
        <v/>
      </c>
      <c r="N158" s="182">
        <f>IF($B$156=1,0,IF(C158=1,$B$10,IF($B$7&gt;=24,$B$19*(1+MIN(VLOOKUP(L158,$A$42:$B$45,2,TRUE),$B$22))*(1+$B$21),$B$20*(1+VLOOKUP(L158,$A$42:$B$45,2,TRUE))*(1+$B$21))))</f>
        <v/>
      </c>
      <c r="O158" s="179">
        <f>L158*N158</f>
        <v/>
      </c>
      <c r="P158" s="179">
        <f>(1-$B$28)*K158</f>
        <v/>
      </c>
      <c r="Q158" s="174">
        <f>B158+I158-J158-O158-P158</f>
        <v/>
      </c>
      <c r="R158" s="202">
        <f>Q158*10000000/$B$9</f>
        <v/>
      </c>
      <c r="S158" s="181">
        <f>IF(AND(C158=0,E158="SGX/ICE FFA blocks"),"⚠ FFA derivatives need a corporate/IFSC wrapper — not via personal LRS","")</f>
        <v/>
      </c>
    </row>
    <row r="159" hidden="1" outlineLevel="1">
      <c r="A159" s="178" t="n">
        <v>2</v>
      </c>
      <c r="B159" s="179">
        <f>Q158</f>
        <v/>
      </c>
      <c r="C159" s="204">
        <f>IF($B$156=2,1,IF($B$156=4,0,IF(B159&gt;=$B$8,1,0)))</f>
        <v/>
      </c>
      <c r="D159" s="181">
        <f>IF(C159=1,IF($B$156=2,"Company (115BAA)","GIFT FIF (IFSC) Corp"),IF($B$156=1,"Individual / NRI (0%)","Individual LRS"))</f>
        <v/>
      </c>
      <c r="E159" s="181">
        <f>IF(B159&gt;$B$35,"SGX/ICE FFA blocks","BDRY (45-day iceberg)")</f>
        <v/>
      </c>
      <c r="F159" s="179">
        <f>IF(B159&gt;$B$35,$B$36,$B$35)</f>
        <v/>
      </c>
      <c r="G159" s="179">
        <f>MIN(B159,F159)</f>
        <v/>
      </c>
      <c r="H159" s="179">
        <f>B159-G159</f>
        <v/>
      </c>
      <c r="I159" s="179">
        <f>G159*$B$6+H159*$B$23*$B$7/12</f>
        <v/>
      </c>
      <c r="J159" s="179">
        <f>IF(C159=1,IF(B159&gt;=$B$8,$B$11,$B$12),0)</f>
        <v/>
      </c>
      <c r="K159" s="179">
        <f>IF(AND($B$24="On",C159=1,$B$156&lt;&gt;1,$B$10&gt;0),MIN($B$38,$B$27*MAX(I159-J159,0)),0)</f>
        <v/>
      </c>
      <c r="L159" s="179">
        <f>MAX(I159-J159-K159,0)</f>
        <v/>
      </c>
      <c r="M159" s="181">
        <f>IF($B$156=1,"0% (exempt)",IF(C159=1,"115BAA company",IF($B$7&gt;=24,"LTCG 112","STCG @ slab")))</f>
        <v/>
      </c>
      <c r="N159" s="182">
        <f>IF($B$156=1,0,IF(C159=1,$B$10,IF($B$7&gt;=24,$B$19*(1+MIN(VLOOKUP(L159,$A$42:$B$45,2,TRUE),$B$22))*(1+$B$21),$B$20*(1+VLOOKUP(L159,$A$42:$B$45,2,TRUE))*(1+$B$21))))</f>
        <v/>
      </c>
      <c r="O159" s="179">
        <f>L159*N159</f>
        <v/>
      </c>
      <c r="P159" s="179">
        <f>(1-$B$28)*K159</f>
        <v/>
      </c>
      <c r="Q159" s="174">
        <f>B159+I159-J159-O159-P159</f>
        <v/>
      </c>
      <c r="R159" s="202">
        <f>Q159*10000000/$B$9</f>
        <v/>
      </c>
      <c r="S159" s="181">
        <f>IF(AND(C159=0,E159="SGX/ICE FFA blocks"),"⚠ FFA derivatives need a corporate/IFSC wrapper — not via personal LRS","")</f>
        <v/>
      </c>
    </row>
    <row r="160" hidden="1" outlineLevel="1">
      <c r="A160" s="178" t="n">
        <v>3</v>
      </c>
      <c r="B160" s="179">
        <f>Q159</f>
        <v/>
      </c>
      <c r="C160" s="204">
        <f>IF($B$156=2,1,IF($B$156=4,0,IF(B160&gt;=$B$8,1,0)))</f>
        <v/>
      </c>
      <c r="D160" s="181">
        <f>IF(C160=1,IF($B$156=2,"Company (115BAA)","GIFT FIF (IFSC) Corp"),IF($B$156=1,"Individual / NRI (0%)","Individual LRS"))</f>
        <v/>
      </c>
      <c r="E160" s="181">
        <f>IF(B160&gt;$B$35,"SGX/ICE FFA blocks","BDRY (45-day iceberg)")</f>
        <v/>
      </c>
      <c r="F160" s="179">
        <f>IF(B160&gt;$B$35,$B$36,$B$35)</f>
        <v/>
      </c>
      <c r="G160" s="179">
        <f>MIN(B160,F160)</f>
        <v/>
      </c>
      <c r="H160" s="179">
        <f>B160-G160</f>
        <v/>
      </c>
      <c r="I160" s="179">
        <f>G160*$B$6+H160*$B$23*$B$7/12</f>
        <v/>
      </c>
      <c r="J160" s="179">
        <f>IF(C160=1,IF(B160&gt;=$B$8,$B$11,$B$12),0)</f>
        <v/>
      </c>
      <c r="K160" s="179">
        <f>IF(AND($B$24="On",C160=1,$B$156&lt;&gt;1,$B$10&gt;0),MIN($B$38,$B$27*MAX(I160-J160,0)),0)</f>
        <v/>
      </c>
      <c r="L160" s="179">
        <f>MAX(I160-J160-K160,0)</f>
        <v/>
      </c>
      <c r="M160" s="181">
        <f>IF($B$156=1,"0% (exempt)",IF(C160=1,"115BAA company",IF($B$7&gt;=24,"LTCG 112","STCG @ slab")))</f>
        <v/>
      </c>
      <c r="N160" s="182">
        <f>IF($B$156=1,0,IF(C160=1,$B$10,IF($B$7&gt;=24,$B$19*(1+MIN(VLOOKUP(L160,$A$42:$B$45,2,TRUE),$B$22))*(1+$B$21),$B$20*(1+VLOOKUP(L160,$A$42:$B$45,2,TRUE))*(1+$B$21))))</f>
        <v/>
      </c>
      <c r="O160" s="179">
        <f>L160*N160</f>
        <v/>
      </c>
      <c r="P160" s="179">
        <f>(1-$B$28)*K160</f>
        <v/>
      </c>
      <c r="Q160" s="174">
        <f>B160+I160-J160-O160-P160</f>
        <v/>
      </c>
      <c r="R160" s="202">
        <f>Q160*10000000/$B$9</f>
        <v/>
      </c>
      <c r="S160" s="181">
        <f>IF(AND(C160=0,E160="SGX/ICE FFA blocks"),"⚠ FFA derivatives need a corporate/IFSC wrapper — not via personal LRS","")</f>
        <v/>
      </c>
    </row>
    <row r="161" hidden="1" outlineLevel="1">
      <c r="A161" s="178" t="n">
        <v>4</v>
      </c>
      <c r="B161" s="179">
        <f>Q160</f>
        <v/>
      </c>
      <c r="C161" s="204">
        <f>IF($B$156=2,1,IF($B$156=4,0,IF(B161&gt;=$B$8,1,0)))</f>
        <v/>
      </c>
      <c r="D161" s="181">
        <f>IF(C161=1,IF($B$156=2,"Company (115BAA)","GIFT FIF (IFSC) Corp"),IF($B$156=1,"Individual / NRI (0%)","Individual LRS"))</f>
        <v/>
      </c>
      <c r="E161" s="181">
        <f>IF(B161&gt;$B$35,"SGX/ICE FFA blocks","BDRY (45-day iceberg)")</f>
        <v/>
      </c>
      <c r="F161" s="179">
        <f>IF(B161&gt;$B$35,$B$36,$B$35)</f>
        <v/>
      </c>
      <c r="G161" s="179">
        <f>MIN(B161,F161)</f>
        <v/>
      </c>
      <c r="H161" s="179">
        <f>B161-G161</f>
        <v/>
      </c>
      <c r="I161" s="179">
        <f>G161*$B$6+H161*$B$23*$B$7/12</f>
        <v/>
      </c>
      <c r="J161" s="179">
        <f>IF(C161=1,IF(B161&gt;=$B$8,$B$11,$B$12),0)</f>
        <v/>
      </c>
      <c r="K161" s="179">
        <f>IF(AND($B$24="On",C161=1,$B$156&lt;&gt;1,$B$10&gt;0),MIN($B$38,$B$27*MAX(I161-J161,0)),0)</f>
        <v/>
      </c>
      <c r="L161" s="179">
        <f>MAX(I161-J161-K161,0)</f>
        <v/>
      </c>
      <c r="M161" s="181">
        <f>IF($B$156=1,"0% (exempt)",IF(C161=1,"115BAA company",IF($B$7&gt;=24,"LTCG 112","STCG @ slab")))</f>
        <v/>
      </c>
      <c r="N161" s="182">
        <f>IF($B$156=1,0,IF(C161=1,$B$10,IF($B$7&gt;=24,$B$19*(1+MIN(VLOOKUP(L161,$A$42:$B$45,2,TRUE),$B$22))*(1+$B$21),$B$20*(1+VLOOKUP(L161,$A$42:$B$45,2,TRUE))*(1+$B$21))))</f>
        <v/>
      </c>
      <c r="O161" s="179">
        <f>L161*N161</f>
        <v/>
      </c>
      <c r="P161" s="179">
        <f>(1-$B$28)*K161</f>
        <v/>
      </c>
      <c r="Q161" s="174">
        <f>B161+I161-J161-O161-P161</f>
        <v/>
      </c>
      <c r="R161" s="202">
        <f>Q161*10000000/$B$9</f>
        <v/>
      </c>
      <c r="S161" s="181">
        <f>IF(AND(C161=0,E161="SGX/ICE FFA blocks"),"⚠ FFA derivatives need a corporate/IFSC wrapper — not via personal LRS","")</f>
        <v/>
      </c>
    </row>
    <row r="162" hidden="1" outlineLevel="1">
      <c r="A162" s="178" t="n">
        <v>5</v>
      </c>
      <c r="B162" s="179">
        <f>Q161</f>
        <v/>
      </c>
      <c r="C162" s="204">
        <f>IF($B$156=2,1,IF($B$156=4,0,IF(B162&gt;=$B$8,1,0)))</f>
        <v/>
      </c>
      <c r="D162" s="181">
        <f>IF(C162=1,IF($B$156=2,"Company (115BAA)","GIFT FIF (IFSC) Corp"),IF($B$156=1,"Individual / NRI (0%)","Individual LRS"))</f>
        <v/>
      </c>
      <c r="E162" s="181">
        <f>IF(B162&gt;$B$35,"SGX/ICE FFA blocks","BDRY (45-day iceberg)")</f>
        <v/>
      </c>
      <c r="F162" s="179">
        <f>IF(B162&gt;$B$35,$B$36,$B$35)</f>
        <v/>
      </c>
      <c r="G162" s="179">
        <f>MIN(B162,F162)</f>
        <v/>
      </c>
      <c r="H162" s="179">
        <f>B162-G162</f>
        <v/>
      </c>
      <c r="I162" s="179">
        <f>G162*$B$6+H162*$B$23*$B$7/12</f>
        <v/>
      </c>
      <c r="J162" s="179">
        <f>IF(C162=1,IF(B162&gt;=$B$8,$B$11,$B$12),0)</f>
        <v/>
      </c>
      <c r="K162" s="179">
        <f>IF(AND($B$24="On",C162=1,$B$156&lt;&gt;1,$B$10&gt;0),MIN($B$38,$B$27*MAX(I162-J162,0)),0)</f>
        <v/>
      </c>
      <c r="L162" s="179">
        <f>MAX(I162-J162-K162,0)</f>
        <v/>
      </c>
      <c r="M162" s="181">
        <f>IF($B$156=1,"0% (exempt)",IF(C162=1,"115BAA company",IF($B$7&gt;=24,"LTCG 112","STCG @ slab")))</f>
        <v/>
      </c>
      <c r="N162" s="182">
        <f>IF($B$156=1,0,IF(C162=1,$B$10,IF($B$7&gt;=24,$B$19*(1+MIN(VLOOKUP(L162,$A$42:$B$45,2,TRUE),$B$22))*(1+$B$21),$B$20*(1+VLOOKUP(L162,$A$42:$B$45,2,TRUE))*(1+$B$21))))</f>
        <v/>
      </c>
      <c r="O162" s="179">
        <f>L162*N162</f>
        <v/>
      </c>
      <c r="P162" s="179">
        <f>(1-$B$28)*K162</f>
        <v/>
      </c>
      <c r="Q162" s="174">
        <f>B162+I162-J162-O162-P162</f>
        <v/>
      </c>
      <c r="R162" s="202">
        <f>Q162*10000000/$B$9</f>
        <v/>
      </c>
      <c r="S162" s="181">
        <f>IF(AND(C162=0,E162="SGX/ICE FFA blocks"),"⚠ FFA derivatives need a corporate/IFSC wrapper — not via personal LRS","")</f>
        <v/>
      </c>
    </row>
    <row r="163" hidden="1" outlineLevel="1">
      <c r="A163" s="178" t="n">
        <v>6</v>
      </c>
      <c r="B163" s="179">
        <f>Q162</f>
        <v/>
      </c>
      <c r="C163" s="204">
        <f>IF($B$156=2,1,IF($B$156=4,0,IF(B163&gt;=$B$8,1,0)))</f>
        <v/>
      </c>
      <c r="D163" s="181">
        <f>IF(C163=1,IF($B$156=2,"Company (115BAA)","GIFT FIF (IFSC) Corp"),IF($B$156=1,"Individual / NRI (0%)","Individual LRS"))</f>
        <v/>
      </c>
      <c r="E163" s="181">
        <f>IF(B163&gt;$B$35,"SGX/ICE FFA blocks","BDRY (45-day iceberg)")</f>
        <v/>
      </c>
      <c r="F163" s="179">
        <f>IF(B163&gt;$B$35,$B$36,$B$35)</f>
        <v/>
      </c>
      <c r="G163" s="179">
        <f>MIN(B163,F163)</f>
        <v/>
      </c>
      <c r="H163" s="179">
        <f>B163-G163</f>
        <v/>
      </c>
      <c r="I163" s="179">
        <f>G163*$B$6+H163*$B$23*$B$7/12</f>
        <v/>
      </c>
      <c r="J163" s="179">
        <f>IF(C163=1,IF(B163&gt;=$B$8,$B$11,$B$12),0)</f>
        <v/>
      </c>
      <c r="K163" s="179">
        <f>IF(AND($B$24="On",C163=1,$B$156&lt;&gt;1,$B$10&gt;0),MIN($B$38,$B$27*MAX(I163-J163,0)),0)</f>
        <v/>
      </c>
      <c r="L163" s="179">
        <f>MAX(I163-J163-K163,0)</f>
        <v/>
      </c>
      <c r="M163" s="181">
        <f>IF($B$156=1,"0% (exempt)",IF(C163=1,"115BAA company",IF($B$7&gt;=24,"LTCG 112","STCG @ slab")))</f>
        <v/>
      </c>
      <c r="N163" s="182">
        <f>IF($B$156=1,0,IF(C163=1,$B$10,IF($B$7&gt;=24,$B$19*(1+MIN(VLOOKUP(L163,$A$42:$B$45,2,TRUE),$B$22))*(1+$B$21),$B$20*(1+VLOOKUP(L163,$A$42:$B$45,2,TRUE))*(1+$B$21))))</f>
        <v/>
      </c>
      <c r="O163" s="179">
        <f>L163*N163</f>
        <v/>
      </c>
      <c r="P163" s="179">
        <f>(1-$B$28)*K163</f>
        <v/>
      </c>
      <c r="Q163" s="174">
        <f>B163+I163-J163-O163-P163</f>
        <v/>
      </c>
      <c r="R163" s="202">
        <f>Q163*10000000/$B$9</f>
        <v/>
      </c>
      <c r="S163" s="181">
        <f>IF(AND(C163=0,E163="SGX/ICE FFA blocks"),"⚠ FFA derivatives need a corporate/IFSC wrapper — not via personal LRS","")</f>
        <v/>
      </c>
    </row>
    <row r="164" hidden="1" outlineLevel="1">
      <c r="A164" s="178" t="n">
        <v>7</v>
      </c>
      <c r="B164" s="179">
        <f>Q163</f>
        <v/>
      </c>
      <c r="C164" s="204">
        <f>IF($B$156=2,1,IF($B$156=4,0,IF(B164&gt;=$B$8,1,0)))</f>
        <v/>
      </c>
      <c r="D164" s="181">
        <f>IF(C164=1,IF($B$156=2,"Company (115BAA)","GIFT FIF (IFSC) Corp"),IF($B$156=1,"Individual / NRI (0%)","Individual LRS"))</f>
        <v/>
      </c>
      <c r="E164" s="181">
        <f>IF(B164&gt;$B$35,"SGX/ICE FFA blocks","BDRY (45-day iceberg)")</f>
        <v/>
      </c>
      <c r="F164" s="179">
        <f>IF(B164&gt;$B$35,$B$36,$B$35)</f>
        <v/>
      </c>
      <c r="G164" s="179">
        <f>MIN(B164,F164)</f>
        <v/>
      </c>
      <c r="H164" s="179">
        <f>B164-G164</f>
        <v/>
      </c>
      <c r="I164" s="179">
        <f>G164*$B$6+H164*$B$23*$B$7/12</f>
        <v/>
      </c>
      <c r="J164" s="179">
        <f>IF(C164=1,IF(B164&gt;=$B$8,$B$11,$B$12),0)</f>
        <v/>
      </c>
      <c r="K164" s="179">
        <f>IF(AND($B$24="On",C164=1,$B$156&lt;&gt;1,$B$10&gt;0),MIN($B$38,$B$27*MAX(I164-J164,0)),0)</f>
        <v/>
      </c>
      <c r="L164" s="179">
        <f>MAX(I164-J164-K164,0)</f>
        <v/>
      </c>
      <c r="M164" s="181">
        <f>IF($B$156=1,"0% (exempt)",IF(C164=1,"115BAA company",IF($B$7&gt;=24,"LTCG 112","STCG @ slab")))</f>
        <v/>
      </c>
      <c r="N164" s="182">
        <f>IF($B$156=1,0,IF(C164=1,$B$10,IF($B$7&gt;=24,$B$19*(1+MIN(VLOOKUP(L164,$A$42:$B$45,2,TRUE),$B$22))*(1+$B$21),$B$20*(1+VLOOKUP(L164,$A$42:$B$45,2,TRUE))*(1+$B$21))))</f>
        <v/>
      </c>
      <c r="O164" s="179">
        <f>L164*N164</f>
        <v/>
      </c>
      <c r="P164" s="179">
        <f>(1-$B$28)*K164</f>
        <v/>
      </c>
      <c r="Q164" s="174">
        <f>B164+I164-J164-O164-P164</f>
        <v/>
      </c>
      <c r="R164" s="202">
        <f>Q164*10000000/$B$9</f>
        <v/>
      </c>
      <c r="S164" s="181">
        <f>IF(AND(C164=0,E164="SGX/ICE FFA blocks"),"⚠ FFA derivatives need a corporate/IFSC wrapper — not via personal LRS","")</f>
        <v/>
      </c>
    </row>
    <row r="165" hidden="1" outlineLevel="1">
      <c r="A165" s="178" t="n">
        <v>8</v>
      </c>
      <c r="B165" s="179">
        <f>Q164</f>
        <v/>
      </c>
      <c r="C165" s="204">
        <f>IF($B$156=2,1,IF($B$156=4,0,IF(B165&gt;=$B$8,1,0)))</f>
        <v/>
      </c>
      <c r="D165" s="181">
        <f>IF(C165=1,IF($B$156=2,"Company (115BAA)","GIFT FIF (IFSC) Corp"),IF($B$156=1,"Individual / NRI (0%)","Individual LRS"))</f>
        <v/>
      </c>
      <c r="E165" s="181">
        <f>IF(B165&gt;$B$35,"SGX/ICE FFA blocks","BDRY (45-day iceberg)")</f>
        <v/>
      </c>
      <c r="F165" s="179">
        <f>IF(B165&gt;$B$35,$B$36,$B$35)</f>
        <v/>
      </c>
      <c r="G165" s="179">
        <f>MIN(B165,F165)</f>
        <v/>
      </c>
      <c r="H165" s="179">
        <f>B165-G165</f>
        <v/>
      </c>
      <c r="I165" s="179">
        <f>G165*$B$6+H165*$B$23*$B$7/12</f>
        <v/>
      </c>
      <c r="J165" s="179">
        <f>IF(C165=1,IF(B165&gt;=$B$8,$B$11,$B$12),0)</f>
        <v/>
      </c>
      <c r="K165" s="179">
        <f>IF(AND($B$24="On",C165=1,$B$156&lt;&gt;1,$B$10&gt;0),MIN($B$38,$B$27*MAX(I165-J165,0)),0)</f>
        <v/>
      </c>
      <c r="L165" s="179">
        <f>MAX(I165-J165-K165,0)</f>
        <v/>
      </c>
      <c r="M165" s="181">
        <f>IF($B$156=1,"0% (exempt)",IF(C165=1,"115BAA company",IF($B$7&gt;=24,"LTCG 112","STCG @ slab")))</f>
        <v/>
      </c>
      <c r="N165" s="182">
        <f>IF($B$156=1,0,IF(C165=1,$B$10,IF($B$7&gt;=24,$B$19*(1+MIN(VLOOKUP(L165,$A$42:$B$45,2,TRUE),$B$22))*(1+$B$21),$B$20*(1+VLOOKUP(L165,$A$42:$B$45,2,TRUE))*(1+$B$21))))</f>
        <v/>
      </c>
      <c r="O165" s="179">
        <f>L165*N165</f>
        <v/>
      </c>
      <c r="P165" s="179">
        <f>(1-$B$28)*K165</f>
        <v/>
      </c>
      <c r="Q165" s="174">
        <f>B165+I165-J165-O165-P165</f>
        <v/>
      </c>
      <c r="R165" s="202">
        <f>Q165*10000000/$B$9</f>
        <v/>
      </c>
      <c r="S165" s="181">
        <f>IF(AND(C165=0,E165="SGX/ICE FFA blocks"),"⚠ FFA derivatives need a corporate/IFSC wrapper — not via personal LRS","")</f>
        <v/>
      </c>
    </row>
    <row r="166" hidden="1" outlineLevel="1">
      <c r="A166" s="178" t="n">
        <v>9</v>
      </c>
      <c r="B166" s="179">
        <f>Q165</f>
        <v/>
      </c>
      <c r="C166" s="204">
        <f>IF($B$156=2,1,IF($B$156=4,0,IF(B166&gt;=$B$8,1,0)))</f>
        <v/>
      </c>
      <c r="D166" s="181">
        <f>IF(C166=1,IF($B$156=2,"Company (115BAA)","GIFT FIF (IFSC) Corp"),IF($B$156=1,"Individual / NRI (0%)","Individual LRS"))</f>
        <v/>
      </c>
      <c r="E166" s="181">
        <f>IF(B166&gt;$B$35,"SGX/ICE FFA blocks","BDRY (45-day iceberg)")</f>
        <v/>
      </c>
      <c r="F166" s="179">
        <f>IF(B166&gt;$B$35,$B$36,$B$35)</f>
        <v/>
      </c>
      <c r="G166" s="179">
        <f>MIN(B166,F166)</f>
        <v/>
      </c>
      <c r="H166" s="179">
        <f>B166-G166</f>
        <v/>
      </c>
      <c r="I166" s="179">
        <f>G166*$B$6+H166*$B$23*$B$7/12</f>
        <v/>
      </c>
      <c r="J166" s="179">
        <f>IF(C166=1,IF(B166&gt;=$B$8,$B$11,$B$12),0)</f>
        <v/>
      </c>
      <c r="K166" s="179">
        <f>IF(AND($B$24="On",C166=1,$B$156&lt;&gt;1,$B$10&gt;0),MIN($B$38,$B$27*MAX(I166-J166,0)),0)</f>
        <v/>
      </c>
      <c r="L166" s="179">
        <f>MAX(I166-J166-K166,0)</f>
        <v/>
      </c>
      <c r="M166" s="181">
        <f>IF($B$156=1,"0% (exempt)",IF(C166=1,"115BAA company",IF($B$7&gt;=24,"LTCG 112","STCG @ slab")))</f>
        <v/>
      </c>
      <c r="N166" s="182">
        <f>IF($B$156=1,0,IF(C166=1,$B$10,IF($B$7&gt;=24,$B$19*(1+MIN(VLOOKUP(L166,$A$42:$B$45,2,TRUE),$B$22))*(1+$B$21),$B$20*(1+VLOOKUP(L166,$A$42:$B$45,2,TRUE))*(1+$B$21))))</f>
        <v/>
      </c>
      <c r="O166" s="179">
        <f>L166*N166</f>
        <v/>
      </c>
      <c r="P166" s="179">
        <f>(1-$B$28)*K166</f>
        <v/>
      </c>
      <c r="Q166" s="174">
        <f>B166+I166-J166-O166-P166</f>
        <v/>
      </c>
      <c r="R166" s="202">
        <f>Q166*10000000/$B$9</f>
        <v/>
      </c>
      <c r="S166" s="181">
        <f>IF(AND(C166=0,E166="SGX/ICE FFA blocks"),"⚠ FFA derivatives need a corporate/IFSC wrapper — not via personal LRS","")</f>
        <v/>
      </c>
    </row>
    <row r="167" hidden="1" outlineLevel="1">
      <c r="A167" s="178" t="n">
        <v>10</v>
      </c>
      <c r="B167" s="179">
        <f>Q166</f>
        <v/>
      </c>
      <c r="C167" s="204">
        <f>IF($B$156=2,1,IF($B$156=4,0,IF(B167&gt;=$B$8,1,0)))</f>
        <v/>
      </c>
      <c r="D167" s="181">
        <f>IF(C167=1,IF($B$156=2,"Company (115BAA)","GIFT FIF (IFSC) Corp"),IF($B$156=1,"Individual / NRI (0%)","Individual LRS"))</f>
        <v/>
      </c>
      <c r="E167" s="181">
        <f>IF(B167&gt;$B$35,"SGX/ICE FFA blocks","BDRY (45-day iceberg)")</f>
        <v/>
      </c>
      <c r="F167" s="179">
        <f>IF(B167&gt;$B$35,$B$36,$B$35)</f>
        <v/>
      </c>
      <c r="G167" s="179">
        <f>MIN(B167,F167)</f>
        <v/>
      </c>
      <c r="H167" s="179">
        <f>B167-G167</f>
        <v/>
      </c>
      <c r="I167" s="179">
        <f>G167*$B$6+H167*$B$23*$B$7/12</f>
        <v/>
      </c>
      <c r="J167" s="179">
        <f>IF(C167=1,IF(B167&gt;=$B$8,$B$11,$B$12),0)</f>
        <v/>
      </c>
      <c r="K167" s="179">
        <f>IF(AND($B$24="On",C167=1,$B$156&lt;&gt;1,$B$10&gt;0),MIN($B$38,$B$27*MAX(I167-J167,0)),0)</f>
        <v/>
      </c>
      <c r="L167" s="179">
        <f>MAX(I167-J167-K167,0)</f>
        <v/>
      </c>
      <c r="M167" s="181">
        <f>IF($B$156=1,"0% (exempt)",IF(C167=1,"115BAA company",IF($B$7&gt;=24,"LTCG 112","STCG @ slab")))</f>
        <v/>
      </c>
      <c r="N167" s="182">
        <f>IF($B$156=1,0,IF(C167=1,$B$10,IF($B$7&gt;=24,$B$19*(1+MIN(VLOOKUP(L167,$A$42:$B$45,2,TRUE),$B$22))*(1+$B$21),$B$20*(1+VLOOKUP(L167,$A$42:$B$45,2,TRUE))*(1+$B$21))))</f>
        <v/>
      </c>
      <c r="O167" s="179">
        <f>L167*N167</f>
        <v/>
      </c>
      <c r="P167" s="179">
        <f>(1-$B$28)*K167</f>
        <v/>
      </c>
      <c r="Q167" s="174">
        <f>B167+I167-J167-O167-P167</f>
        <v/>
      </c>
      <c r="R167" s="202">
        <f>Q167*10000000/$B$9</f>
        <v/>
      </c>
      <c r="S167" s="181">
        <f>IF(AND(C167=0,E167="SGX/ICE FFA blocks"),"⚠ FFA derivatives need a corporate/IFSC wrapper — not via personal LRS","")</f>
        <v/>
      </c>
    </row>
    <row r="168" hidden="1" outlineLevel="1">
      <c r="A168" s="178" t="n">
        <v>11</v>
      </c>
      <c r="B168" s="179">
        <f>Q167</f>
        <v/>
      </c>
      <c r="C168" s="204">
        <f>IF($B$156=2,1,IF($B$156=4,0,IF(B168&gt;=$B$8,1,0)))</f>
        <v/>
      </c>
      <c r="D168" s="181">
        <f>IF(C168=1,IF($B$156=2,"Company (115BAA)","GIFT FIF (IFSC) Corp"),IF($B$156=1,"Individual / NRI (0%)","Individual LRS"))</f>
        <v/>
      </c>
      <c r="E168" s="181">
        <f>IF(B168&gt;$B$35,"SGX/ICE FFA blocks","BDRY (45-day iceberg)")</f>
        <v/>
      </c>
      <c r="F168" s="179">
        <f>IF(B168&gt;$B$35,$B$36,$B$35)</f>
        <v/>
      </c>
      <c r="G168" s="179">
        <f>MIN(B168,F168)</f>
        <v/>
      </c>
      <c r="H168" s="179">
        <f>B168-G168</f>
        <v/>
      </c>
      <c r="I168" s="179">
        <f>G168*$B$6+H168*$B$23*$B$7/12</f>
        <v/>
      </c>
      <c r="J168" s="179">
        <f>IF(C168=1,IF(B168&gt;=$B$8,$B$11,$B$12),0)</f>
        <v/>
      </c>
      <c r="K168" s="179">
        <f>IF(AND($B$24="On",C168=1,$B$156&lt;&gt;1,$B$10&gt;0),MIN($B$38,$B$27*MAX(I168-J168,0)),0)</f>
        <v/>
      </c>
      <c r="L168" s="179">
        <f>MAX(I168-J168-K168,0)</f>
        <v/>
      </c>
      <c r="M168" s="181">
        <f>IF($B$156=1,"0% (exempt)",IF(C168=1,"115BAA company",IF($B$7&gt;=24,"LTCG 112","STCG @ slab")))</f>
        <v/>
      </c>
      <c r="N168" s="182">
        <f>IF($B$156=1,0,IF(C168=1,$B$10,IF($B$7&gt;=24,$B$19*(1+MIN(VLOOKUP(L168,$A$42:$B$45,2,TRUE),$B$22))*(1+$B$21),$B$20*(1+VLOOKUP(L168,$A$42:$B$45,2,TRUE))*(1+$B$21))))</f>
        <v/>
      </c>
      <c r="O168" s="179">
        <f>L168*N168</f>
        <v/>
      </c>
      <c r="P168" s="179">
        <f>(1-$B$28)*K168</f>
        <v/>
      </c>
      <c r="Q168" s="174">
        <f>B168+I168-J168-O168-P168</f>
        <v/>
      </c>
      <c r="R168" s="202">
        <f>Q168*10000000/$B$9</f>
        <v/>
      </c>
      <c r="S168" s="181">
        <f>IF(AND(C168=0,E168="SGX/ICE FFA blocks"),"⚠ FFA derivatives need a corporate/IFSC wrapper — not via personal LRS","")</f>
        <v/>
      </c>
    </row>
    <row r="169" hidden="1" outlineLevel="1">
      <c r="A169" s="178" t="n">
        <v>12</v>
      </c>
      <c r="B169" s="179">
        <f>Q168</f>
        <v/>
      </c>
      <c r="C169" s="204">
        <f>IF($B$156=2,1,IF($B$156=4,0,IF(B169&gt;=$B$8,1,0)))</f>
        <v/>
      </c>
      <c r="D169" s="181">
        <f>IF(C169=1,IF($B$156=2,"Company (115BAA)","GIFT FIF (IFSC) Corp"),IF($B$156=1,"Individual / NRI (0%)","Individual LRS"))</f>
        <v/>
      </c>
      <c r="E169" s="181">
        <f>IF(B169&gt;$B$35,"SGX/ICE FFA blocks","BDRY (45-day iceberg)")</f>
        <v/>
      </c>
      <c r="F169" s="179">
        <f>IF(B169&gt;$B$35,$B$36,$B$35)</f>
        <v/>
      </c>
      <c r="G169" s="179">
        <f>MIN(B169,F169)</f>
        <v/>
      </c>
      <c r="H169" s="179">
        <f>B169-G169</f>
        <v/>
      </c>
      <c r="I169" s="179">
        <f>G169*$B$6+H169*$B$23*$B$7/12</f>
        <v/>
      </c>
      <c r="J169" s="179">
        <f>IF(C169=1,IF(B169&gt;=$B$8,$B$11,$B$12),0)</f>
        <v/>
      </c>
      <c r="K169" s="179">
        <f>IF(AND($B$24="On",C169=1,$B$156&lt;&gt;1,$B$10&gt;0),MIN($B$38,$B$27*MAX(I169-J169,0)),0)</f>
        <v/>
      </c>
      <c r="L169" s="179">
        <f>MAX(I169-J169-K169,0)</f>
        <v/>
      </c>
      <c r="M169" s="181">
        <f>IF($B$156=1,"0% (exempt)",IF(C169=1,"115BAA company",IF($B$7&gt;=24,"LTCG 112","STCG @ slab")))</f>
        <v/>
      </c>
      <c r="N169" s="182">
        <f>IF($B$156=1,0,IF(C169=1,$B$10,IF($B$7&gt;=24,$B$19*(1+MIN(VLOOKUP(L169,$A$42:$B$45,2,TRUE),$B$22))*(1+$B$21),$B$20*(1+VLOOKUP(L169,$A$42:$B$45,2,TRUE))*(1+$B$21))))</f>
        <v/>
      </c>
      <c r="O169" s="179">
        <f>L169*N169</f>
        <v/>
      </c>
      <c r="P169" s="179">
        <f>(1-$B$28)*K169</f>
        <v/>
      </c>
      <c r="Q169" s="174">
        <f>B169+I169-J169-O169-P169</f>
        <v/>
      </c>
      <c r="R169" s="202">
        <f>Q169*10000000/$B$9</f>
        <v/>
      </c>
      <c r="S169" s="181">
        <f>IF(AND(C169=0,E169="SGX/ICE FFA blocks"),"⚠ FFA derivatives need a corporate/IFSC wrapper — not via personal LRS","")</f>
        <v/>
      </c>
    </row>
    <row r="170" hidden="1" outlineLevel="1">
      <c r="A170" s="178" t="n">
        <v>13</v>
      </c>
      <c r="B170" s="179">
        <f>Q169</f>
        <v/>
      </c>
      <c r="C170" s="204">
        <f>IF($B$156=2,1,IF($B$156=4,0,IF(B170&gt;=$B$8,1,0)))</f>
        <v/>
      </c>
      <c r="D170" s="181">
        <f>IF(C170=1,IF($B$156=2,"Company (115BAA)","GIFT FIF (IFSC) Corp"),IF($B$156=1,"Individual / NRI (0%)","Individual LRS"))</f>
        <v/>
      </c>
      <c r="E170" s="181">
        <f>IF(B170&gt;$B$35,"SGX/ICE FFA blocks","BDRY (45-day iceberg)")</f>
        <v/>
      </c>
      <c r="F170" s="179">
        <f>IF(B170&gt;$B$35,$B$36,$B$35)</f>
        <v/>
      </c>
      <c r="G170" s="179">
        <f>MIN(B170,F170)</f>
        <v/>
      </c>
      <c r="H170" s="179">
        <f>B170-G170</f>
        <v/>
      </c>
      <c r="I170" s="179">
        <f>G170*$B$6+H170*$B$23*$B$7/12</f>
        <v/>
      </c>
      <c r="J170" s="179">
        <f>IF(C170=1,IF(B170&gt;=$B$8,$B$11,$B$12),0)</f>
        <v/>
      </c>
      <c r="K170" s="179">
        <f>IF(AND($B$24="On",C170=1,$B$156&lt;&gt;1,$B$10&gt;0),MIN($B$38,$B$27*MAX(I170-J170,0)),0)</f>
        <v/>
      </c>
      <c r="L170" s="179">
        <f>MAX(I170-J170-K170,0)</f>
        <v/>
      </c>
      <c r="M170" s="181">
        <f>IF($B$156=1,"0% (exempt)",IF(C170=1,"115BAA company",IF($B$7&gt;=24,"LTCG 112","STCG @ slab")))</f>
        <v/>
      </c>
      <c r="N170" s="182">
        <f>IF($B$156=1,0,IF(C170=1,$B$10,IF($B$7&gt;=24,$B$19*(1+MIN(VLOOKUP(L170,$A$42:$B$45,2,TRUE),$B$22))*(1+$B$21),$B$20*(1+VLOOKUP(L170,$A$42:$B$45,2,TRUE))*(1+$B$21))))</f>
        <v/>
      </c>
      <c r="O170" s="179">
        <f>L170*N170</f>
        <v/>
      </c>
      <c r="P170" s="179">
        <f>(1-$B$28)*K170</f>
        <v/>
      </c>
      <c r="Q170" s="174">
        <f>B170+I170-J170-O170-P170</f>
        <v/>
      </c>
      <c r="R170" s="202">
        <f>Q170*10000000/$B$9</f>
        <v/>
      </c>
      <c r="S170" s="181">
        <f>IF(AND(C170=0,E170="SGX/ICE FFA blocks"),"⚠ FFA derivatives need a corporate/IFSC wrapper — not via personal LRS","")</f>
        <v/>
      </c>
    </row>
    <row r="171" hidden="1" outlineLevel="1">
      <c r="A171" s="178" t="n">
        <v>14</v>
      </c>
      <c r="B171" s="179">
        <f>Q170</f>
        <v/>
      </c>
      <c r="C171" s="204">
        <f>IF($B$156=2,1,IF($B$156=4,0,IF(B171&gt;=$B$8,1,0)))</f>
        <v/>
      </c>
      <c r="D171" s="181">
        <f>IF(C171=1,IF($B$156=2,"Company (115BAA)","GIFT FIF (IFSC) Corp"),IF($B$156=1,"Individual / NRI (0%)","Individual LRS"))</f>
        <v/>
      </c>
      <c r="E171" s="181">
        <f>IF(B171&gt;$B$35,"SGX/ICE FFA blocks","BDRY (45-day iceberg)")</f>
        <v/>
      </c>
      <c r="F171" s="179">
        <f>IF(B171&gt;$B$35,$B$36,$B$35)</f>
        <v/>
      </c>
      <c r="G171" s="179">
        <f>MIN(B171,F171)</f>
        <v/>
      </c>
      <c r="H171" s="179">
        <f>B171-G171</f>
        <v/>
      </c>
      <c r="I171" s="179">
        <f>G171*$B$6+H171*$B$23*$B$7/12</f>
        <v/>
      </c>
      <c r="J171" s="179">
        <f>IF(C171=1,IF(B171&gt;=$B$8,$B$11,$B$12),0)</f>
        <v/>
      </c>
      <c r="K171" s="179">
        <f>IF(AND($B$24="On",C171=1,$B$156&lt;&gt;1,$B$10&gt;0),MIN($B$38,$B$27*MAX(I171-J171,0)),0)</f>
        <v/>
      </c>
      <c r="L171" s="179">
        <f>MAX(I171-J171-K171,0)</f>
        <v/>
      </c>
      <c r="M171" s="181">
        <f>IF($B$156=1,"0% (exempt)",IF(C171=1,"115BAA company",IF($B$7&gt;=24,"LTCG 112","STCG @ slab")))</f>
        <v/>
      </c>
      <c r="N171" s="182">
        <f>IF($B$156=1,0,IF(C171=1,$B$10,IF($B$7&gt;=24,$B$19*(1+MIN(VLOOKUP(L171,$A$42:$B$45,2,TRUE),$B$22))*(1+$B$21),$B$20*(1+VLOOKUP(L171,$A$42:$B$45,2,TRUE))*(1+$B$21))))</f>
        <v/>
      </c>
      <c r="O171" s="179">
        <f>L171*N171</f>
        <v/>
      </c>
      <c r="P171" s="179">
        <f>(1-$B$28)*K171</f>
        <v/>
      </c>
      <c r="Q171" s="174">
        <f>B171+I171-J171-O171-P171</f>
        <v/>
      </c>
      <c r="R171" s="202">
        <f>Q171*10000000/$B$9</f>
        <v/>
      </c>
      <c r="S171" s="181">
        <f>IF(AND(C171=0,E171="SGX/ICE FFA blocks"),"⚠ FFA derivatives need a corporate/IFSC wrapper — not via personal LRS","")</f>
        <v/>
      </c>
    </row>
    <row r="172" hidden="1" outlineLevel="1">
      <c r="A172" s="178" t="n">
        <v>15</v>
      </c>
      <c r="B172" s="179">
        <f>Q171</f>
        <v/>
      </c>
      <c r="C172" s="204">
        <f>IF($B$156=2,1,IF($B$156=4,0,IF(B172&gt;=$B$8,1,0)))</f>
        <v/>
      </c>
      <c r="D172" s="181">
        <f>IF(C172=1,IF($B$156=2,"Company (115BAA)","GIFT FIF (IFSC) Corp"),IF($B$156=1,"Individual / NRI (0%)","Individual LRS"))</f>
        <v/>
      </c>
      <c r="E172" s="181">
        <f>IF(B172&gt;$B$35,"SGX/ICE FFA blocks","BDRY (45-day iceberg)")</f>
        <v/>
      </c>
      <c r="F172" s="179">
        <f>IF(B172&gt;$B$35,$B$36,$B$35)</f>
        <v/>
      </c>
      <c r="G172" s="179">
        <f>MIN(B172,F172)</f>
        <v/>
      </c>
      <c r="H172" s="179">
        <f>B172-G172</f>
        <v/>
      </c>
      <c r="I172" s="179">
        <f>G172*$B$6+H172*$B$23*$B$7/12</f>
        <v/>
      </c>
      <c r="J172" s="179">
        <f>IF(C172=1,IF(B172&gt;=$B$8,$B$11,$B$12),0)</f>
        <v/>
      </c>
      <c r="K172" s="179">
        <f>IF(AND($B$24="On",C172=1,$B$156&lt;&gt;1,$B$10&gt;0),MIN($B$38,$B$27*MAX(I172-J172,0)),0)</f>
        <v/>
      </c>
      <c r="L172" s="179">
        <f>MAX(I172-J172-K172,0)</f>
        <v/>
      </c>
      <c r="M172" s="181">
        <f>IF($B$156=1,"0% (exempt)",IF(C172=1,"115BAA company",IF($B$7&gt;=24,"LTCG 112","STCG @ slab")))</f>
        <v/>
      </c>
      <c r="N172" s="182">
        <f>IF($B$156=1,0,IF(C172=1,$B$10,IF($B$7&gt;=24,$B$19*(1+MIN(VLOOKUP(L172,$A$42:$B$45,2,TRUE),$B$22))*(1+$B$21),$B$20*(1+VLOOKUP(L172,$A$42:$B$45,2,TRUE))*(1+$B$21))))</f>
        <v/>
      </c>
      <c r="O172" s="179">
        <f>L172*N172</f>
        <v/>
      </c>
      <c r="P172" s="179">
        <f>(1-$B$28)*K172</f>
        <v/>
      </c>
      <c r="Q172" s="174">
        <f>B172+I172-J172-O172-P172</f>
        <v/>
      </c>
      <c r="R172" s="202">
        <f>Q172*10000000/$B$9</f>
        <v/>
      </c>
      <c r="S172" s="181">
        <f>IF(AND(C172=0,E172="SGX/ICE FFA blocks"),"⚠ FFA derivatives need a corporate/IFSC wrapper — not via personal LRS","")</f>
        <v/>
      </c>
    </row>
    <row r="173" hidden="1" outlineLevel="1">
      <c r="A173" s="178" t="n">
        <v>16</v>
      </c>
      <c r="B173" s="179">
        <f>Q172</f>
        <v/>
      </c>
      <c r="C173" s="204">
        <f>IF($B$156=2,1,IF($B$156=4,0,IF(B173&gt;=$B$8,1,0)))</f>
        <v/>
      </c>
      <c r="D173" s="181">
        <f>IF(C173=1,IF($B$156=2,"Company (115BAA)","GIFT FIF (IFSC) Corp"),IF($B$156=1,"Individual / NRI (0%)","Individual LRS"))</f>
        <v/>
      </c>
      <c r="E173" s="181">
        <f>IF(B173&gt;$B$35,"SGX/ICE FFA blocks","BDRY (45-day iceberg)")</f>
        <v/>
      </c>
      <c r="F173" s="179">
        <f>IF(B173&gt;$B$35,$B$36,$B$35)</f>
        <v/>
      </c>
      <c r="G173" s="179">
        <f>MIN(B173,F173)</f>
        <v/>
      </c>
      <c r="H173" s="179">
        <f>B173-G173</f>
        <v/>
      </c>
      <c r="I173" s="179">
        <f>G173*$B$6+H173*$B$23*$B$7/12</f>
        <v/>
      </c>
      <c r="J173" s="179">
        <f>IF(C173=1,IF(B173&gt;=$B$8,$B$11,$B$12),0)</f>
        <v/>
      </c>
      <c r="K173" s="179">
        <f>IF(AND($B$24="On",C173=1,$B$156&lt;&gt;1,$B$10&gt;0),MIN($B$38,$B$27*MAX(I173-J173,0)),0)</f>
        <v/>
      </c>
      <c r="L173" s="179">
        <f>MAX(I173-J173-K173,0)</f>
        <v/>
      </c>
      <c r="M173" s="181">
        <f>IF($B$156=1,"0% (exempt)",IF(C173=1,"115BAA company",IF($B$7&gt;=24,"LTCG 112","STCG @ slab")))</f>
        <v/>
      </c>
      <c r="N173" s="182">
        <f>IF($B$156=1,0,IF(C173=1,$B$10,IF($B$7&gt;=24,$B$19*(1+MIN(VLOOKUP(L173,$A$42:$B$45,2,TRUE),$B$22))*(1+$B$21),$B$20*(1+VLOOKUP(L173,$A$42:$B$45,2,TRUE))*(1+$B$21))))</f>
        <v/>
      </c>
      <c r="O173" s="179">
        <f>L173*N173</f>
        <v/>
      </c>
      <c r="P173" s="179">
        <f>(1-$B$28)*K173</f>
        <v/>
      </c>
      <c r="Q173" s="174">
        <f>B173+I173-J173-O173-P173</f>
        <v/>
      </c>
      <c r="R173" s="202">
        <f>Q173*10000000/$B$9</f>
        <v/>
      </c>
      <c r="S173" s="181">
        <f>IF(AND(C173=0,E173="SGX/ICE FFA blocks"),"⚠ FFA derivatives need a corporate/IFSC wrapper — not via personal LRS","")</f>
        <v/>
      </c>
    </row>
    <row r="174" hidden="1" outlineLevel="1">
      <c r="A174" s="178" t="n">
        <v>17</v>
      </c>
      <c r="B174" s="179">
        <f>Q173</f>
        <v/>
      </c>
      <c r="C174" s="204">
        <f>IF($B$156=2,1,IF($B$156=4,0,IF(B174&gt;=$B$8,1,0)))</f>
        <v/>
      </c>
      <c r="D174" s="181">
        <f>IF(C174=1,IF($B$156=2,"Company (115BAA)","GIFT FIF (IFSC) Corp"),IF($B$156=1,"Individual / NRI (0%)","Individual LRS"))</f>
        <v/>
      </c>
      <c r="E174" s="181">
        <f>IF(B174&gt;$B$35,"SGX/ICE FFA blocks","BDRY (45-day iceberg)")</f>
        <v/>
      </c>
      <c r="F174" s="179">
        <f>IF(B174&gt;$B$35,$B$36,$B$35)</f>
        <v/>
      </c>
      <c r="G174" s="179">
        <f>MIN(B174,F174)</f>
        <v/>
      </c>
      <c r="H174" s="179">
        <f>B174-G174</f>
        <v/>
      </c>
      <c r="I174" s="179">
        <f>G174*$B$6+H174*$B$23*$B$7/12</f>
        <v/>
      </c>
      <c r="J174" s="179">
        <f>IF(C174=1,IF(B174&gt;=$B$8,$B$11,$B$12),0)</f>
        <v/>
      </c>
      <c r="K174" s="179">
        <f>IF(AND($B$24="On",C174=1,$B$156&lt;&gt;1,$B$10&gt;0),MIN($B$38,$B$27*MAX(I174-J174,0)),0)</f>
        <v/>
      </c>
      <c r="L174" s="179">
        <f>MAX(I174-J174-K174,0)</f>
        <v/>
      </c>
      <c r="M174" s="181">
        <f>IF($B$156=1,"0% (exempt)",IF(C174=1,"115BAA company",IF($B$7&gt;=24,"LTCG 112","STCG @ slab")))</f>
        <v/>
      </c>
      <c r="N174" s="182">
        <f>IF($B$156=1,0,IF(C174=1,$B$10,IF($B$7&gt;=24,$B$19*(1+MIN(VLOOKUP(L174,$A$42:$B$45,2,TRUE),$B$22))*(1+$B$21),$B$20*(1+VLOOKUP(L174,$A$42:$B$45,2,TRUE))*(1+$B$21))))</f>
        <v/>
      </c>
      <c r="O174" s="179">
        <f>L174*N174</f>
        <v/>
      </c>
      <c r="P174" s="179">
        <f>(1-$B$28)*K174</f>
        <v/>
      </c>
      <c r="Q174" s="174">
        <f>B174+I174-J174-O174-P174</f>
        <v/>
      </c>
      <c r="R174" s="202">
        <f>Q174*10000000/$B$9</f>
        <v/>
      </c>
      <c r="S174" s="181">
        <f>IF(AND(C174=0,E174="SGX/ICE FFA blocks"),"⚠ FFA derivatives need a corporate/IFSC wrapper — not via personal LRS","")</f>
        <v/>
      </c>
    </row>
    <row r="175" hidden="1" outlineLevel="1">
      <c r="A175" s="178" t="n">
        <v>18</v>
      </c>
      <c r="B175" s="179">
        <f>Q174</f>
        <v/>
      </c>
      <c r="C175" s="204">
        <f>IF($B$156=2,1,IF($B$156=4,0,IF(B175&gt;=$B$8,1,0)))</f>
        <v/>
      </c>
      <c r="D175" s="181">
        <f>IF(C175=1,IF($B$156=2,"Company (115BAA)","GIFT FIF (IFSC) Corp"),IF($B$156=1,"Individual / NRI (0%)","Individual LRS"))</f>
        <v/>
      </c>
      <c r="E175" s="181">
        <f>IF(B175&gt;$B$35,"SGX/ICE FFA blocks","BDRY (45-day iceberg)")</f>
        <v/>
      </c>
      <c r="F175" s="179">
        <f>IF(B175&gt;$B$35,$B$36,$B$35)</f>
        <v/>
      </c>
      <c r="G175" s="179">
        <f>MIN(B175,F175)</f>
        <v/>
      </c>
      <c r="H175" s="179">
        <f>B175-G175</f>
        <v/>
      </c>
      <c r="I175" s="179">
        <f>G175*$B$6+H175*$B$23*$B$7/12</f>
        <v/>
      </c>
      <c r="J175" s="179">
        <f>IF(C175=1,IF(B175&gt;=$B$8,$B$11,$B$12),0)</f>
        <v/>
      </c>
      <c r="K175" s="179">
        <f>IF(AND($B$24="On",C175=1,$B$156&lt;&gt;1,$B$10&gt;0),MIN($B$38,$B$27*MAX(I175-J175,0)),0)</f>
        <v/>
      </c>
      <c r="L175" s="179">
        <f>MAX(I175-J175-K175,0)</f>
        <v/>
      </c>
      <c r="M175" s="181">
        <f>IF($B$156=1,"0% (exempt)",IF(C175=1,"115BAA company",IF($B$7&gt;=24,"LTCG 112","STCG @ slab")))</f>
        <v/>
      </c>
      <c r="N175" s="182">
        <f>IF($B$156=1,0,IF(C175=1,$B$10,IF($B$7&gt;=24,$B$19*(1+MIN(VLOOKUP(L175,$A$42:$B$45,2,TRUE),$B$22))*(1+$B$21),$B$20*(1+VLOOKUP(L175,$A$42:$B$45,2,TRUE))*(1+$B$21))))</f>
        <v/>
      </c>
      <c r="O175" s="179">
        <f>L175*N175</f>
        <v/>
      </c>
      <c r="P175" s="179">
        <f>(1-$B$28)*K175</f>
        <v/>
      </c>
      <c r="Q175" s="174">
        <f>B175+I175-J175-O175-P175</f>
        <v/>
      </c>
      <c r="R175" s="202">
        <f>Q175*10000000/$B$9</f>
        <v/>
      </c>
      <c r="S175" s="181">
        <f>IF(AND(C175=0,E175="SGX/ICE FFA blocks"),"⚠ FFA derivatives need a corporate/IFSC wrapper — not via personal LRS","")</f>
        <v/>
      </c>
    </row>
    <row r="176" hidden="1" outlineLevel="1">
      <c r="A176" s="178" t="n">
        <v>19</v>
      </c>
      <c r="B176" s="179">
        <f>Q175</f>
        <v/>
      </c>
      <c r="C176" s="204">
        <f>IF($B$156=2,1,IF($B$156=4,0,IF(B176&gt;=$B$8,1,0)))</f>
        <v/>
      </c>
      <c r="D176" s="181">
        <f>IF(C176=1,IF($B$156=2,"Company (115BAA)","GIFT FIF (IFSC) Corp"),IF($B$156=1,"Individual / NRI (0%)","Individual LRS"))</f>
        <v/>
      </c>
      <c r="E176" s="181">
        <f>IF(B176&gt;$B$35,"SGX/ICE FFA blocks","BDRY (45-day iceberg)")</f>
        <v/>
      </c>
      <c r="F176" s="179">
        <f>IF(B176&gt;$B$35,$B$36,$B$35)</f>
        <v/>
      </c>
      <c r="G176" s="179">
        <f>MIN(B176,F176)</f>
        <v/>
      </c>
      <c r="H176" s="179">
        <f>B176-G176</f>
        <v/>
      </c>
      <c r="I176" s="179">
        <f>G176*$B$6+H176*$B$23*$B$7/12</f>
        <v/>
      </c>
      <c r="J176" s="179">
        <f>IF(C176=1,IF(B176&gt;=$B$8,$B$11,$B$12),0)</f>
        <v/>
      </c>
      <c r="K176" s="179">
        <f>IF(AND($B$24="On",C176=1,$B$156&lt;&gt;1,$B$10&gt;0),MIN($B$38,$B$27*MAX(I176-J176,0)),0)</f>
        <v/>
      </c>
      <c r="L176" s="179">
        <f>MAX(I176-J176-K176,0)</f>
        <v/>
      </c>
      <c r="M176" s="181">
        <f>IF($B$156=1,"0% (exempt)",IF(C176=1,"115BAA company",IF($B$7&gt;=24,"LTCG 112","STCG @ slab")))</f>
        <v/>
      </c>
      <c r="N176" s="182">
        <f>IF($B$156=1,0,IF(C176=1,$B$10,IF($B$7&gt;=24,$B$19*(1+MIN(VLOOKUP(L176,$A$42:$B$45,2,TRUE),$B$22))*(1+$B$21),$B$20*(1+VLOOKUP(L176,$A$42:$B$45,2,TRUE))*(1+$B$21))))</f>
        <v/>
      </c>
      <c r="O176" s="179">
        <f>L176*N176</f>
        <v/>
      </c>
      <c r="P176" s="179">
        <f>(1-$B$28)*K176</f>
        <v/>
      </c>
      <c r="Q176" s="174">
        <f>B176+I176-J176-O176-P176</f>
        <v/>
      </c>
      <c r="R176" s="202">
        <f>Q176*10000000/$B$9</f>
        <v/>
      </c>
      <c r="S176" s="181">
        <f>IF(AND(C176=0,E176="SGX/ICE FFA blocks"),"⚠ FFA derivatives need a corporate/IFSC wrapper — not via personal LRS","")</f>
        <v/>
      </c>
    </row>
    <row r="177" hidden="1" outlineLevel="1">
      <c r="A177" s="178" t="n">
        <v>20</v>
      </c>
      <c r="B177" s="179">
        <f>Q176</f>
        <v/>
      </c>
      <c r="C177" s="204">
        <f>IF($B$156=2,1,IF($B$156=4,0,IF(B177&gt;=$B$8,1,0)))</f>
        <v/>
      </c>
      <c r="D177" s="181">
        <f>IF(C177=1,IF($B$156=2,"Company (115BAA)","GIFT FIF (IFSC) Corp"),IF($B$156=1,"Individual / NRI (0%)","Individual LRS"))</f>
        <v/>
      </c>
      <c r="E177" s="181">
        <f>IF(B177&gt;$B$35,"SGX/ICE FFA blocks","BDRY (45-day iceberg)")</f>
        <v/>
      </c>
      <c r="F177" s="179">
        <f>IF(B177&gt;$B$35,$B$36,$B$35)</f>
        <v/>
      </c>
      <c r="G177" s="179">
        <f>MIN(B177,F177)</f>
        <v/>
      </c>
      <c r="H177" s="179">
        <f>B177-G177</f>
        <v/>
      </c>
      <c r="I177" s="179">
        <f>G177*$B$6+H177*$B$23*$B$7/12</f>
        <v/>
      </c>
      <c r="J177" s="179">
        <f>IF(C177=1,IF(B177&gt;=$B$8,$B$11,$B$12),0)</f>
        <v/>
      </c>
      <c r="K177" s="179">
        <f>IF(AND($B$24="On",C177=1,$B$156&lt;&gt;1,$B$10&gt;0),MIN($B$38,$B$27*MAX(I177-J177,0)),0)</f>
        <v/>
      </c>
      <c r="L177" s="179">
        <f>MAX(I177-J177-K177,0)</f>
        <v/>
      </c>
      <c r="M177" s="181">
        <f>IF($B$156=1,"0% (exempt)",IF(C177=1,"115BAA company",IF($B$7&gt;=24,"LTCG 112","STCG @ slab")))</f>
        <v/>
      </c>
      <c r="N177" s="182">
        <f>IF($B$156=1,0,IF(C177=1,$B$10,IF($B$7&gt;=24,$B$19*(1+MIN(VLOOKUP(L177,$A$42:$B$45,2,TRUE),$B$22))*(1+$B$21),$B$20*(1+VLOOKUP(L177,$A$42:$B$45,2,TRUE))*(1+$B$21))))</f>
        <v/>
      </c>
      <c r="O177" s="179">
        <f>L177*N177</f>
        <v/>
      </c>
      <c r="P177" s="179">
        <f>(1-$B$28)*K177</f>
        <v/>
      </c>
      <c r="Q177" s="174">
        <f>B177+I177-J177-O177-P177</f>
        <v/>
      </c>
      <c r="R177" s="202">
        <f>Q177*10000000/$B$9</f>
        <v/>
      </c>
      <c r="S177" s="181">
        <f>IF(AND(C177=0,E177="SGX/ICE FFA blocks"),"⚠ FFA derivatives need a corporate/IFSC wrapper — not via personal LRS","")</f>
        <v/>
      </c>
    </row>
    <row r="178" hidden="1" outlineLevel="1"/>
    <row r="179" hidden="1" outlineLevel="1"/>
    <row r="180" hidden="1" outlineLevel="1" ht="20" customHeight="1">
      <c r="A180" s="154" t="inlineStr">
        <is>
          <t>CASE 3 · PERSONAL SLABS → COMPANY AT THRESHOLD   —   31.2–39% personal STCG until the threshold, then GIFT/IFSC company</t>
        </is>
      </c>
      <c r="B180" s="155" t="n"/>
      <c r="C180" s="155" t="n"/>
      <c r="D180" s="155" t="n"/>
      <c r="E180" s="155" t="n"/>
      <c r="F180" s="155" t="n"/>
      <c r="G180" s="155" t="n"/>
      <c r="H180" s="155" t="n"/>
      <c r="I180" s="155" t="n"/>
      <c r="J180" s="155" t="n"/>
      <c r="K180" s="155" t="n"/>
      <c r="L180" s="155" t="n"/>
      <c r="M180" s="155" t="n"/>
      <c r="N180" s="155" t="n"/>
      <c r="O180" s="155" t="n"/>
      <c r="P180" s="155" t="n"/>
      <c r="Q180" s="155" t="n"/>
      <c r="R180" s="155" t="n"/>
      <c r="S180" s="155" t="n"/>
    </row>
    <row r="181" hidden="1" outlineLevel="1">
      <c r="A181" s="164" t="inlineStr">
        <is>
          <t>Tax mode</t>
        </is>
      </c>
      <c r="B181" s="178" t="n">
        <v>3</v>
      </c>
    </row>
    <row r="182" hidden="1" outlineLevel="1" ht="34" customHeight="1">
      <c r="A182" s="156" t="inlineStr">
        <is>
          <t>Cycle</t>
        </is>
      </c>
      <c r="B182" s="156" t="inlineStr">
        <is>
          <t>Start ₹ Cr</t>
        </is>
      </c>
      <c r="C182" s="156" t="inlineStr">
        <is>
          <t>Company? (1/0)</t>
        </is>
      </c>
      <c r="D182" s="156" t="inlineStr">
        <is>
          <t>Wrapper (FEMA gate)</t>
        </is>
      </c>
      <c r="E182" s="156" t="inlineStr">
        <is>
          <t>Instrument</t>
        </is>
      </c>
      <c r="F182" s="156" t="inlineStr">
        <is>
          <t>Capacity ₹ Cr</t>
        </is>
      </c>
      <c r="G182" s="156" t="inlineStr">
        <is>
          <t>Deployed ₹ Cr</t>
        </is>
      </c>
      <c r="H182" s="156" t="inlineStr">
        <is>
          <t>Idle ₹ Cr</t>
        </is>
      </c>
      <c r="I182" s="156" t="inlineStr">
        <is>
          <t>Gross gain ₹ Cr</t>
        </is>
      </c>
      <c r="J182" s="156" t="inlineStr">
        <is>
          <t>Running cost ₹ Cr</t>
        </is>
      </c>
      <c r="K182" s="156" t="inlineStr">
        <is>
          <t>Family salary ₹ Cr</t>
        </is>
      </c>
      <c r="L182" s="156" t="inlineStr">
        <is>
          <t>Taxable ₹ Cr</t>
        </is>
      </c>
      <c r="M182" s="156" t="inlineStr">
        <is>
          <t>Tax basis</t>
        </is>
      </c>
      <c r="N182" s="156" t="inlineStr">
        <is>
          <t>Eff. tax rate</t>
        </is>
      </c>
      <c r="O182" s="156" t="inlineStr">
        <is>
          <t>Tax ₹ Cr</t>
        </is>
      </c>
      <c r="P182" s="156" t="inlineStr">
        <is>
          <t>Net payroll leakage ₹ Cr</t>
        </is>
      </c>
      <c r="Q182" s="156" t="inlineStr">
        <is>
          <t>End ₹ Cr</t>
        </is>
      </c>
      <c r="R182" s="156" t="inlineStr">
        <is>
          <t>End USD</t>
        </is>
      </c>
      <c r="S182" s="156" t="inlineStr">
        <is>
          <t>Compliance flag</t>
        </is>
      </c>
    </row>
    <row r="183" hidden="1" outlineLevel="1">
      <c r="A183" s="178" t="n">
        <v>1</v>
      </c>
      <c r="B183" s="179">
        <f>$B$5</f>
        <v/>
      </c>
      <c r="C183" s="204">
        <f>IF($B$181=2,1,IF($B$181=4,0,IF(B183&gt;=$B$8,1,0)))</f>
        <v/>
      </c>
      <c r="D183" s="181">
        <f>IF(C183=1,IF($B$181=2,"Company (115BAA)","GIFT FIF (IFSC) Corp"),IF($B$181=1,"Individual / NRI (0%)","Individual LRS"))</f>
        <v/>
      </c>
      <c r="E183" s="181">
        <f>IF(B183&gt;$B$35,"SGX/ICE FFA blocks","BDRY (45-day iceberg)")</f>
        <v/>
      </c>
      <c r="F183" s="179">
        <f>IF(B183&gt;$B$35,$B$36,$B$35)</f>
        <v/>
      </c>
      <c r="G183" s="179">
        <f>MIN(B183,F183)</f>
        <v/>
      </c>
      <c r="H183" s="179">
        <f>B183-G183</f>
        <v/>
      </c>
      <c r="I183" s="179">
        <f>G183*$B$6+H183*$B$23*$B$7/12</f>
        <v/>
      </c>
      <c r="J183" s="179">
        <f>IF(C183=1,IF(B183&gt;=$B$8,$B$11,$B$12),0)</f>
        <v/>
      </c>
      <c r="K183" s="179">
        <f>IF(AND($B$24="On",C183=1,$B$181&lt;&gt;1,$B$10&gt;0),MIN($B$38,$B$27*MAX(I183-J183,0)),0)</f>
        <v/>
      </c>
      <c r="L183" s="179">
        <f>MAX(I183-J183-K183,0)</f>
        <v/>
      </c>
      <c r="M183" s="181">
        <f>IF($B$181=1,"0% (exempt)",IF(C183=1,"115BAA company",IF($B$7&gt;=24,"LTCG 112","STCG @ slab")))</f>
        <v/>
      </c>
      <c r="N183" s="182">
        <f>IF($B$181=1,0,IF(C183=1,$B$10,IF($B$7&gt;=24,$B$19*(1+MIN(VLOOKUP(L183,$A$42:$B$45,2,TRUE),$B$22))*(1+$B$21),$B$20*(1+VLOOKUP(L183,$A$42:$B$45,2,TRUE))*(1+$B$21))))</f>
        <v/>
      </c>
      <c r="O183" s="179">
        <f>L183*N183</f>
        <v/>
      </c>
      <c r="P183" s="179">
        <f>(1-$B$28)*K183</f>
        <v/>
      </c>
      <c r="Q183" s="174">
        <f>B183+I183-J183-O183-P183</f>
        <v/>
      </c>
      <c r="R183" s="202">
        <f>Q183*10000000/$B$9</f>
        <v/>
      </c>
      <c r="S183" s="181">
        <f>IF(AND(C183=0,E183="SGX/ICE FFA blocks"),"⚠ FFA derivatives need a corporate/IFSC wrapper — not via personal LRS","")</f>
        <v/>
      </c>
    </row>
    <row r="184" hidden="1" outlineLevel="1">
      <c r="A184" s="178" t="n">
        <v>2</v>
      </c>
      <c r="B184" s="179">
        <f>Q183</f>
        <v/>
      </c>
      <c r="C184" s="204">
        <f>IF($B$181=2,1,IF($B$181=4,0,IF(B184&gt;=$B$8,1,0)))</f>
        <v/>
      </c>
      <c r="D184" s="181">
        <f>IF(C184=1,IF($B$181=2,"Company (115BAA)","GIFT FIF (IFSC) Corp"),IF($B$181=1,"Individual / NRI (0%)","Individual LRS"))</f>
        <v/>
      </c>
      <c r="E184" s="181">
        <f>IF(B184&gt;$B$35,"SGX/ICE FFA blocks","BDRY (45-day iceberg)")</f>
        <v/>
      </c>
      <c r="F184" s="179">
        <f>IF(B184&gt;$B$35,$B$36,$B$35)</f>
        <v/>
      </c>
      <c r="G184" s="179">
        <f>MIN(B184,F184)</f>
        <v/>
      </c>
      <c r="H184" s="179">
        <f>B184-G184</f>
        <v/>
      </c>
      <c r="I184" s="179">
        <f>G184*$B$6+H184*$B$23*$B$7/12</f>
        <v/>
      </c>
      <c r="J184" s="179">
        <f>IF(C184=1,IF(B184&gt;=$B$8,$B$11,$B$12),0)</f>
        <v/>
      </c>
      <c r="K184" s="179">
        <f>IF(AND($B$24="On",C184=1,$B$181&lt;&gt;1,$B$10&gt;0),MIN($B$38,$B$27*MAX(I184-J184,0)),0)</f>
        <v/>
      </c>
      <c r="L184" s="179">
        <f>MAX(I184-J184-K184,0)</f>
        <v/>
      </c>
      <c r="M184" s="181">
        <f>IF($B$181=1,"0% (exempt)",IF(C184=1,"115BAA company",IF($B$7&gt;=24,"LTCG 112","STCG @ slab")))</f>
        <v/>
      </c>
      <c r="N184" s="182">
        <f>IF($B$181=1,0,IF(C184=1,$B$10,IF($B$7&gt;=24,$B$19*(1+MIN(VLOOKUP(L184,$A$42:$B$45,2,TRUE),$B$22))*(1+$B$21),$B$20*(1+VLOOKUP(L184,$A$42:$B$45,2,TRUE))*(1+$B$21))))</f>
        <v/>
      </c>
      <c r="O184" s="179">
        <f>L184*N184</f>
        <v/>
      </c>
      <c r="P184" s="179">
        <f>(1-$B$28)*K184</f>
        <v/>
      </c>
      <c r="Q184" s="174">
        <f>B184+I184-J184-O184-P184</f>
        <v/>
      </c>
      <c r="R184" s="202">
        <f>Q184*10000000/$B$9</f>
        <v/>
      </c>
      <c r="S184" s="181">
        <f>IF(AND(C184=0,E184="SGX/ICE FFA blocks"),"⚠ FFA derivatives need a corporate/IFSC wrapper — not via personal LRS","")</f>
        <v/>
      </c>
    </row>
    <row r="185" hidden="1" outlineLevel="1">
      <c r="A185" s="178" t="n">
        <v>3</v>
      </c>
      <c r="B185" s="179">
        <f>Q184</f>
        <v/>
      </c>
      <c r="C185" s="204">
        <f>IF($B$181=2,1,IF($B$181=4,0,IF(B185&gt;=$B$8,1,0)))</f>
        <v/>
      </c>
      <c r="D185" s="181">
        <f>IF(C185=1,IF($B$181=2,"Company (115BAA)","GIFT FIF (IFSC) Corp"),IF($B$181=1,"Individual / NRI (0%)","Individual LRS"))</f>
        <v/>
      </c>
      <c r="E185" s="181">
        <f>IF(B185&gt;$B$35,"SGX/ICE FFA blocks","BDRY (45-day iceberg)")</f>
        <v/>
      </c>
      <c r="F185" s="179">
        <f>IF(B185&gt;$B$35,$B$36,$B$35)</f>
        <v/>
      </c>
      <c r="G185" s="179">
        <f>MIN(B185,F185)</f>
        <v/>
      </c>
      <c r="H185" s="179">
        <f>B185-G185</f>
        <v/>
      </c>
      <c r="I185" s="179">
        <f>G185*$B$6+H185*$B$23*$B$7/12</f>
        <v/>
      </c>
      <c r="J185" s="179">
        <f>IF(C185=1,IF(B185&gt;=$B$8,$B$11,$B$12),0)</f>
        <v/>
      </c>
      <c r="K185" s="179">
        <f>IF(AND($B$24="On",C185=1,$B$181&lt;&gt;1,$B$10&gt;0),MIN($B$38,$B$27*MAX(I185-J185,0)),0)</f>
        <v/>
      </c>
      <c r="L185" s="179">
        <f>MAX(I185-J185-K185,0)</f>
        <v/>
      </c>
      <c r="M185" s="181">
        <f>IF($B$181=1,"0% (exempt)",IF(C185=1,"115BAA company",IF($B$7&gt;=24,"LTCG 112","STCG @ slab")))</f>
        <v/>
      </c>
      <c r="N185" s="182">
        <f>IF($B$181=1,0,IF(C185=1,$B$10,IF($B$7&gt;=24,$B$19*(1+MIN(VLOOKUP(L185,$A$42:$B$45,2,TRUE),$B$22))*(1+$B$21),$B$20*(1+VLOOKUP(L185,$A$42:$B$45,2,TRUE))*(1+$B$21))))</f>
        <v/>
      </c>
      <c r="O185" s="179">
        <f>L185*N185</f>
        <v/>
      </c>
      <c r="P185" s="179">
        <f>(1-$B$28)*K185</f>
        <v/>
      </c>
      <c r="Q185" s="174">
        <f>B185+I185-J185-O185-P185</f>
        <v/>
      </c>
      <c r="R185" s="202">
        <f>Q185*10000000/$B$9</f>
        <v/>
      </c>
      <c r="S185" s="181">
        <f>IF(AND(C185=0,E185="SGX/ICE FFA blocks"),"⚠ FFA derivatives need a corporate/IFSC wrapper — not via personal LRS","")</f>
        <v/>
      </c>
    </row>
    <row r="186" hidden="1" outlineLevel="1">
      <c r="A186" s="178" t="n">
        <v>4</v>
      </c>
      <c r="B186" s="179">
        <f>Q185</f>
        <v/>
      </c>
      <c r="C186" s="204">
        <f>IF($B$181=2,1,IF($B$181=4,0,IF(B186&gt;=$B$8,1,0)))</f>
        <v/>
      </c>
      <c r="D186" s="181">
        <f>IF(C186=1,IF($B$181=2,"Company (115BAA)","GIFT FIF (IFSC) Corp"),IF($B$181=1,"Individual / NRI (0%)","Individual LRS"))</f>
        <v/>
      </c>
      <c r="E186" s="181">
        <f>IF(B186&gt;$B$35,"SGX/ICE FFA blocks","BDRY (45-day iceberg)")</f>
        <v/>
      </c>
      <c r="F186" s="179">
        <f>IF(B186&gt;$B$35,$B$36,$B$35)</f>
        <v/>
      </c>
      <c r="G186" s="179">
        <f>MIN(B186,F186)</f>
        <v/>
      </c>
      <c r="H186" s="179">
        <f>B186-G186</f>
        <v/>
      </c>
      <c r="I186" s="179">
        <f>G186*$B$6+H186*$B$23*$B$7/12</f>
        <v/>
      </c>
      <c r="J186" s="179">
        <f>IF(C186=1,IF(B186&gt;=$B$8,$B$11,$B$12),0)</f>
        <v/>
      </c>
      <c r="K186" s="179">
        <f>IF(AND($B$24="On",C186=1,$B$181&lt;&gt;1,$B$10&gt;0),MIN($B$38,$B$27*MAX(I186-J186,0)),0)</f>
        <v/>
      </c>
      <c r="L186" s="179">
        <f>MAX(I186-J186-K186,0)</f>
        <v/>
      </c>
      <c r="M186" s="181">
        <f>IF($B$181=1,"0% (exempt)",IF(C186=1,"115BAA company",IF($B$7&gt;=24,"LTCG 112","STCG @ slab")))</f>
        <v/>
      </c>
      <c r="N186" s="182">
        <f>IF($B$181=1,0,IF(C186=1,$B$10,IF($B$7&gt;=24,$B$19*(1+MIN(VLOOKUP(L186,$A$42:$B$45,2,TRUE),$B$22))*(1+$B$21),$B$20*(1+VLOOKUP(L186,$A$42:$B$45,2,TRUE))*(1+$B$21))))</f>
        <v/>
      </c>
      <c r="O186" s="179">
        <f>L186*N186</f>
        <v/>
      </c>
      <c r="P186" s="179">
        <f>(1-$B$28)*K186</f>
        <v/>
      </c>
      <c r="Q186" s="174">
        <f>B186+I186-J186-O186-P186</f>
        <v/>
      </c>
      <c r="R186" s="202">
        <f>Q186*10000000/$B$9</f>
        <v/>
      </c>
      <c r="S186" s="181">
        <f>IF(AND(C186=0,E186="SGX/ICE FFA blocks"),"⚠ FFA derivatives need a corporate/IFSC wrapper — not via personal LRS","")</f>
        <v/>
      </c>
    </row>
    <row r="187" hidden="1" outlineLevel="1">
      <c r="A187" s="178" t="n">
        <v>5</v>
      </c>
      <c r="B187" s="179">
        <f>Q186</f>
        <v/>
      </c>
      <c r="C187" s="204">
        <f>IF($B$181=2,1,IF($B$181=4,0,IF(B187&gt;=$B$8,1,0)))</f>
        <v/>
      </c>
      <c r="D187" s="181">
        <f>IF(C187=1,IF($B$181=2,"Company (115BAA)","GIFT FIF (IFSC) Corp"),IF($B$181=1,"Individual / NRI (0%)","Individual LRS"))</f>
        <v/>
      </c>
      <c r="E187" s="181">
        <f>IF(B187&gt;$B$35,"SGX/ICE FFA blocks","BDRY (45-day iceberg)")</f>
        <v/>
      </c>
      <c r="F187" s="179">
        <f>IF(B187&gt;$B$35,$B$36,$B$35)</f>
        <v/>
      </c>
      <c r="G187" s="179">
        <f>MIN(B187,F187)</f>
        <v/>
      </c>
      <c r="H187" s="179">
        <f>B187-G187</f>
        <v/>
      </c>
      <c r="I187" s="179">
        <f>G187*$B$6+H187*$B$23*$B$7/12</f>
        <v/>
      </c>
      <c r="J187" s="179">
        <f>IF(C187=1,IF(B187&gt;=$B$8,$B$11,$B$12),0)</f>
        <v/>
      </c>
      <c r="K187" s="179">
        <f>IF(AND($B$24="On",C187=1,$B$181&lt;&gt;1,$B$10&gt;0),MIN($B$38,$B$27*MAX(I187-J187,0)),0)</f>
        <v/>
      </c>
      <c r="L187" s="179">
        <f>MAX(I187-J187-K187,0)</f>
        <v/>
      </c>
      <c r="M187" s="181">
        <f>IF($B$181=1,"0% (exempt)",IF(C187=1,"115BAA company",IF($B$7&gt;=24,"LTCG 112","STCG @ slab")))</f>
        <v/>
      </c>
      <c r="N187" s="182">
        <f>IF($B$181=1,0,IF(C187=1,$B$10,IF($B$7&gt;=24,$B$19*(1+MIN(VLOOKUP(L187,$A$42:$B$45,2,TRUE),$B$22))*(1+$B$21),$B$20*(1+VLOOKUP(L187,$A$42:$B$45,2,TRUE))*(1+$B$21))))</f>
        <v/>
      </c>
      <c r="O187" s="179">
        <f>L187*N187</f>
        <v/>
      </c>
      <c r="P187" s="179">
        <f>(1-$B$28)*K187</f>
        <v/>
      </c>
      <c r="Q187" s="174">
        <f>B187+I187-J187-O187-P187</f>
        <v/>
      </c>
      <c r="R187" s="202">
        <f>Q187*10000000/$B$9</f>
        <v/>
      </c>
      <c r="S187" s="181">
        <f>IF(AND(C187=0,E187="SGX/ICE FFA blocks"),"⚠ FFA derivatives need a corporate/IFSC wrapper — not via personal LRS","")</f>
        <v/>
      </c>
    </row>
    <row r="188" hidden="1" outlineLevel="1">
      <c r="A188" s="178" t="n">
        <v>6</v>
      </c>
      <c r="B188" s="179">
        <f>Q187</f>
        <v/>
      </c>
      <c r="C188" s="204">
        <f>IF($B$181=2,1,IF($B$181=4,0,IF(B188&gt;=$B$8,1,0)))</f>
        <v/>
      </c>
      <c r="D188" s="181">
        <f>IF(C188=1,IF($B$181=2,"Company (115BAA)","GIFT FIF (IFSC) Corp"),IF($B$181=1,"Individual / NRI (0%)","Individual LRS"))</f>
        <v/>
      </c>
      <c r="E188" s="181">
        <f>IF(B188&gt;$B$35,"SGX/ICE FFA blocks","BDRY (45-day iceberg)")</f>
        <v/>
      </c>
      <c r="F188" s="179">
        <f>IF(B188&gt;$B$35,$B$36,$B$35)</f>
        <v/>
      </c>
      <c r="G188" s="179">
        <f>MIN(B188,F188)</f>
        <v/>
      </c>
      <c r="H188" s="179">
        <f>B188-G188</f>
        <v/>
      </c>
      <c r="I188" s="179">
        <f>G188*$B$6+H188*$B$23*$B$7/12</f>
        <v/>
      </c>
      <c r="J188" s="179">
        <f>IF(C188=1,IF(B188&gt;=$B$8,$B$11,$B$12),0)</f>
        <v/>
      </c>
      <c r="K188" s="179">
        <f>IF(AND($B$24="On",C188=1,$B$181&lt;&gt;1,$B$10&gt;0),MIN($B$38,$B$27*MAX(I188-J188,0)),0)</f>
        <v/>
      </c>
      <c r="L188" s="179">
        <f>MAX(I188-J188-K188,0)</f>
        <v/>
      </c>
      <c r="M188" s="181">
        <f>IF($B$181=1,"0% (exempt)",IF(C188=1,"115BAA company",IF($B$7&gt;=24,"LTCG 112","STCG @ slab")))</f>
        <v/>
      </c>
      <c r="N188" s="182">
        <f>IF($B$181=1,0,IF(C188=1,$B$10,IF($B$7&gt;=24,$B$19*(1+MIN(VLOOKUP(L188,$A$42:$B$45,2,TRUE),$B$22))*(1+$B$21),$B$20*(1+VLOOKUP(L188,$A$42:$B$45,2,TRUE))*(1+$B$21))))</f>
        <v/>
      </c>
      <c r="O188" s="179">
        <f>L188*N188</f>
        <v/>
      </c>
      <c r="P188" s="179">
        <f>(1-$B$28)*K188</f>
        <v/>
      </c>
      <c r="Q188" s="174">
        <f>B188+I188-J188-O188-P188</f>
        <v/>
      </c>
      <c r="R188" s="202">
        <f>Q188*10000000/$B$9</f>
        <v/>
      </c>
      <c r="S188" s="181">
        <f>IF(AND(C188=0,E188="SGX/ICE FFA blocks"),"⚠ FFA derivatives need a corporate/IFSC wrapper — not via personal LRS","")</f>
        <v/>
      </c>
    </row>
    <row r="189" hidden="1" outlineLevel="1">
      <c r="A189" s="178" t="n">
        <v>7</v>
      </c>
      <c r="B189" s="179">
        <f>Q188</f>
        <v/>
      </c>
      <c r="C189" s="204">
        <f>IF($B$181=2,1,IF($B$181=4,0,IF(B189&gt;=$B$8,1,0)))</f>
        <v/>
      </c>
      <c r="D189" s="181">
        <f>IF(C189=1,IF($B$181=2,"Company (115BAA)","GIFT FIF (IFSC) Corp"),IF($B$181=1,"Individual / NRI (0%)","Individual LRS"))</f>
        <v/>
      </c>
      <c r="E189" s="181">
        <f>IF(B189&gt;$B$35,"SGX/ICE FFA blocks","BDRY (45-day iceberg)")</f>
        <v/>
      </c>
      <c r="F189" s="179">
        <f>IF(B189&gt;$B$35,$B$36,$B$35)</f>
        <v/>
      </c>
      <c r="G189" s="179">
        <f>MIN(B189,F189)</f>
        <v/>
      </c>
      <c r="H189" s="179">
        <f>B189-G189</f>
        <v/>
      </c>
      <c r="I189" s="179">
        <f>G189*$B$6+H189*$B$23*$B$7/12</f>
        <v/>
      </c>
      <c r="J189" s="179">
        <f>IF(C189=1,IF(B189&gt;=$B$8,$B$11,$B$12),0)</f>
        <v/>
      </c>
      <c r="K189" s="179">
        <f>IF(AND($B$24="On",C189=1,$B$181&lt;&gt;1,$B$10&gt;0),MIN($B$38,$B$27*MAX(I189-J189,0)),0)</f>
        <v/>
      </c>
      <c r="L189" s="179">
        <f>MAX(I189-J189-K189,0)</f>
        <v/>
      </c>
      <c r="M189" s="181">
        <f>IF($B$181=1,"0% (exempt)",IF(C189=1,"115BAA company",IF($B$7&gt;=24,"LTCG 112","STCG @ slab")))</f>
        <v/>
      </c>
      <c r="N189" s="182">
        <f>IF($B$181=1,0,IF(C189=1,$B$10,IF($B$7&gt;=24,$B$19*(1+MIN(VLOOKUP(L189,$A$42:$B$45,2,TRUE),$B$22))*(1+$B$21),$B$20*(1+VLOOKUP(L189,$A$42:$B$45,2,TRUE))*(1+$B$21))))</f>
        <v/>
      </c>
      <c r="O189" s="179">
        <f>L189*N189</f>
        <v/>
      </c>
      <c r="P189" s="179">
        <f>(1-$B$28)*K189</f>
        <v/>
      </c>
      <c r="Q189" s="174">
        <f>B189+I189-J189-O189-P189</f>
        <v/>
      </c>
      <c r="R189" s="202">
        <f>Q189*10000000/$B$9</f>
        <v/>
      </c>
      <c r="S189" s="181">
        <f>IF(AND(C189=0,E189="SGX/ICE FFA blocks"),"⚠ FFA derivatives need a corporate/IFSC wrapper — not via personal LRS","")</f>
        <v/>
      </c>
    </row>
    <row r="190" hidden="1" outlineLevel="1">
      <c r="A190" s="178" t="n">
        <v>8</v>
      </c>
      <c r="B190" s="179">
        <f>Q189</f>
        <v/>
      </c>
      <c r="C190" s="204">
        <f>IF($B$181=2,1,IF($B$181=4,0,IF(B190&gt;=$B$8,1,0)))</f>
        <v/>
      </c>
      <c r="D190" s="181">
        <f>IF(C190=1,IF($B$181=2,"Company (115BAA)","GIFT FIF (IFSC) Corp"),IF($B$181=1,"Individual / NRI (0%)","Individual LRS"))</f>
        <v/>
      </c>
      <c r="E190" s="181">
        <f>IF(B190&gt;$B$35,"SGX/ICE FFA blocks","BDRY (45-day iceberg)")</f>
        <v/>
      </c>
      <c r="F190" s="179">
        <f>IF(B190&gt;$B$35,$B$36,$B$35)</f>
        <v/>
      </c>
      <c r="G190" s="179">
        <f>MIN(B190,F190)</f>
        <v/>
      </c>
      <c r="H190" s="179">
        <f>B190-G190</f>
        <v/>
      </c>
      <c r="I190" s="179">
        <f>G190*$B$6+H190*$B$23*$B$7/12</f>
        <v/>
      </c>
      <c r="J190" s="179">
        <f>IF(C190=1,IF(B190&gt;=$B$8,$B$11,$B$12),0)</f>
        <v/>
      </c>
      <c r="K190" s="179">
        <f>IF(AND($B$24="On",C190=1,$B$181&lt;&gt;1,$B$10&gt;0),MIN($B$38,$B$27*MAX(I190-J190,0)),0)</f>
        <v/>
      </c>
      <c r="L190" s="179">
        <f>MAX(I190-J190-K190,0)</f>
        <v/>
      </c>
      <c r="M190" s="181">
        <f>IF($B$181=1,"0% (exempt)",IF(C190=1,"115BAA company",IF($B$7&gt;=24,"LTCG 112","STCG @ slab")))</f>
        <v/>
      </c>
      <c r="N190" s="182">
        <f>IF($B$181=1,0,IF(C190=1,$B$10,IF($B$7&gt;=24,$B$19*(1+MIN(VLOOKUP(L190,$A$42:$B$45,2,TRUE),$B$22))*(1+$B$21),$B$20*(1+VLOOKUP(L190,$A$42:$B$45,2,TRUE))*(1+$B$21))))</f>
        <v/>
      </c>
      <c r="O190" s="179">
        <f>L190*N190</f>
        <v/>
      </c>
      <c r="P190" s="179">
        <f>(1-$B$28)*K190</f>
        <v/>
      </c>
      <c r="Q190" s="174">
        <f>B190+I190-J190-O190-P190</f>
        <v/>
      </c>
      <c r="R190" s="202">
        <f>Q190*10000000/$B$9</f>
        <v/>
      </c>
      <c r="S190" s="181">
        <f>IF(AND(C190=0,E190="SGX/ICE FFA blocks"),"⚠ FFA derivatives need a corporate/IFSC wrapper — not via personal LRS","")</f>
        <v/>
      </c>
    </row>
    <row r="191" hidden="1" outlineLevel="1">
      <c r="A191" s="178" t="n">
        <v>9</v>
      </c>
      <c r="B191" s="179">
        <f>Q190</f>
        <v/>
      </c>
      <c r="C191" s="204">
        <f>IF($B$181=2,1,IF($B$181=4,0,IF(B191&gt;=$B$8,1,0)))</f>
        <v/>
      </c>
      <c r="D191" s="181">
        <f>IF(C191=1,IF($B$181=2,"Company (115BAA)","GIFT FIF (IFSC) Corp"),IF($B$181=1,"Individual / NRI (0%)","Individual LRS"))</f>
        <v/>
      </c>
      <c r="E191" s="181">
        <f>IF(B191&gt;$B$35,"SGX/ICE FFA blocks","BDRY (45-day iceberg)")</f>
        <v/>
      </c>
      <c r="F191" s="179">
        <f>IF(B191&gt;$B$35,$B$36,$B$35)</f>
        <v/>
      </c>
      <c r="G191" s="179">
        <f>MIN(B191,F191)</f>
        <v/>
      </c>
      <c r="H191" s="179">
        <f>B191-G191</f>
        <v/>
      </c>
      <c r="I191" s="179">
        <f>G191*$B$6+H191*$B$23*$B$7/12</f>
        <v/>
      </c>
      <c r="J191" s="179">
        <f>IF(C191=1,IF(B191&gt;=$B$8,$B$11,$B$12),0)</f>
        <v/>
      </c>
      <c r="K191" s="179">
        <f>IF(AND($B$24="On",C191=1,$B$181&lt;&gt;1,$B$10&gt;0),MIN($B$38,$B$27*MAX(I191-J191,0)),0)</f>
        <v/>
      </c>
      <c r="L191" s="179">
        <f>MAX(I191-J191-K191,0)</f>
        <v/>
      </c>
      <c r="M191" s="181">
        <f>IF($B$181=1,"0% (exempt)",IF(C191=1,"115BAA company",IF($B$7&gt;=24,"LTCG 112","STCG @ slab")))</f>
        <v/>
      </c>
      <c r="N191" s="182">
        <f>IF($B$181=1,0,IF(C191=1,$B$10,IF($B$7&gt;=24,$B$19*(1+MIN(VLOOKUP(L191,$A$42:$B$45,2,TRUE),$B$22))*(1+$B$21),$B$20*(1+VLOOKUP(L191,$A$42:$B$45,2,TRUE))*(1+$B$21))))</f>
        <v/>
      </c>
      <c r="O191" s="179">
        <f>L191*N191</f>
        <v/>
      </c>
      <c r="P191" s="179">
        <f>(1-$B$28)*K191</f>
        <v/>
      </c>
      <c r="Q191" s="174">
        <f>B191+I191-J191-O191-P191</f>
        <v/>
      </c>
      <c r="R191" s="202">
        <f>Q191*10000000/$B$9</f>
        <v/>
      </c>
      <c r="S191" s="181">
        <f>IF(AND(C191=0,E191="SGX/ICE FFA blocks"),"⚠ FFA derivatives need a corporate/IFSC wrapper — not via personal LRS","")</f>
        <v/>
      </c>
    </row>
    <row r="192" hidden="1" outlineLevel="1">
      <c r="A192" s="178" t="n">
        <v>10</v>
      </c>
      <c r="B192" s="179">
        <f>Q191</f>
        <v/>
      </c>
      <c r="C192" s="204">
        <f>IF($B$181=2,1,IF($B$181=4,0,IF(B192&gt;=$B$8,1,0)))</f>
        <v/>
      </c>
      <c r="D192" s="181">
        <f>IF(C192=1,IF($B$181=2,"Company (115BAA)","GIFT FIF (IFSC) Corp"),IF($B$181=1,"Individual / NRI (0%)","Individual LRS"))</f>
        <v/>
      </c>
      <c r="E192" s="181">
        <f>IF(B192&gt;$B$35,"SGX/ICE FFA blocks","BDRY (45-day iceberg)")</f>
        <v/>
      </c>
      <c r="F192" s="179">
        <f>IF(B192&gt;$B$35,$B$36,$B$35)</f>
        <v/>
      </c>
      <c r="G192" s="179">
        <f>MIN(B192,F192)</f>
        <v/>
      </c>
      <c r="H192" s="179">
        <f>B192-G192</f>
        <v/>
      </c>
      <c r="I192" s="179">
        <f>G192*$B$6+H192*$B$23*$B$7/12</f>
        <v/>
      </c>
      <c r="J192" s="179">
        <f>IF(C192=1,IF(B192&gt;=$B$8,$B$11,$B$12),0)</f>
        <v/>
      </c>
      <c r="K192" s="179">
        <f>IF(AND($B$24="On",C192=1,$B$181&lt;&gt;1,$B$10&gt;0),MIN($B$38,$B$27*MAX(I192-J192,0)),0)</f>
        <v/>
      </c>
      <c r="L192" s="179">
        <f>MAX(I192-J192-K192,0)</f>
        <v/>
      </c>
      <c r="M192" s="181">
        <f>IF($B$181=1,"0% (exempt)",IF(C192=1,"115BAA company",IF($B$7&gt;=24,"LTCG 112","STCG @ slab")))</f>
        <v/>
      </c>
      <c r="N192" s="182">
        <f>IF($B$181=1,0,IF(C192=1,$B$10,IF($B$7&gt;=24,$B$19*(1+MIN(VLOOKUP(L192,$A$42:$B$45,2,TRUE),$B$22))*(1+$B$21),$B$20*(1+VLOOKUP(L192,$A$42:$B$45,2,TRUE))*(1+$B$21))))</f>
        <v/>
      </c>
      <c r="O192" s="179">
        <f>L192*N192</f>
        <v/>
      </c>
      <c r="P192" s="179">
        <f>(1-$B$28)*K192</f>
        <v/>
      </c>
      <c r="Q192" s="174">
        <f>B192+I192-J192-O192-P192</f>
        <v/>
      </c>
      <c r="R192" s="202">
        <f>Q192*10000000/$B$9</f>
        <v/>
      </c>
      <c r="S192" s="181">
        <f>IF(AND(C192=0,E192="SGX/ICE FFA blocks"),"⚠ FFA derivatives need a corporate/IFSC wrapper — not via personal LRS","")</f>
        <v/>
      </c>
    </row>
    <row r="193" hidden="1" outlineLevel="1">
      <c r="A193" s="178" t="n">
        <v>11</v>
      </c>
      <c r="B193" s="179">
        <f>Q192</f>
        <v/>
      </c>
      <c r="C193" s="204">
        <f>IF($B$181=2,1,IF($B$181=4,0,IF(B193&gt;=$B$8,1,0)))</f>
        <v/>
      </c>
      <c r="D193" s="181">
        <f>IF(C193=1,IF($B$181=2,"Company (115BAA)","GIFT FIF (IFSC) Corp"),IF($B$181=1,"Individual / NRI (0%)","Individual LRS"))</f>
        <v/>
      </c>
      <c r="E193" s="181">
        <f>IF(B193&gt;$B$35,"SGX/ICE FFA blocks","BDRY (45-day iceberg)")</f>
        <v/>
      </c>
      <c r="F193" s="179">
        <f>IF(B193&gt;$B$35,$B$36,$B$35)</f>
        <v/>
      </c>
      <c r="G193" s="179">
        <f>MIN(B193,F193)</f>
        <v/>
      </c>
      <c r="H193" s="179">
        <f>B193-G193</f>
        <v/>
      </c>
      <c r="I193" s="179">
        <f>G193*$B$6+H193*$B$23*$B$7/12</f>
        <v/>
      </c>
      <c r="J193" s="179">
        <f>IF(C193=1,IF(B193&gt;=$B$8,$B$11,$B$12),0)</f>
        <v/>
      </c>
      <c r="K193" s="179">
        <f>IF(AND($B$24="On",C193=1,$B$181&lt;&gt;1,$B$10&gt;0),MIN($B$38,$B$27*MAX(I193-J193,0)),0)</f>
        <v/>
      </c>
      <c r="L193" s="179">
        <f>MAX(I193-J193-K193,0)</f>
        <v/>
      </c>
      <c r="M193" s="181">
        <f>IF($B$181=1,"0% (exempt)",IF(C193=1,"115BAA company",IF($B$7&gt;=24,"LTCG 112","STCG @ slab")))</f>
        <v/>
      </c>
      <c r="N193" s="182">
        <f>IF($B$181=1,0,IF(C193=1,$B$10,IF($B$7&gt;=24,$B$19*(1+MIN(VLOOKUP(L193,$A$42:$B$45,2,TRUE),$B$22))*(1+$B$21),$B$20*(1+VLOOKUP(L193,$A$42:$B$45,2,TRUE))*(1+$B$21))))</f>
        <v/>
      </c>
      <c r="O193" s="179">
        <f>L193*N193</f>
        <v/>
      </c>
      <c r="P193" s="179">
        <f>(1-$B$28)*K193</f>
        <v/>
      </c>
      <c r="Q193" s="174">
        <f>B193+I193-J193-O193-P193</f>
        <v/>
      </c>
      <c r="R193" s="202">
        <f>Q193*10000000/$B$9</f>
        <v/>
      </c>
      <c r="S193" s="181">
        <f>IF(AND(C193=0,E193="SGX/ICE FFA blocks"),"⚠ FFA derivatives need a corporate/IFSC wrapper — not via personal LRS","")</f>
        <v/>
      </c>
    </row>
    <row r="194" hidden="1" outlineLevel="1">
      <c r="A194" s="178" t="n">
        <v>12</v>
      </c>
      <c r="B194" s="179">
        <f>Q193</f>
        <v/>
      </c>
      <c r="C194" s="204">
        <f>IF($B$181=2,1,IF($B$181=4,0,IF(B194&gt;=$B$8,1,0)))</f>
        <v/>
      </c>
      <c r="D194" s="181">
        <f>IF(C194=1,IF($B$181=2,"Company (115BAA)","GIFT FIF (IFSC) Corp"),IF($B$181=1,"Individual / NRI (0%)","Individual LRS"))</f>
        <v/>
      </c>
      <c r="E194" s="181">
        <f>IF(B194&gt;$B$35,"SGX/ICE FFA blocks","BDRY (45-day iceberg)")</f>
        <v/>
      </c>
      <c r="F194" s="179">
        <f>IF(B194&gt;$B$35,$B$36,$B$35)</f>
        <v/>
      </c>
      <c r="G194" s="179">
        <f>MIN(B194,F194)</f>
        <v/>
      </c>
      <c r="H194" s="179">
        <f>B194-G194</f>
        <v/>
      </c>
      <c r="I194" s="179">
        <f>G194*$B$6+H194*$B$23*$B$7/12</f>
        <v/>
      </c>
      <c r="J194" s="179">
        <f>IF(C194=1,IF(B194&gt;=$B$8,$B$11,$B$12),0)</f>
        <v/>
      </c>
      <c r="K194" s="179">
        <f>IF(AND($B$24="On",C194=1,$B$181&lt;&gt;1,$B$10&gt;0),MIN($B$38,$B$27*MAX(I194-J194,0)),0)</f>
        <v/>
      </c>
      <c r="L194" s="179">
        <f>MAX(I194-J194-K194,0)</f>
        <v/>
      </c>
      <c r="M194" s="181">
        <f>IF($B$181=1,"0% (exempt)",IF(C194=1,"115BAA company",IF($B$7&gt;=24,"LTCG 112","STCG @ slab")))</f>
        <v/>
      </c>
      <c r="N194" s="182">
        <f>IF($B$181=1,0,IF(C194=1,$B$10,IF($B$7&gt;=24,$B$19*(1+MIN(VLOOKUP(L194,$A$42:$B$45,2,TRUE),$B$22))*(1+$B$21),$B$20*(1+VLOOKUP(L194,$A$42:$B$45,2,TRUE))*(1+$B$21))))</f>
        <v/>
      </c>
      <c r="O194" s="179">
        <f>L194*N194</f>
        <v/>
      </c>
      <c r="P194" s="179">
        <f>(1-$B$28)*K194</f>
        <v/>
      </c>
      <c r="Q194" s="174">
        <f>B194+I194-J194-O194-P194</f>
        <v/>
      </c>
      <c r="R194" s="202">
        <f>Q194*10000000/$B$9</f>
        <v/>
      </c>
      <c r="S194" s="181">
        <f>IF(AND(C194=0,E194="SGX/ICE FFA blocks"),"⚠ FFA derivatives need a corporate/IFSC wrapper — not via personal LRS","")</f>
        <v/>
      </c>
    </row>
    <row r="195" hidden="1" outlineLevel="1">
      <c r="A195" s="178" t="n">
        <v>13</v>
      </c>
      <c r="B195" s="179">
        <f>Q194</f>
        <v/>
      </c>
      <c r="C195" s="204">
        <f>IF($B$181=2,1,IF($B$181=4,0,IF(B195&gt;=$B$8,1,0)))</f>
        <v/>
      </c>
      <c r="D195" s="181">
        <f>IF(C195=1,IF($B$181=2,"Company (115BAA)","GIFT FIF (IFSC) Corp"),IF($B$181=1,"Individual / NRI (0%)","Individual LRS"))</f>
        <v/>
      </c>
      <c r="E195" s="181">
        <f>IF(B195&gt;$B$35,"SGX/ICE FFA blocks","BDRY (45-day iceberg)")</f>
        <v/>
      </c>
      <c r="F195" s="179">
        <f>IF(B195&gt;$B$35,$B$36,$B$35)</f>
        <v/>
      </c>
      <c r="G195" s="179">
        <f>MIN(B195,F195)</f>
        <v/>
      </c>
      <c r="H195" s="179">
        <f>B195-G195</f>
        <v/>
      </c>
      <c r="I195" s="179">
        <f>G195*$B$6+H195*$B$23*$B$7/12</f>
        <v/>
      </c>
      <c r="J195" s="179">
        <f>IF(C195=1,IF(B195&gt;=$B$8,$B$11,$B$12),0)</f>
        <v/>
      </c>
      <c r="K195" s="179">
        <f>IF(AND($B$24="On",C195=1,$B$181&lt;&gt;1,$B$10&gt;0),MIN($B$38,$B$27*MAX(I195-J195,0)),0)</f>
        <v/>
      </c>
      <c r="L195" s="179">
        <f>MAX(I195-J195-K195,0)</f>
        <v/>
      </c>
      <c r="M195" s="181">
        <f>IF($B$181=1,"0% (exempt)",IF(C195=1,"115BAA company",IF($B$7&gt;=24,"LTCG 112","STCG @ slab")))</f>
        <v/>
      </c>
      <c r="N195" s="182">
        <f>IF($B$181=1,0,IF(C195=1,$B$10,IF($B$7&gt;=24,$B$19*(1+MIN(VLOOKUP(L195,$A$42:$B$45,2,TRUE),$B$22))*(1+$B$21),$B$20*(1+VLOOKUP(L195,$A$42:$B$45,2,TRUE))*(1+$B$21))))</f>
        <v/>
      </c>
      <c r="O195" s="179">
        <f>L195*N195</f>
        <v/>
      </c>
      <c r="P195" s="179">
        <f>(1-$B$28)*K195</f>
        <v/>
      </c>
      <c r="Q195" s="174">
        <f>B195+I195-J195-O195-P195</f>
        <v/>
      </c>
      <c r="R195" s="202">
        <f>Q195*10000000/$B$9</f>
        <v/>
      </c>
      <c r="S195" s="181">
        <f>IF(AND(C195=0,E195="SGX/ICE FFA blocks"),"⚠ FFA derivatives need a corporate/IFSC wrapper — not via personal LRS","")</f>
        <v/>
      </c>
    </row>
    <row r="196" hidden="1" outlineLevel="1">
      <c r="A196" s="178" t="n">
        <v>14</v>
      </c>
      <c r="B196" s="179">
        <f>Q195</f>
        <v/>
      </c>
      <c r="C196" s="204">
        <f>IF($B$181=2,1,IF($B$181=4,0,IF(B196&gt;=$B$8,1,0)))</f>
        <v/>
      </c>
      <c r="D196" s="181">
        <f>IF(C196=1,IF($B$181=2,"Company (115BAA)","GIFT FIF (IFSC) Corp"),IF($B$181=1,"Individual / NRI (0%)","Individual LRS"))</f>
        <v/>
      </c>
      <c r="E196" s="181">
        <f>IF(B196&gt;$B$35,"SGX/ICE FFA blocks","BDRY (45-day iceberg)")</f>
        <v/>
      </c>
      <c r="F196" s="179">
        <f>IF(B196&gt;$B$35,$B$36,$B$35)</f>
        <v/>
      </c>
      <c r="G196" s="179">
        <f>MIN(B196,F196)</f>
        <v/>
      </c>
      <c r="H196" s="179">
        <f>B196-G196</f>
        <v/>
      </c>
      <c r="I196" s="179">
        <f>G196*$B$6+H196*$B$23*$B$7/12</f>
        <v/>
      </c>
      <c r="J196" s="179">
        <f>IF(C196=1,IF(B196&gt;=$B$8,$B$11,$B$12),0)</f>
        <v/>
      </c>
      <c r="K196" s="179">
        <f>IF(AND($B$24="On",C196=1,$B$181&lt;&gt;1,$B$10&gt;0),MIN($B$38,$B$27*MAX(I196-J196,0)),0)</f>
        <v/>
      </c>
      <c r="L196" s="179">
        <f>MAX(I196-J196-K196,0)</f>
        <v/>
      </c>
      <c r="M196" s="181">
        <f>IF($B$181=1,"0% (exempt)",IF(C196=1,"115BAA company",IF($B$7&gt;=24,"LTCG 112","STCG @ slab")))</f>
        <v/>
      </c>
      <c r="N196" s="182">
        <f>IF($B$181=1,0,IF(C196=1,$B$10,IF($B$7&gt;=24,$B$19*(1+MIN(VLOOKUP(L196,$A$42:$B$45,2,TRUE),$B$22))*(1+$B$21),$B$20*(1+VLOOKUP(L196,$A$42:$B$45,2,TRUE))*(1+$B$21))))</f>
        <v/>
      </c>
      <c r="O196" s="179">
        <f>L196*N196</f>
        <v/>
      </c>
      <c r="P196" s="179">
        <f>(1-$B$28)*K196</f>
        <v/>
      </c>
      <c r="Q196" s="174">
        <f>B196+I196-J196-O196-P196</f>
        <v/>
      </c>
      <c r="R196" s="202">
        <f>Q196*10000000/$B$9</f>
        <v/>
      </c>
      <c r="S196" s="181">
        <f>IF(AND(C196=0,E196="SGX/ICE FFA blocks"),"⚠ FFA derivatives need a corporate/IFSC wrapper — not via personal LRS","")</f>
        <v/>
      </c>
    </row>
    <row r="197" hidden="1" outlineLevel="1">
      <c r="A197" s="178" t="n">
        <v>15</v>
      </c>
      <c r="B197" s="179">
        <f>Q196</f>
        <v/>
      </c>
      <c r="C197" s="204">
        <f>IF($B$181=2,1,IF($B$181=4,0,IF(B197&gt;=$B$8,1,0)))</f>
        <v/>
      </c>
      <c r="D197" s="181">
        <f>IF(C197=1,IF($B$181=2,"Company (115BAA)","GIFT FIF (IFSC) Corp"),IF($B$181=1,"Individual / NRI (0%)","Individual LRS"))</f>
        <v/>
      </c>
      <c r="E197" s="181">
        <f>IF(B197&gt;$B$35,"SGX/ICE FFA blocks","BDRY (45-day iceberg)")</f>
        <v/>
      </c>
      <c r="F197" s="179">
        <f>IF(B197&gt;$B$35,$B$36,$B$35)</f>
        <v/>
      </c>
      <c r="G197" s="179">
        <f>MIN(B197,F197)</f>
        <v/>
      </c>
      <c r="H197" s="179">
        <f>B197-G197</f>
        <v/>
      </c>
      <c r="I197" s="179">
        <f>G197*$B$6+H197*$B$23*$B$7/12</f>
        <v/>
      </c>
      <c r="J197" s="179">
        <f>IF(C197=1,IF(B197&gt;=$B$8,$B$11,$B$12),0)</f>
        <v/>
      </c>
      <c r="K197" s="179">
        <f>IF(AND($B$24="On",C197=1,$B$181&lt;&gt;1,$B$10&gt;0),MIN($B$38,$B$27*MAX(I197-J197,0)),0)</f>
        <v/>
      </c>
      <c r="L197" s="179">
        <f>MAX(I197-J197-K197,0)</f>
        <v/>
      </c>
      <c r="M197" s="181">
        <f>IF($B$181=1,"0% (exempt)",IF(C197=1,"115BAA company",IF($B$7&gt;=24,"LTCG 112","STCG @ slab")))</f>
        <v/>
      </c>
      <c r="N197" s="182">
        <f>IF($B$181=1,0,IF(C197=1,$B$10,IF($B$7&gt;=24,$B$19*(1+MIN(VLOOKUP(L197,$A$42:$B$45,2,TRUE),$B$22))*(1+$B$21),$B$20*(1+VLOOKUP(L197,$A$42:$B$45,2,TRUE))*(1+$B$21))))</f>
        <v/>
      </c>
      <c r="O197" s="179">
        <f>L197*N197</f>
        <v/>
      </c>
      <c r="P197" s="179">
        <f>(1-$B$28)*K197</f>
        <v/>
      </c>
      <c r="Q197" s="174">
        <f>B197+I197-J197-O197-P197</f>
        <v/>
      </c>
      <c r="R197" s="202">
        <f>Q197*10000000/$B$9</f>
        <v/>
      </c>
      <c r="S197" s="181">
        <f>IF(AND(C197=0,E197="SGX/ICE FFA blocks"),"⚠ FFA derivatives need a corporate/IFSC wrapper — not via personal LRS","")</f>
        <v/>
      </c>
    </row>
    <row r="198" hidden="1" outlineLevel="1">
      <c r="A198" s="178" t="n">
        <v>16</v>
      </c>
      <c r="B198" s="179">
        <f>Q197</f>
        <v/>
      </c>
      <c r="C198" s="204">
        <f>IF($B$181=2,1,IF($B$181=4,0,IF(B198&gt;=$B$8,1,0)))</f>
        <v/>
      </c>
      <c r="D198" s="181">
        <f>IF(C198=1,IF($B$181=2,"Company (115BAA)","GIFT FIF (IFSC) Corp"),IF($B$181=1,"Individual / NRI (0%)","Individual LRS"))</f>
        <v/>
      </c>
      <c r="E198" s="181">
        <f>IF(B198&gt;$B$35,"SGX/ICE FFA blocks","BDRY (45-day iceberg)")</f>
        <v/>
      </c>
      <c r="F198" s="179">
        <f>IF(B198&gt;$B$35,$B$36,$B$35)</f>
        <v/>
      </c>
      <c r="G198" s="179">
        <f>MIN(B198,F198)</f>
        <v/>
      </c>
      <c r="H198" s="179">
        <f>B198-G198</f>
        <v/>
      </c>
      <c r="I198" s="179">
        <f>G198*$B$6+H198*$B$23*$B$7/12</f>
        <v/>
      </c>
      <c r="J198" s="179">
        <f>IF(C198=1,IF(B198&gt;=$B$8,$B$11,$B$12),0)</f>
        <v/>
      </c>
      <c r="K198" s="179">
        <f>IF(AND($B$24="On",C198=1,$B$181&lt;&gt;1,$B$10&gt;0),MIN($B$38,$B$27*MAX(I198-J198,0)),0)</f>
        <v/>
      </c>
      <c r="L198" s="179">
        <f>MAX(I198-J198-K198,0)</f>
        <v/>
      </c>
      <c r="M198" s="181">
        <f>IF($B$181=1,"0% (exempt)",IF(C198=1,"115BAA company",IF($B$7&gt;=24,"LTCG 112","STCG @ slab")))</f>
        <v/>
      </c>
      <c r="N198" s="182">
        <f>IF($B$181=1,0,IF(C198=1,$B$10,IF($B$7&gt;=24,$B$19*(1+MIN(VLOOKUP(L198,$A$42:$B$45,2,TRUE),$B$22))*(1+$B$21),$B$20*(1+VLOOKUP(L198,$A$42:$B$45,2,TRUE))*(1+$B$21))))</f>
        <v/>
      </c>
      <c r="O198" s="179">
        <f>L198*N198</f>
        <v/>
      </c>
      <c r="P198" s="179">
        <f>(1-$B$28)*K198</f>
        <v/>
      </c>
      <c r="Q198" s="174">
        <f>B198+I198-J198-O198-P198</f>
        <v/>
      </c>
      <c r="R198" s="202">
        <f>Q198*10000000/$B$9</f>
        <v/>
      </c>
      <c r="S198" s="181">
        <f>IF(AND(C198=0,E198="SGX/ICE FFA blocks"),"⚠ FFA derivatives need a corporate/IFSC wrapper — not via personal LRS","")</f>
        <v/>
      </c>
    </row>
    <row r="199" hidden="1" outlineLevel="1">
      <c r="A199" s="178" t="n">
        <v>17</v>
      </c>
      <c r="B199" s="179">
        <f>Q198</f>
        <v/>
      </c>
      <c r="C199" s="204">
        <f>IF($B$181=2,1,IF($B$181=4,0,IF(B199&gt;=$B$8,1,0)))</f>
        <v/>
      </c>
      <c r="D199" s="181">
        <f>IF(C199=1,IF($B$181=2,"Company (115BAA)","GIFT FIF (IFSC) Corp"),IF($B$181=1,"Individual / NRI (0%)","Individual LRS"))</f>
        <v/>
      </c>
      <c r="E199" s="181">
        <f>IF(B199&gt;$B$35,"SGX/ICE FFA blocks","BDRY (45-day iceberg)")</f>
        <v/>
      </c>
      <c r="F199" s="179">
        <f>IF(B199&gt;$B$35,$B$36,$B$35)</f>
        <v/>
      </c>
      <c r="G199" s="179">
        <f>MIN(B199,F199)</f>
        <v/>
      </c>
      <c r="H199" s="179">
        <f>B199-G199</f>
        <v/>
      </c>
      <c r="I199" s="179">
        <f>G199*$B$6+H199*$B$23*$B$7/12</f>
        <v/>
      </c>
      <c r="J199" s="179">
        <f>IF(C199=1,IF(B199&gt;=$B$8,$B$11,$B$12),0)</f>
        <v/>
      </c>
      <c r="K199" s="179">
        <f>IF(AND($B$24="On",C199=1,$B$181&lt;&gt;1,$B$10&gt;0),MIN($B$38,$B$27*MAX(I199-J199,0)),0)</f>
        <v/>
      </c>
      <c r="L199" s="179">
        <f>MAX(I199-J199-K199,0)</f>
        <v/>
      </c>
      <c r="M199" s="181">
        <f>IF($B$181=1,"0% (exempt)",IF(C199=1,"115BAA company",IF($B$7&gt;=24,"LTCG 112","STCG @ slab")))</f>
        <v/>
      </c>
      <c r="N199" s="182">
        <f>IF($B$181=1,0,IF(C199=1,$B$10,IF($B$7&gt;=24,$B$19*(1+MIN(VLOOKUP(L199,$A$42:$B$45,2,TRUE),$B$22))*(1+$B$21),$B$20*(1+VLOOKUP(L199,$A$42:$B$45,2,TRUE))*(1+$B$21))))</f>
        <v/>
      </c>
      <c r="O199" s="179">
        <f>L199*N199</f>
        <v/>
      </c>
      <c r="P199" s="179">
        <f>(1-$B$28)*K199</f>
        <v/>
      </c>
      <c r="Q199" s="174">
        <f>B199+I199-J199-O199-P199</f>
        <v/>
      </c>
      <c r="R199" s="202">
        <f>Q199*10000000/$B$9</f>
        <v/>
      </c>
      <c r="S199" s="181">
        <f>IF(AND(C199=0,E199="SGX/ICE FFA blocks"),"⚠ FFA derivatives need a corporate/IFSC wrapper — not via personal LRS","")</f>
        <v/>
      </c>
    </row>
    <row r="200" hidden="1" outlineLevel="1">
      <c r="A200" s="178" t="n">
        <v>18</v>
      </c>
      <c r="B200" s="179">
        <f>Q199</f>
        <v/>
      </c>
      <c r="C200" s="204">
        <f>IF($B$181=2,1,IF($B$181=4,0,IF(B200&gt;=$B$8,1,0)))</f>
        <v/>
      </c>
      <c r="D200" s="181">
        <f>IF(C200=1,IF($B$181=2,"Company (115BAA)","GIFT FIF (IFSC) Corp"),IF($B$181=1,"Individual / NRI (0%)","Individual LRS"))</f>
        <v/>
      </c>
      <c r="E200" s="181">
        <f>IF(B200&gt;$B$35,"SGX/ICE FFA blocks","BDRY (45-day iceberg)")</f>
        <v/>
      </c>
      <c r="F200" s="179">
        <f>IF(B200&gt;$B$35,$B$36,$B$35)</f>
        <v/>
      </c>
      <c r="G200" s="179">
        <f>MIN(B200,F200)</f>
        <v/>
      </c>
      <c r="H200" s="179">
        <f>B200-G200</f>
        <v/>
      </c>
      <c r="I200" s="179">
        <f>G200*$B$6+H200*$B$23*$B$7/12</f>
        <v/>
      </c>
      <c r="J200" s="179">
        <f>IF(C200=1,IF(B200&gt;=$B$8,$B$11,$B$12),0)</f>
        <v/>
      </c>
      <c r="K200" s="179">
        <f>IF(AND($B$24="On",C200=1,$B$181&lt;&gt;1,$B$10&gt;0),MIN($B$38,$B$27*MAX(I200-J200,0)),0)</f>
        <v/>
      </c>
      <c r="L200" s="179">
        <f>MAX(I200-J200-K200,0)</f>
        <v/>
      </c>
      <c r="M200" s="181">
        <f>IF($B$181=1,"0% (exempt)",IF(C200=1,"115BAA company",IF($B$7&gt;=24,"LTCG 112","STCG @ slab")))</f>
        <v/>
      </c>
      <c r="N200" s="182">
        <f>IF($B$181=1,0,IF(C200=1,$B$10,IF($B$7&gt;=24,$B$19*(1+MIN(VLOOKUP(L200,$A$42:$B$45,2,TRUE),$B$22))*(1+$B$21),$B$20*(1+VLOOKUP(L200,$A$42:$B$45,2,TRUE))*(1+$B$21))))</f>
        <v/>
      </c>
      <c r="O200" s="179">
        <f>L200*N200</f>
        <v/>
      </c>
      <c r="P200" s="179">
        <f>(1-$B$28)*K200</f>
        <v/>
      </c>
      <c r="Q200" s="174">
        <f>B200+I200-J200-O200-P200</f>
        <v/>
      </c>
      <c r="R200" s="202">
        <f>Q200*10000000/$B$9</f>
        <v/>
      </c>
      <c r="S200" s="181">
        <f>IF(AND(C200=0,E200="SGX/ICE FFA blocks"),"⚠ FFA derivatives need a corporate/IFSC wrapper — not via personal LRS","")</f>
        <v/>
      </c>
    </row>
    <row r="201" hidden="1" outlineLevel="1">
      <c r="A201" s="178" t="n">
        <v>19</v>
      </c>
      <c r="B201" s="179">
        <f>Q200</f>
        <v/>
      </c>
      <c r="C201" s="204">
        <f>IF($B$181=2,1,IF($B$181=4,0,IF(B201&gt;=$B$8,1,0)))</f>
        <v/>
      </c>
      <c r="D201" s="181">
        <f>IF(C201=1,IF($B$181=2,"Company (115BAA)","GIFT FIF (IFSC) Corp"),IF($B$181=1,"Individual / NRI (0%)","Individual LRS"))</f>
        <v/>
      </c>
      <c r="E201" s="181">
        <f>IF(B201&gt;$B$35,"SGX/ICE FFA blocks","BDRY (45-day iceberg)")</f>
        <v/>
      </c>
      <c r="F201" s="179">
        <f>IF(B201&gt;$B$35,$B$36,$B$35)</f>
        <v/>
      </c>
      <c r="G201" s="179">
        <f>MIN(B201,F201)</f>
        <v/>
      </c>
      <c r="H201" s="179">
        <f>B201-G201</f>
        <v/>
      </c>
      <c r="I201" s="179">
        <f>G201*$B$6+H201*$B$23*$B$7/12</f>
        <v/>
      </c>
      <c r="J201" s="179">
        <f>IF(C201=1,IF(B201&gt;=$B$8,$B$11,$B$12),0)</f>
        <v/>
      </c>
      <c r="K201" s="179">
        <f>IF(AND($B$24="On",C201=1,$B$181&lt;&gt;1,$B$10&gt;0),MIN($B$38,$B$27*MAX(I201-J201,0)),0)</f>
        <v/>
      </c>
      <c r="L201" s="179">
        <f>MAX(I201-J201-K201,0)</f>
        <v/>
      </c>
      <c r="M201" s="181">
        <f>IF($B$181=1,"0% (exempt)",IF(C201=1,"115BAA company",IF($B$7&gt;=24,"LTCG 112","STCG @ slab")))</f>
        <v/>
      </c>
      <c r="N201" s="182">
        <f>IF($B$181=1,0,IF(C201=1,$B$10,IF($B$7&gt;=24,$B$19*(1+MIN(VLOOKUP(L201,$A$42:$B$45,2,TRUE),$B$22))*(1+$B$21),$B$20*(1+VLOOKUP(L201,$A$42:$B$45,2,TRUE))*(1+$B$21))))</f>
        <v/>
      </c>
      <c r="O201" s="179">
        <f>L201*N201</f>
        <v/>
      </c>
      <c r="P201" s="179">
        <f>(1-$B$28)*K201</f>
        <v/>
      </c>
      <c r="Q201" s="174">
        <f>B201+I201-J201-O201-P201</f>
        <v/>
      </c>
      <c r="R201" s="202">
        <f>Q201*10000000/$B$9</f>
        <v/>
      </c>
      <c r="S201" s="181">
        <f>IF(AND(C201=0,E201="SGX/ICE FFA blocks"),"⚠ FFA derivatives need a corporate/IFSC wrapper — not via personal LRS","")</f>
        <v/>
      </c>
    </row>
    <row r="202" hidden="1" outlineLevel="1">
      <c r="A202" s="178" t="n">
        <v>20</v>
      </c>
      <c r="B202" s="179">
        <f>Q201</f>
        <v/>
      </c>
      <c r="C202" s="204">
        <f>IF($B$181=2,1,IF($B$181=4,0,IF(B202&gt;=$B$8,1,0)))</f>
        <v/>
      </c>
      <c r="D202" s="181">
        <f>IF(C202=1,IF($B$181=2,"Company (115BAA)","GIFT FIF (IFSC) Corp"),IF($B$181=1,"Individual / NRI (0%)","Individual LRS"))</f>
        <v/>
      </c>
      <c r="E202" s="181">
        <f>IF(B202&gt;$B$35,"SGX/ICE FFA blocks","BDRY (45-day iceberg)")</f>
        <v/>
      </c>
      <c r="F202" s="179">
        <f>IF(B202&gt;$B$35,$B$36,$B$35)</f>
        <v/>
      </c>
      <c r="G202" s="179">
        <f>MIN(B202,F202)</f>
        <v/>
      </c>
      <c r="H202" s="179">
        <f>B202-G202</f>
        <v/>
      </c>
      <c r="I202" s="179">
        <f>G202*$B$6+H202*$B$23*$B$7/12</f>
        <v/>
      </c>
      <c r="J202" s="179">
        <f>IF(C202=1,IF(B202&gt;=$B$8,$B$11,$B$12),0)</f>
        <v/>
      </c>
      <c r="K202" s="179">
        <f>IF(AND($B$24="On",C202=1,$B$181&lt;&gt;1,$B$10&gt;0),MIN($B$38,$B$27*MAX(I202-J202,0)),0)</f>
        <v/>
      </c>
      <c r="L202" s="179">
        <f>MAX(I202-J202-K202,0)</f>
        <v/>
      </c>
      <c r="M202" s="181">
        <f>IF($B$181=1,"0% (exempt)",IF(C202=1,"115BAA company",IF($B$7&gt;=24,"LTCG 112","STCG @ slab")))</f>
        <v/>
      </c>
      <c r="N202" s="182">
        <f>IF($B$181=1,0,IF(C202=1,$B$10,IF($B$7&gt;=24,$B$19*(1+MIN(VLOOKUP(L202,$A$42:$B$45,2,TRUE),$B$22))*(1+$B$21),$B$20*(1+VLOOKUP(L202,$A$42:$B$45,2,TRUE))*(1+$B$21))))</f>
        <v/>
      </c>
      <c r="O202" s="179">
        <f>L202*N202</f>
        <v/>
      </c>
      <c r="P202" s="179">
        <f>(1-$B$28)*K202</f>
        <v/>
      </c>
      <c r="Q202" s="174">
        <f>B202+I202-J202-O202-P202</f>
        <v/>
      </c>
      <c r="R202" s="202">
        <f>Q202*10000000/$B$9</f>
        <v/>
      </c>
      <c r="S202" s="181">
        <f>IF(AND(C202=0,E202="SGX/ICE FFA blocks"),"⚠ FFA derivatives need a corporate/IFSC wrapper — not via personal LRS","")</f>
        <v/>
      </c>
    </row>
    <row r="203" hidden="1" outlineLevel="1"/>
    <row r="204" hidden="1" outlineLevel="1"/>
    <row r="205" hidden="1" outlineLevel="1" ht="20" customHeight="1">
      <c r="A205" s="154" t="inlineStr">
        <is>
          <t>CASE 4 · PERSONAL ONLY (NEVER A COMPANY)   —   31.2–39% STCG (or ~14.95% LTCG if cycle ≥24m); no expense deduction</t>
        </is>
      </c>
      <c r="B205" s="155" t="n"/>
      <c r="C205" s="155" t="n"/>
      <c r="D205" s="155" t="n"/>
      <c r="E205" s="155" t="n"/>
      <c r="F205" s="155" t="n"/>
      <c r="G205" s="155" t="n"/>
      <c r="H205" s="155" t="n"/>
      <c r="I205" s="155" t="n"/>
      <c r="J205" s="155" t="n"/>
      <c r="K205" s="155" t="n"/>
      <c r="L205" s="155" t="n"/>
      <c r="M205" s="155" t="n"/>
      <c r="N205" s="155" t="n"/>
      <c r="O205" s="155" t="n"/>
      <c r="P205" s="155" t="n"/>
      <c r="Q205" s="155" t="n"/>
      <c r="R205" s="155" t="n"/>
      <c r="S205" s="155" t="n"/>
    </row>
    <row r="206" hidden="1" outlineLevel="1">
      <c r="A206" s="164" t="inlineStr">
        <is>
          <t>Tax mode</t>
        </is>
      </c>
      <c r="B206" s="178" t="n">
        <v>4</v>
      </c>
    </row>
    <row r="207" hidden="1" outlineLevel="1" ht="34" customHeight="1">
      <c r="A207" s="156" t="inlineStr">
        <is>
          <t>Cycle</t>
        </is>
      </c>
      <c r="B207" s="156" t="inlineStr">
        <is>
          <t>Start ₹ Cr</t>
        </is>
      </c>
      <c r="C207" s="156" t="inlineStr">
        <is>
          <t>Company? (1/0)</t>
        </is>
      </c>
      <c r="D207" s="156" t="inlineStr">
        <is>
          <t>Wrapper (FEMA gate)</t>
        </is>
      </c>
      <c r="E207" s="156" t="inlineStr">
        <is>
          <t>Instrument</t>
        </is>
      </c>
      <c r="F207" s="156" t="inlineStr">
        <is>
          <t>Capacity ₹ Cr</t>
        </is>
      </c>
      <c r="G207" s="156" t="inlineStr">
        <is>
          <t>Deployed ₹ Cr</t>
        </is>
      </c>
      <c r="H207" s="156" t="inlineStr">
        <is>
          <t>Idle ₹ Cr</t>
        </is>
      </c>
      <c r="I207" s="156" t="inlineStr">
        <is>
          <t>Gross gain ₹ Cr</t>
        </is>
      </c>
      <c r="J207" s="156" t="inlineStr">
        <is>
          <t>Running cost ₹ Cr</t>
        </is>
      </c>
      <c r="K207" s="156" t="inlineStr">
        <is>
          <t>Family salary ₹ Cr</t>
        </is>
      </c>
      <c r="L207" s="156" t="inlineStr">
        <is>
          <t>Taxable ₹ Cr</t>
        </is>
      </c>
      <c r="M207" s="156" t="inlineStr">
        <is>
          <t>Tax basis</t>
        </is>
      </c>
      <c r="N207" s="156" t="inlineStr">
        <is>
          <t>Eff. tax rate</t>
        </is>
      </c>
      <c r="O207" s="156" t="inlineStr">
        <is>
          <t>Tax ₹ Cr</t>
        </is>
      </c>
      <c r="P207" s="156" t="inlineStr">
        <is>
          <t>Net payroll leakage ₹ Cr</t>
        </is>
      </c>
      <c r="Q207" s="156" t="inlineStr">
        <is>
          <t>End ₹ Cr</t>
        </is>
      </c>
      <c r="R207" s="156" t="inlineStr">
        <is>
          <t>End USD</t>
        </is>
      </c>
      <c r="S207" s="156" t="inlineStr">
        <is>
          <t>Compliance flag</t>
        </is>
      </c>
    </row>
    <row r="208" hidden="1" outlineLevel="1">
      <c r="A208" s="178" t="n">
        <v>1</v>
      </c>
      <c r="B208" s="179">
        <f>$B$5</f>
        <v/>
      </c>
      <c r="C208" s="204">
        <f>IF($B$206=2,1,IF($B$206=4,0,IF(B208&gt;=$B$8,1,0)))</f>
        <v/>
      </c>
      <c r="D208" s="181">
        <f>IF(C208=1,IF($B$206=2,"Company (115BAA)","GIFT FIF (IFSC) Corp"),IF($B$206=1,"Individual / NRI (0%)","Individual LRS"))</f>
        <v/>
      </c>
      <c r="E208" s="181">
        <f>IF(B208&gt;$B$35,"SGX/ICE FFA blocks","BDRY (45-day iceberg)")</f>
        <v/>
      </c>
      <c r="F208" s="179">
        <f>IF(B208&gt;$B$35,$B$36,$B$35)</f>
        <v/>
      </c>
      <c r="G208" s="179">
        <f>MIN(B208,F208)</f>
        <v/>
      </c>
      <c r="H208" s="179">
        <f>B208-G208</f>
        <v/>
      </c>
      <c r="I208" s="179">
        <f>G208*$B$6+H208*$B$23*$B$7/12</f>
        <v/>
      </c>
      <c r="J208" s="179">
        <f>IF(C208=1,IF(B208&gt;=$B$8,$B$11,$B$12),0)</f>
        <v/>
      </c>
      <c r="K208" s="179">
        <f>IF(AND($B$24="On",C208=1,$B$206&lt;&gt;1,$B$10&gt;0),MIN($B$38,$B$27*MAX(I208-J208,0)),0)</f>
        <v/>
      </c>
      <c r="L208" s="179">
        <f>MAX(I208-J208-K208,0)</f>
        <v/>
      </c>
      <c r="M208" s="181">
        <f>IF($B$206=1,"0% (exempt)",IF(C208=1,"115BAA company",IF($B$7&gt;=24,"LTCG 112","STCG @ slab")))</f>
        <v/>
      </c>
      <c r="N208" s="182">
        <f>IF($B$206=1,0,IF(C208=1,$B$10,IF($B$7&gt;=24,$B$19*(1+MIN(VLOOKUP(L208,$A$42:$B$45,2,TRUE),$B$22))*(1+$B$21),$B$20*(1+VLOOKUP(L208,$A$42:$B$45,2,TRUE))*(1+$B$21))))</f>
        <v/>
      </c>
      <c r="O208" s="179">
        <f>L208*N208</f>
        <v/>
      </c>
      <c r="P208" s="179">
        <f>(1-$B$28)*K208</f>
        <v/>
      </c>
      <c r="Q208" s="174">
        <f>B208+I208-J208-O208-P208</f>
        <v/>
      </c>
      <c r="R208" s="202">
        <f>Q208*10000000/$B$9</f>
        <v/>
      </c>
      <c r="S208" s="181">
        <f>IF(AND(C208=0,E208="SGX/ICE FFA blocks"),"⚠ FFA derivatives need a corporate/IFSC wrapper — not via personal LRS","")</f>
        <v/>
      </c>
    </row>
    <row r="209" hidden="1" outlineLevel="1">
      <c r="A209" s="178" t="n">
        <v>2</v>
      </c>
      <c r="B209" s="179">
        <f>Q208</f>
        <v/>
      </c>
      <c r="C209" s="204">
        <f>IF($B$206=2,1,IF($B$206=4,0,IF(B209&gt;=$B$8,1,0)))</f>
        <v/>
      </c>
      <c r="D209" s="181">
        <f>IF(C209=1,IF($B$206=2,"Company (115BAA)","GIFT FIF (IFSC) Corp"),IF($B$206=1,"Individual / NRI (0%)","Individual LRS"))</f>
        <v/>
      </c>
      <c r="E209" s="181">
        <f>IF(B209&gt;$B$35,"SGX/ICE FFA blocks","BDRY (45-day iceberg)")</f>
        <v/>
      </c>
      <c r="F209" s="179">
        <f>IF(B209&gt;$B$35,$B$36,$B$35)</f>
        <v/>
      </c>
      <c r="G209" s="179">
        <f>MIN(B209,F209)</f>
        <v/>
      </c>
      <c r="H209" s="179">
        <f>B209-G209</f>
        <v/>
      </c>
      <c r="I209" s="179">
        <f>G209*$B$6+H209*$B$23*$B$7/12</f>
        <v/>
      </c>
      <c r="J209" s="179">
        <f>IF(C209=1,IF(B209&gt;=$B$8,$B$11,$B$12),0)</f>
        <v/>
      </c>
      <c r="K209" s="179">
        <f>IF(AND($B$24="On",C209=1,$B$206&lt;&gt;1,$B$10&gt;0),MIN($B$38,$B$27*MAX(I209-J209,0)),0)</f>
        <v/>
      </c>
      <c r="L209" s="179">
        <f>MAX(I209-J209-K209,0)</f>
        <v/>
      </c>
      <c r="M209" s="181">
        <f>IF($B$206=1,"0% (exempt)",IF(C209=1,"115BAA company",IF($B$7&gt;=24,"LTCG 112","STCG @ slab")))</f>
        <v/>
      </c>
      <c r="N209" s="182">
        <f>IF($B$206=1,0,IF(C209=1,$B$10,IF($B$7&gt;=24,$B$19*(1+MIN(VLOOKUP(L209,$A$42:$B$45,2,TRUE),$B$22))*(1+$B$21),$B$20*(1+VLOOKUP(L209,$A$42:$B$45,2,TRUE))*(1+$B$21))))</f>
        <v/>
      </c>
      <c r="O209" s="179">
        <f>L209*N209</f>
        <v/>
      </c>
      <c r="P209" s="179">
        <f>(1-$B$28)*K209</f>
        <v/>
      </c>
      <c r="Q209" s="174">
        <f>B209+I209-J209-O209-P209</f>
        <v/>
      </c>
      <c r="R209" s="202">
        <f>Q209*10000000/$B$9</f>
        <v/>
      </c>
      <c r="S209" s="181">
        <f>IF(AND(C209=0,E209="SGX/ICE FFA blocks"),"⚠ FFA derivatives need a corporate/IFSC wrapper — not via personal LRS","")</f>
        <v/>
      </c>
    </row>
    <row r="210" hidden="1" outlineLevel="1">
      <c r="A210" s="178" t="n">
        <v>3</v>
      </c>
      <c r="B210" s="179">
        <f>Q209</f>
        <v/>
      </c>
      <c r="C210" s="204">
        <f>IF($B$206=2,1,IF($B$206=4,0,IF(B210&gt;=$B$8,1,0)))</f>
        <v/>
      </c>
      <c r="D210" s="181">
        <f>IF(C210=1,IF($B$206=2,"Company (115BAA)","GIFT FIF (IFSC) Corp"),IF($B$206=1,"Individual / NRI (0%)","Individual LRS"))</f>
        <v/>
      </c>
      <c r="E210" s="181">
        <f>IF(B210&gt;$B$35,"SGX/ICE FFA blocks","BDRY (45-day iceberg)")</f>
        <v/>
      </c>
      <c r="F210" s="179">
        <f>IF(B210&gt;$B$35,$B$36,$B$35)</f>
        <v/>
      </c>
      <c r="G210" s="179">
        <f>MIN(B210,F210)</f>
        <v/>
      </c>
      <c r="H210" s="179">
        <f>B210-G210</f>
        <v/>
      </c>
      <c r="I210" s="179">
        <f>G210*$B$6+H210*$B$23*$B$7/12</f>
        <v/>
      </c>
      <c r="J210" s="179">
        <f>IF(C210=1,IF(B210&gt;=$B$8,$B$11,$B$12),0)</f>
        <v/>
      </c>
      <c r="K210" s="179">
        <f>IF(AND($B$24="On",C210=1,$B$206&lt;&gt;1,$B$10&gt;0),MIN($B$38,$B$27*MAX(I210-J210,0)),0)</f>
        <v/>
      </c>
      <c r="L210" s="179">
        <f>MAX(I210-J210-K210,0)</f>
        <v/>
      </c>
      <c r="M210" s="181">
        <f>IF($B$206=1,"0% (exempt)",IF(C210=1,"115BAA company",IF($B$7&gt;=24,"LTCG 112","STCG @ slab")))</f>
        <v/>
      </c>
      <c r="N210" s="182">
        <f>IF($B$206=1,0,IF(C210=1,$B$10,IF($B$7&gt;=24,$B$19*(1+MIN(VLOOKUP(L210,$A$42:$B$45,2,TRUE),$B$22))*(1+$B$21),$B$20*(1+VLOOKUP(L210,$A$42:$B$45,2,TRUE))*(1+$B$21))))</f>
        <v/>
      </c>
      <c r="O210" s="179">
        <f>L210*N210</f>
        <v/>
      </c>
      <c r="P210" s="179">
        <f>(1-$B$28)*K210</f>
        <v/>
      </c>
      <c r="Q210" s="174">
        <f>B210+I210-J210-O210-P210</f>
        <v/>
      </c>
      <c r="R210" s="202">
        <f>Q210*10000000/$B$9</f>
        <v/>
      </c>
      <c r="S210" s="181">
        <f>IF(AND(C210=0,E210="SGX/ICE FFA blocks"),"⚠ FFA derivatives need a corporate/IFSC wrapper — not via personal LRS","")</f>
        <v/>
      </c>
    </row>
    <row r="211" hidden="1" outlineLevel="1">
      <c r="A211" s="178" t="n">
        <v>4</v>
      </c>
      <c r="B211" s="179">
        <f>Q210</f>
        <v/>
      </c>
      <c r="C211" s="204">
        <f>IF($B$206=2,1,IF($B$206=4,0,IF(B211&gt;=$B$8,1,0)))</f>
        <v/>
      </c>
      <c r="D211" s="181">
        <f>IF(C211=1,IF($B$206=2,"Company (115BAA)","GIFT FIF (IFSC) Corp"),IF($B$206=1,"Individual / NRI (0%)","Individual LRS"))</f>
        <v/>
      </c>
      <c r="E211" s="181">
        <f>IF(B211&gt;$B$35,"SGX/ICE FFA blocks","BDRY (45-day iceberg)")</f>
        <v/>
      </c>
      <c r="F211" s="179">
        <f>IF(B211&gt;$B$35,$B$36,$B$35)</f>
        <v/>
      </c>
      <c r="G211" s="179">
        <f>MIN(B211,F211)</f>
        <v/>
      </c>
      <c r="H211" s="179">
        <f>B211-G211</f>
        <v/>
      </c>
      <c r="I211" s="179">
        <f>G211*$B$6+H211*$B$23*$B$7/12</f>
        <v/>
      </c>
      <c r="J211" s="179">
        <f>IF(C211=1,IF(B211&gt;=$B$8,$B$11,$B$12),0)</f>
        <v/>
      </c>
      <c r="K211" s="179">
        <f>IF(AND($B$24="On",C211=1,$B$206&lt;&gt;1,$B$10&gt;0),MIN($B$38,$B$27*MAX(I211-J211,0)),0)</f>
        <v/>
      </c>
      <c r="L211" s="179">
        <f>MAX(I211-J211-K211,0)</f>
        <v/>
      </c>
      <c r="M211" s="181">
        <f>IF($B$206=1,"0% (exempt)",IF(C211=1,"115BAA company",IF($B$7&gt;=24,"LTCG 112","STCG @ slab")))</f>
        <v/>
      </c>
      <c r="N211" s="182">
        <f>IF($B$206=1,0,IF(C211=1,$B$10,IF($B$7&gt;=24,$B$19*(1+MIN(VLOOKUP(L211,$A$42:$B$45,2,TRUE),$B$22))*(1+$B$21),$B$20*(1+VLOOKUP(L211,$A$42:$B$45,2,TRUE))*(1+$B$21))))</f>
        <v/>
      </c>
      <c r="O211" s="179">
        <f>L211*N211</f>
        <v/>
      </c>
      <c r="P211" s="179">
        <f>(1-$B$28)*K211</f>
        <v/>
      </c>
      <c r="Q211" s="174">
        <f>B211+I211-J211-O211-P211</f>
        <v/>
      </c>
      <c r="R211" s="202">
        <f>Q211*10000000/$B$9</f>
        <v/>
      </c>
      <c r="S211" s="181">
        <f>IF(AND(C211=0,E211="SGX/ICE FFA blocks"),"⚠ FFA derivatives need a corporate/IFSC wrapper — not via personal LRS","")</f>
        <v/>
      </c>
    </row>
    <row r="212" hidden="1" outlineLevel="1">
      <c r="A212" s="178" t="n">
        <v>5</v>
      </c>
      <c r="B212" s="179">
        <f>Q211</f>
        <v/>
      </c>
      <c r="C212" s="204">
        <f>IF($B$206=2,1,IF($B$206=4,0,IF(B212&gt;=$B$8,1,0)))</f>
        <v/>
      </c>
      <c r="D212" s="181">
        <f>IF(C212=1,IF($B$206=2,"Company (115BAA)","GIFT FIF (IFSC) Corp"),IF($B$206=1,"Individual / NRI (0%)","Individual LRS"))</f>
        <v/>
      </c>
      <c r="E212" s="181">
        <f>IF(B212&gt;$B$35,"SGX/ICE FFA blocks","BDRY (45-day iceberg)")</f>
        <v/>
      </c>
      <c r="F212" s="179">
        <f>IF(B212&gt;$B$35,$B$36,$B$35)</f>
        <v/>
      </c>
      <c r="G212" s="179">
        <f>MIN(B212,F212)</f>
        <v/>
      </c>
      <c r="H212" s="179">
        <f>B212-G212</f>
        <v/>
      </c>
      <c r="I212" s="179">
        <f>G212*$B$6+H212*$B$23*$B$7/12</f>
        <v/>
      </c>
      <c r="J212" s="179">
        <f>IF(C212=1,IF(B212&gt;=$B$8,$B$11,$B$12),0)</f>
        <v/>
      </c>
      <c r="K212" s="179">
        <f>IF(AND($B$24="On",C212=1,$B$206&lt;&gt;1,$B$10&gt;0),MIN($B$38,$B$27*MAX(I212-J212,0)),0)</f>
        <v/>
      </c>
      <c r="L212" s="179">
        <f>MAX(I212-J212-K212,0)</f>
        <v/>
      </c>
      <c r="M212" s="181">
        <f>IF($B$206=1,"0% (exempt)",IF(C212=1,"115BAA company",IF($B$7&gt;=24,"LTCG 112","STCG @ slab")))</f>
        <v/>
      </c>
      <c r="N212" s="182">
        <f>IF($B$206=1,0,IF(C212=1,$B$10,IF($B$7&gt;=24,$B$19*(1+MIN(VLOOKUP(L212,$A$42:$B$45,2,TRUE),$B$22))*(1+$B$21),$B$20*(1+VLOOKUP(L212,$A$42:$B$45,2,TRUE))*(1+$B$21))))</f>
        <v/>
      </c>
      <c r="O212" s="179">
        <f>L212*N212</f>
        <v/>
      </c>
      <c r="P212" s="179">
        <f>(1-$B$28)*K212</f>
        <v/>
      </c>
      <c r="Q212" s="174">
        <f>B212+I212-J212-O212-P212</f>
        <v/>
      </c>
      <c r="R212" s="202">
        <f>Q212*10000000/$B$9</f>
        <v/>
      </c>
      <c r="S212" s="181">
        <f>IF(AND(C212=0,E212="SGX/ICE FFA blocks"),"⚠ FFA derivatives need a corporate/IFSC wrapper — not via personal LRS","")</f>
        <v/>
      </c>
    </row>
    <row r="213" hidden="1" outlineLevel="1">
      <c r="A213" s="178" t="n">
        <v>6</v>
      </c>
      <c r="B213" s="179">
        <f>Q212</f>
        <v/>
      </c>
      <c r="C213" s="204">
        <f>IF($B$206=2,1,IF($B$206=4,0,IF(B213&gt;=$B$8,1,0)))</f>
        <v/>
      </c>
      <c r="D213" s="181">
        <f>IF(C213=1,IF($B$206=2,"Company (115BAA)","GIFT FIF (IFSC) Corp"),IF($B$206=1,"Individual / NRI (0%)","Individual LRS"))</f>
        <v/>
      </c>
      <c r="E213" s="181">
        <f>IF(B213&gt;$B$35,"SGX/ICE FFA blocks","BDRY (45-day iceberg)")</f>
        <v/>
      </c>
      <c r="F213" s="179">
        <f>IF(B213&gt;$B$35,$B$36,$B$35)</f>
        <v/>
      </c>
      <c r="G213" s="179">
        <f>MIN(B213,F213)</f>
        <v/>
      </c>
      <c r="H213" s="179">
        <f>B213-G213</f>
        <v/>
      </c>
      <c r="I213" s="179">
        <f>G213*$B$6+H213*$B$23*$B$7/12</f>
        <v/>
      </c>
      <c r="J213" s="179">
        <f>IF(C213=1,IF(B213&gt;=$B$8,$B$11,$B$12),0)</f>
        <v/>
      </c>
      <c r="K213" s="179">
        <f>IF(AND($B$24="On",C213=1,$B$206&lt;&gt;1,$B$10&gt;0),MIN($B$38,$B$27*MAX(I213-J213,0)),0)</f>
        <v/>
      </c>
      <c r="L213" s="179">
        <f>MAX(I213-J213-K213,0)</f>
        <v/>
      </c>
      <c r="M213" s="181">
        <f>IF($B$206=1,"0% (exempt)",IF(C213=1,"115BAA company",IF($B$7&gt;=24,"LTCG 112","STCG @ slab")))</f>
        <v/>
      </c>
      <c r="N213" s="182">
        <f>IF($B$206=1,0,IF(C213=1,$B$10,IF($B$7&gt;=24,$B$19*(1+MIN(VLOOKUP(L213,$A$42:$B$45,2,TRUE),$B$22))*(1+$B$21),$B$20*(1+VLOOKUP(L213,$A$42:$B$45,2,TRUE))*(1+$B$21))))</f>
        <v/>
      </c>
      <c r="O213" s="179">
        <f>L213*N213</f>
        <v/>
      </c>
      <c r="P213" s="179">
        <f>(1-$B$28)*K213</f>
        <v/>
      </c>
      <c r="Q213" s="174">
        <f>B213+I213-J213-O213-P213</f>
        <v/>
      </c>
      <c r="R213" s="202">
        <f>Q213*10000000/$B$9</f>
        <v/>
      </c>
      <c r="S213" s="181">
        <f>IF(AND(C213=0,E213="SGX/ICE FFA blocks"),"⚠ FFA derivatives need a corporate/IFSC wrapper — not via personal LRS","")</f>
        <v/>
      </c>
    </row>
    <row r="214" hidden="1" outlineLevel="1">
      <c r="A214" s="178" t="n">
        <v>7</v>
      </c>
      <c r="B214" s="179">
        <f>Q213</f>
        <v/>
      </c>
      <c r="C214" s="204">
        <f>IF($B$206=2,1,IF($B$206=4,0,IF(B214&gt;=$B$8,1,0)))</f>
        <v/>
      </c>
      <c r="D214" s="181">
        <f>IF(C214=1,IF($B$206=2,"Company (115BAA)","GIFT FIF (IFSC) Corp"),IF($B$206=1,"Individual / NRI (0%)","Individual LRS"))</f>
        <v/>
      </c>
      <c r="E214" s="181">
        <f>IF(B214&gt;$B$35,"SGX/ICE FFA blocks","BDRY (45-day iceberg)")</f>
        <v/>
      </c>
      <c r="F214" s="179">
        <f>IF(B214&gt;$B$35,$B$36,$B$35)</f>
        <v/>
      </c>
      <c r="G214" s="179">
        <f>MIN(B214,F214)</f>
        <v/>
      </c>
      <c r="H214" s="179">
        <f>B214-G214</f>
        <v/>
      </c>
      <c r="I214" s="179">
        <f>G214*$B$6+H214*$B$23*$B$7/12</f>
        <v/>
      </c>
      <c r="J214" s="179">
        <f>IF(C214=1,IF(B214&gt;=$B$8,$B$11,$B$12),0)</f>
        <v/>
      </c>
      <c r="K214" s="179">
        <f>IF(AND($B$24="On",C214=1,$B$206&lt;&gt;1,$B$10&gt;0),MIN($B$38,$B$27*MAX(I214-J214,0)),0)</f>
        <v/>
      </c>
      <c r="L214" s="179">
        <f>MAX(I214-J214-K214,0)</f>
        <v/>
      </c>
      <c r="M214" s="181">
        <f>IF($B$206=1,"0% (exempt)",IF(C214=1,"115BAA company",IF($B$7&gt;=24,"LTCG 112","STCG @ slab")))</f>
        <v/>
      </c>
      <c r="N214" s="182">
        <f>IF($B$206=1,0,IF(C214=1,$B$10,IF($B$7&gt;=24,$B$19*(1+MIN(VLOOKUP(L214,$A$42:$B$45,2,TRUE),$B$22))*(1+$B$21),$B$20*(1+VLOOKUP(L214,$A$42:$B$45,2,TRUE))*(1+$B$21))))</f>
        <v/>
      </c>
      <c r="O214" s="179">
        <f>L214*N214</f>
        <v/>
      </c>
      <c r="P214" s="179">
        <f>(1-$B$28)*K214</f>
        <v/>
      </c>
      <c r="Q214" s="174">
        <f>B214+I214-J214-O214-P214</f>
        <v/>
      </c>
      <c r="R214" s="202">
        <f>Q214*10000000/$B$9</f>
        <v/>
      </c>
      <c r="S214" s="181">
        <f>IF(AND(C214=0,E214="SGX/ICE FFA blocks"),"⚠ FFA derivatives need a corporate/IFSC wrapper — not via personal LRS","")</f>
        <v/>
      </c>
    </row>
    <row r="215" hidden="1" outlineLevel="1">
      <c r="A215" s="178" t="n">
        <v>8</v>
      </c>
      <c r="B215" s="179">
        <f>Q214</f>
        <v/>
      </c>
      <c r="C215" s="204">
        <f>IF($B$206=2,1,IF($B$206=4,0,IF(B215&gt;=$B$8,1,0)))</f>
        <v/>
      </c>
      <c r="D215" s="181">
        <f>IF(C215=1,IF($B$206=2,"Company (115BAA)","GIFT FIF (IFSC) Corp"),IF($B$206=1,"Individual / NRI (0%)","Individual LRS"))</f>
        <v/>
      </c>
      <c r="E215" s="181">
        <f>IF(B215&gt;$B$35,"SGX/ICE FFA blocks","BDRY (45-day iceberg)")</f>
        <v/>
      </c>
      <c r="F215" s="179">
        <f>IF(B215&gt;$B$35,$B$36,$B$35)</f>
        <v/>
      </c>
      <c r="G215" s="179">
        <f>MIN(B215,F215)</f>
        <v/>
      </c>
      <c r="H215" s="179">
        <f>B215-G215</f>
        <v/>
      </c>
      <c r="I215" s="179">
        <f>G215*$B$6+H215*$B$23*$B$7/12</f>
        <v/>
      </c>
      <c r="J215" s="179">
        <f>IF(C215=1,IF(B215&gt;=$B$8,$B$11,$B$12),0)</f>
        <v/>
      </c>
      <c r="K215" s="179">
        <f>IF(AND($B$24="On",C215=1,$B$206&lt;&gt;1,$B$10&gt;0),MIN($B$38,$B$27*MAX(I215-J215,0)),0)</f>
        <v/>
      </c>
      <c r="L215" s="179">
        <f>MAX(I215-J215-K215,0)</f>
        <v/>
      </c>
      <c r="M215" s="181">
        <f>IF($B$206=1,"0% (exempt)",IF(C215=1,"115BAA company",IF($B$7&gt;=24,"LTCG 112","STCG @ slab")))</f>
        <v/>
      </c>
      <c r="N215" s="182">
        <f>IF($B$206=1,0,IF(C215=1,$B$10,IF($B$7&gt;=24,$B$19*(1+MIN(VLOOKUP(L215,$A$42:$B$45,2,TRUE),$B$22))*(1+$B$21),$B$20*(1+VLOOKUP(L215,$A$42:$B$45,2,TRUE))*(1+$B$21))))</f>
        <v/>
      </c>
      <c r="O215" s="179">
        <f>L215*N215</f>
        <v/>
      </c>
      <c r="P215" s="179">
        <f>(1-$B$28)*K215</f>
        <v/>
      </c>
      <c r="Q215" s="174">
        <f>B215+I215-J215-O215-P215</f>
        <v/>
      </c>
      <c r="R215" s="202">
        <f>Q215*10000000/$B$9</f>
        <v/>
      </c>
      <c r="S215" s="181">
        <f>IF(AND(C215=0,E215="SGX/ICE FFA blocks"),"⚠ FFA derivatives need a corporate/IFSC wrapper — not via personal LRS","")</f>
        <v/>
      </c>
    </row>
    <row r="216" hidden="1" outlineLevel="1">
      <c r="A216" s="178" t="n">
        <v>9</v>
      </c>
      <c r="B216" s="179">
        <f>Q215</f>
        <v/>
      </c>
      <c r="C216" s="204">
        <f>IF($B$206=2,1,IF($B$206=4,0,IF(B216&gt;=$B$8,1,0)))</f>
        <v/>
      </c>
      <c r="D216" s="181">
        <f>IF(C216=1,IF($B$206=2,"Company (115BAA)","GIFT FIF (IFSC) Corp"),IF($B$206=1,"Individual / NRI (0%)","Individual LRS"))</f>
        <v/>
      </c>
      <c r="E216" s="181">
        <f>IF(B216&gt;$B$35,"SGX/ICE FFA blocks","BDRY (45-day iceberg)")</f>
        <v/>
      </c>
      <c r="F216" s="179">
        <f>IF(B216&gt;$B$35,$B$36,$B$35)</f>
        <v/>
      </c>
      <c r="G216" s="179">
        <f>MIN(B216,F216)</f>
        <v/>
      </c>
      <c r="H216" s="179">
        <f>B216-G216</f>
        <v/>
      </c>
      <c r="I216" s="179">
        <f>G216*$B$6+H216*$B$23*$B$7/12</f>
        <v/>
      </c>
      <c r="J216" s="179">
        <f>IF(C216=1,IF(B216&gt;=$B$8,$B$11,$B$12),0)</f>
        <v/>
      </c>
      <c r="K216" s="179">
        <f>IF(AND($B$24="On",C216=1,$B$206&lt;&gt;1,$B$10&gt;0),MIN($B$38,$B$27*MAX(I216-J216,0)),0)</f>
        <v/>
      </c>
      <c r="L216" s="179">
        <f>MAX(I216-J216-K216,0)</f>
        <v/>
      </c>
      <c r="M216" s="181">
        <f>IF($B$206=1,"0% (exempt)",IF(C216=1,"115BAA company",IF($B$7&gt;=24,"LTCG 112","STCG @ slab")))</f>
        <v/>
      </c>
      <c r="N216" s="182">
        <f>IF($B$206=1,0,IF(C216=1,$B$10,IF($B$7&gt;=24,$B$19*(1+MIN(VLOOKUP(L216,$A$42:$B$45,2,TRUE),$B$22))*(1+$B$21),$B$20*(1+VLOOKUP(L216,$A$42:$B$45,2,TRUE))*(1+$B$21))))</f>
        <v/>
      </c>
      <c r="O216" s="179">
        <f>L216*N216</f>
        <v/>
      </c>
      <c r="P216" s="179">
        <f>(1-$B$28)*K216</f>
        <v/>
      </c>
      <c r="Q216" s="174">
        <f>B216+I216-J216-O216-P216</f>
        <v/>
      </c>
      <c r="R216" s="202">
        <f>Q216*10000000/$B$9</f>
        <v/>
      </c>
      <c r="S216" s="181">
        <f>IF(AND(C216=0,E216="SGX/ICE FFA blocks"),"⚠ FFA derivatives need a corporate/IFSC wrapper — not via personal LRS","")</f>
        <v/>
      </c>
    </row>
    <row r="217" hidden="1" outlineLevel="1">
      <c r="A217" s="178" t="n">
        <v>10</v>
      </c>
      <c r="B217" s="179">
        <f>Q216</f>
        <v/>
      </c>
      <c r="C217" s="204">
        <f>IF($B$206=2,1,IF($B$206=4,0,IF(B217&gt;=$B$8,1,0)))</f>
        <v/>
      </c>
      <c r="D217" s="181">
        <f>IF(C217=1,IF($B$206=2,"Company (115BAA)","GIFT FIF (IFSC) Corp"),IF($B$206=1,"Individual / NRI (0%)","Individual LRS"))</f>
        <v/>
      </c>
      <c r="E217" s="181">
        <f>IF(B217&gt;$B$35,"SGX/ICE FFA blocks","BDRY (45-day iceberg)")</f>
        <v/>
      </c>
      <c r="F217" s="179">
        <f>IF(B217&gt;$B$35,$B$36,$B$35)</f>
        <v/>
      </c>
      <c r="G217" s="179">
        <f>MIN(B217,F217)</f>
        <v/>
      </c>
      <c r="H217" s="179">
        <f>B217-G217</f>
        <v/>
      </c>
      <c r="I217" s="179">
        <f>G217*$B$6+H217*$B$23*$B$7/12</f>
        <v/>
      </c>
      <c r="J217" s="179">
        <f>IF(C217=1,IF(B217&gt;=$B$8,$B$11,$B$12),0)</f>
        <v/>
      </c>
      <c r="K217" s="179">
        <f>IF(AND($B$24="On",C217=1,$B$206&lt;&gt;1,$B$10&gt;0),MIN($B$38,$B$27*MAX(I217-J217,0)),0)</f>
        <v/>
      </c>
      <c r="L217" s="179">
        <f>MAX(I217-J217-K217,0)</f>
        <v/>
      </c>
      <c r="M217" s="181">
        <f>IF($B$206=1,"0% (exempt)",IF(C217=1,"115BAA company",IF($B$7&gt;=24,"LTCG 112","STCG @ slab")))</f>
        <v/>
      </c>
      <c r="N217" s="182">
        <f>IF($B$206=1,0,IF(C217=1,$B$10,IF($B$7&gt;=24,$B$19*(1+MIN(VLOOKUP(L217,$A$42:$B$45,2,TRUE),$B$22))*(1+$B$21),$B$20*(1+VLOOKUP(L217,$A$42:$B$45,2,TRUE))*(1+$B$21))))</f>
        <v/>
      </c>
      <c r="O217" s="179">
        <f>L217*N217</f>
        <v/>
      </c>
      <c r="P217" s="179">
        <f>(1-$B$28)*K217</f>
        <v/>
      </c>
      <c r="Q217" s="174">
        <f>B217+I217-J217-O217-P217</f>
        <v/>
      </c>
      <c r="R217" s="202">
        <f>Q217*10000000/$B$9</f>
        <v/>
      </c>
      <c r="S217" s="181">
        <f>IF(AND(C217=0,E217="SGX/ICE FFA blocks"),"⚠ FFA derivatives need a corporate/IFSC wrapper — not via personal LRS","")</f>
        <v/>
      </c>
    </row>
    <row r="218" hidden="1" outlineLevel="1">
      <c r="A218" s="178" t="n">
        <v>11</v>
      </c>
      <c r="B218" s="179">
        <f>Q217</f>
        <v/>
      </c>
      <c r="C218" s="204">
        <f>IF($B$206=2,1,IF($B$206=4,0,IF(B218&gt;=$B$8,1,0)))</f>
        <v/>
      </c>
      <c r="D218" s="181">
        <f>IF(C218=1,IF($B$206=2,"Company (115BAA)","GIFT FIF (IFSC) Corp"),IF($B$206=1,"Individual / NRI (0%)","Individual LRS"))</f>
        <v/>
      </c>
      <c r="E218" s="181">
        <f>IF(B218&gt;$B$35,"SGX/ICE FFA blocks","BDRY (45-day iceberg)")</f>
        <v/>
      </c>
      <c r="F218" s="179">
        <f>IF(B218&gt;$B$35,$B$36,$B$35)</f>
        <v/>
      </c>
      <c r="G218" s="179">
        <f>MIN(B218,F218)</f>
        <v/>
      </c>
      <c r="H218" s="179">
        <f>B218-G218</f>
        <v/>
      </c>
      <c r="I218" s="179">
        <f>G218*$B$6+H218*$B$23*$B$7/12</f>
        <v/>
      </c>
      <c r="J218" s="179">
        <f>IF(C218=1,IF(B218&gt;=$B$8,$B$11,$B$12),0)</f>
        <v/>
      </c>
      <c r="K218" s="179">
        <f>IF(AND($B$24="On",C218=1,$B$206&lt;&gt;1,$B$10&gt;0),MIN($B$38,$B$27*MAX(I218-J218,0)),0)</f>
        <v/>
      </c>
      <c r="L218" s="179">
        <f>MAX(I218-J218-K218,0)</f>
        <v/>
      </c>
      <c r="M218" s="181">
        <f>IF($B$206=1,"0% (exempt)",IF(C218=1,"115BAA company",IF($B$7&gt;=24,"LTCG 112","STCG @ slab")))</f>
        <v/>
      </c>
      <c r="N218" s="182">
        <f>IF($B$206=1,0,IF(C218=1,$B$10,IF($B$7&gt;=24,$B$19*(1+MIN(VLOOKUP(L218,$A$42:$B$45,2,TRUE),$B$22))*(1+$B$21),$B$20*(1+VLOOKUP(L218,$A$42:$B$45,2,TRUE))*(1+$B$21))))</f>
        <v/>
      </c>
      <c r="O218" s="179">
        <f>L218*N218</f>
        <v/>
      </c>
      <c r="P218" s="179">
        <f>(1-$B$28)*K218</f>
        <v/>
      </c>
      <c r="Q218" s="174">
        <f>B218+I218-J218-O218-P218</f>
        <v/>
      </c>
      <c r="R218" s="202">
        <f>Q218*10000000/$B$9</f>
        <v/>
      </c>
      <c r="S218" s="181">
        <f>IF(AND(C218=0,E218="SGX/ICE FFA blocks"),"⚠ FFA derivatives need a corporate/IFSC wrapper — not via personal LRS","")</f>
        <v/>
      </c>
    </row>
    <row r="219" hidden="1" outlineLevel="1">
      <c r="A219" s="178" t="n">
        <v>12</v>
      </c>
      <c r="B219" s="179">
        <f>Q218</f>
        <v/>
      </c>
      <c r="C219" s="204">
        <f>IF($B$206=2,1,IF($B$206=4,0,IF(B219&gt;=$B$8,1,0)))</f>
        <v/>
      </c>
      <c r="D219" s="181">
        <f>IF(C219=1,IF($B$206=2,"Company (115BAA)","GIFT FIF (IFSC) Corp"),IF($B$206=1,"Individual / NRI (0%)","Individual LRS"))</f>
        <v/>
      </c>
      <c r="E219" s="181">
        <f>IF(B219&gt;$B$35,"SGX/ICE FFA blocks","BDRY (45-day iceberg)")</f>
        <v/>
      </c>
      <c r="F219" s="179">
        <f>IF(B219&gt;$B$35,$B$36,$B$35)</f>
        <v/>
      </c>
      <c r="G219" s="179">
        <f>MIN(B219,F219)</f>
        <v/>
      </c>
      <c r="H219" s="179">
        <f>B219-G219</f>
        <v/>
      </c>
      <c r="I219" s="179">
        <f>G219*$B$6+H219*$B$23*$B$7/12</f>
        <v/>
      </c>
      <c r="J219" s="179">
        <f>IF(C219=1,IF(B219&gt;=$B$8,$B$11,$B$12),0)</f>
        <v/>
      </c>
      <c r="K219" s="179">
        <f>IF(AND($B$24="On",C219=1,$B$206&lt;&gt;1,$B$10&gt;0),MIN($B$38,$B$27*MAX(I219-J219,0)),0)</f>
        <v/>
      </c>
      <c r="L219" s="179">
        <f>MAX(I219-J219-K219,0)</f>
        <v/>
      </c>
      <c r="M219" s="181">
        <f>IF($B$206=1,"0% (exempt)",IF(C219=1,"115BAA company",IF($B$7&gt;=24,"LTCG 112","STCG @ slab")))</f>
        <v/>
      </c>
      <c r="N219" s="182">
        <f>IF($B$206=1,0,IF(C219=1,$B$10,IF($B$7&gt;=24,$B$19*(1+MIN(VLOOKUP(L219,$A$42:$B$45,2,TRUE),$B$22))*(1+$B$21),$B$20*(1+VLOOKUP(L219,$A$42:$B$45,2,TRUE))*(1+$B$21))))</f>
        <v/>
      </c>
      <c r="O219" s="179">
        <f>L219*N219</f>
        <v/>
      </c>
      <c r="P219" s="179">
        <f>(1-$B$28)*K219</f>
        <v/>
      </c>
      <c r="Q219" s="174">
        <f>B219+I219-J219-O219-P219</f>
        <v/>
      </c>
      <c r="R219" s="202">
        <f>Q219*10000000/$B$9</f>
        <v/>
      </c>
      <c r="S219" s="181">
        <f>IF(AND(C219=0,E219="SGX/ICE FFA blocks"),"⚠ FFA derivatives need a corporate/IFSC wrapper — not via personal LRS","")</f>
        <v/>
      </c>
    </row>
    <row r="220" hidden="1" outlineLevel="1">
      <c r="A220" s="178" t="n">
        <v>13</v>
      </c>
      <c r="B220" s="179">
        <f>Q219</f>
        <v/>
      </c>
      <c r="C220" s="204">
        <f>IF($B$206=2,1,IF($B$206=4,0,IF(B220&gt;=$B$8,1,0)))</f>
        <v/>
      </c>
      <c r="D220" s="181">
        <f>IF(C220=1,IF($B$206=2,"Company (115BAA)","GIFT FIF (IFSC) Corp"),IF($B$206=1,"Individual / NRI (0%)","Individual LRS"))</f>
        <v/>
      </c>
      <c r="E220" s="181">
        <f>IF(B220&gt;$B$35,"SGX/ICE FFA blocks","BDRY (45-day iceberg)")</f>
        <v/>
      </c>
      <c r="F220" s="179">
        <f>IF(B220&gt;$B$35,$B$36,$B$35)</f>
        <v/>
      </c>
      <c r="G220" s="179">
        <f>MIN(B220,F220)</f>
        <v/>
      </c>
      <c r="H220" s="179">
        <f>B220-G220</f>
        <v/>
      </c>
      <c r="I220" s="179">
        <f>G220*$B$6+H220*$B$23*$B$7/12</f>
        <v/>
      </c>
      <c r="J220" s="179">
        <f>IF(C220=1,IF(B220&gt;=$B$8,$B$11,$B$12),0)</f>
        <v/>
      </c>
      <c r="K220" s="179">
        <f>IF(AND($B$24="On",C220=1,$B$206&lt;&gt;1,$B$10&gt;0),MIN($B$38,$B$27*MAX(I220-J220,0)),0)</f>
        <v/>
      </c>
      <c r="L220" s="179">
        <f>MAX(I220-J220-K220,0)</f>
        <v/>
      </c>
      <c r="M220" s="181">
        <f>IF($B$206=1,"0% (exempt)",IF(C220=1,"115BAA company",IF($B$7&gt;=24,"LTCG 112","STCG @ slab")))</f>
        <v/>
      </c>
      <c r="N220" s="182">
        <f>IF($B$206=1,0,IF(C220=1,$B$10,IF($B$7&gt;=24,$B$19*(1+MIN(VLOOKUP(L220,$A$42:$B$45,2,TRUE),$B$22))*(1+$B$21),$B$20*(1+VLOOKUP(L220,$A$42:$B$45,2,TRUE))*(1+$B$21))))</f>
        <v/>
      </c>
      <c r="O220" s="179">
        <f>L220*N220</f>
        <v/>
      </c>
      <c r="P220" s="179">
        <f>(1-$B$28)*K220</f>
        <v/>
      </c>
      <c r="Q220" s="174">
        <f>B220+I220-J220-O220-P220</f>
        <v/>
      </c>
      <c r="R220" s="202">
        <f>Q220*10000000/$B$9</f>
        <v/>
      </c>
      <c r="S220" s="181">
        <f>IF(AND(C220=0,E220="SGX/ICE FFA blocks"),"⚠ FFA derivatives need a corporate/IFSC wrapper — not via personal LRS","")</f>
        <v/>
      </c>
    </row>
    <row r="221" hidden="1" outlineLevel="1">
      <c r="A221" s="178" t="n">
        <v>14</v>
      </c>
      <c r="B221" s="179">
        <f>Q220</f>
        <v/>
      </c>
      <c r="C221" s="204">
        <f>IF($B$206=2,1,IF($B$206=4,0,IF(B221&gt;=$B$8,1,0)))</f>
        <v/>
      </c>
      <c r="D221" s="181">
        <f>IF(C221=1,IF($B$206=2,"Company (115BAA)","GIFT FIF (IFSC) Corp"),IF($B$206=1,"Individual / NRI (0%)","Individual LRS"))</f>
        <v/>
      </c>
      <c r="E221" s="181">
        <f>IF(B221&gt;$B$35,"SGX/ICE FFA blocks","BDRY (45-day iceberg)")</f>
        <v/>
      </c>
      <c r="F221" s="179">
        <f>IF(B221&gt;$B$35,$B$36,$B$35)</f>
        <v/>
      </c>
      <c r="G221" s="179">
        <f>MIN(B221,F221)</f>
        <v/>
      </c>
      <c r="H221" s="179">
        <f>B221-G221</f>
        <v/>
      </c>
      <c r="I221" s="179">
        <f>G221*$B$6+H221*$B$23*$B$7/12</f>
        <v/>
      </c>
      <c r="J221" s="179">
        <f>IF(C221=1,IF(B221&gt;=$B$8,$B$11,$B$12),0)</f>
        <v/>
      </c>
      <c r="K221" s="179">
        <f>IF(AND($B$24="On",C221=1,$B$206&lt;&gt;1,$B$10&gt;0),MIN($B$38,$B$27*MAX(I221-J221,0)),0)</f>
        <v/>
      </c>
      <c r="L221" s="179">
        <f>MAX(I221-J221-K221,0)</f>
        <v/>
      </c>
      <c r="M221" s="181">
        <f>IF($B$206=1,"0% (exempt)",IF(C221=1,"115BAA company",IF($B$7&gt;=24,"LTCG 112","STCG @ slab")))</f>
        <v/>
      </c>
      <c r="N221" s="182">
        <f>IF($B$206=1,0,IF(C221=1,$B$10,IF($B$7&gt;=24,$B$19*(1+MIN(VLOOKUP(L221,$A$42:$B$45,2,TRUE),$B$22))*(1+$B$21),$B$20*(1+VLOOKUP(L221,$A$42:$B$45,2,TRUE))*(1+$B$21))))</f>
        <v/>
      </c>
      <c r="O221" s="179">
        <f>L221*N221</f>
        <v/>
      </c>
      <c r="P221" s="179">
        <f>(1-$B$28)*K221</f>
        <v/>
      </c>
      <c r="Q221" s="174">
        <f>B221+I221-J221-O221-P221</f>
        <v/>
      </c>
      <c r="R221" s="202">
        <f>Q221*10000000/$B$9</f>
        <v/>
      </c>
      <c r="S221" s="181">
        <f>IF(AND(C221=0,E221="SGX/ICE FFA blocks"),"⚠ FFA derivatives need a corporate/IFSC wrapper — not via personal LRS","")</f>
        <v/>
      </c>
    </row>
    <row r="222" hidden="1" outlineLevel="1">
      <c r="A222" s="178" t="n">
        <v>15</v>
      </c>
      <c r="B222" s="179">
        <f>Q221</f>
        <v/>
      </c>
      <c r="C222" s="204">
        <f>IF($B$206=2,1,IF($B$206=4,0,IF(B222&gt;=$B$8,1,0)))</f>
        <v/>
      </c>
      <c r="D222" s="181">
        <f>IF(C222=1,IF($B$206=2,"Company (115BAA)","GIFT FIF (IFSC) Corp"),IF($B$206=1,"Individual / NRI (0%)","Individual LRS"))</f>
        <v/>
      </c>
      <c r="E222" s="181">
        <f>IF(B222&gt;$B$35,"SGX/ICE FFA blocks","BDRY (45-day iceberg)")</f>
        <v/>
      </c>
      <c r="F222" s="179">
        <f>IF(B222&gt;$B$35,$B$36,$B$35)</f>
        <v/>
      </c>
      <c r="G222" s="179">
        <f>MIN(B222,F222)</f>
        <v/>
      </c>
      <c r="H222" s="179">
        <f>B222-G222</f>
        <v/>
      </c>
      <c r="I222" s="179">
        <f>G222*$B$6+H222*$B$23*$B$7/12</f>
        <v/>
      </c>
      <c r="J222" s="179">
        <f>IF(C222=1,IF(B222&gt;=$B$8,$B$11,$B$12),0)</f>
        <v/>
      </c>
      <c r="K222" s="179">
        <f>IF(AND($B$24="On",C222=1,$B$206&lt;&gt;1,$B$10&gt;0),MIN($B$38,$B$27*MAX(I222-J222,0)),0)</f>
        <v/>
      </c>
      <c r="L222" s="179">
        <f>MAX(I222-J222-K222,0)</f>
        <v/>
      </c>
      <c r="M222" s="181">
        <f>IF($B$206=1,"0% (exempt)",IF(C222=1,"115BAA company",IF($B$7&gt;=24,"LTCG 112","STCG @ slab")))</f>
        <v/>
      </c>
      <c r="N222" s="182">
        <f>IF($B$206=1,0,IF(C222=1,$B$10,IF($B$7&gt;=24,$B$19*(1+MIN(VLOOKUP(L222,$A$42:$B$45,2,TRUE),$B$22))*(1+$B$21),$B$20*(1+VLOOKUP(L222,$A$42:$B$45,2,TRUE))*(1+$B$21))))</f>
        <v/>
      </c>
      <c r="O222" s="179">
        <f>L222*N222</f>
        <v/>
      </c>
      <c r="P222" s="179">
        <f>(1-$B$28)*K222</f>
        <v/>
      </c>
      <c r="Q222" s="174">
        <f>B222+I222-J222-O222-P222</f>
        <v/>
      </c>
      <c r="R222" s="202">
        <f>Q222*10000000/$B$9</f>
        <v/>
      </c>
      <c r="S222" s="181">
        <f>IF(AND(C222=0,E222="SGX/ICE FFA blocks"),"⚠ FFA derivatives need a corporate/IFSC wrapper — not via personal LRS","")</f>
        <v/>
      </c>
    </row>
    <row r="223" hidden="1" outlineLevel="1">
      <c r="A223" s="178" t="n">
        <v>16</v>
      </c>
      <c r="B223" s="179">
        <f>Q222</f>
        <v/>
      </c>
      <c r="C223" s="204">
        <f>IF($B$206=2,1,IF($B$206=4,0,IF(B223&gt;=$B$8,1,0)))</f>
        <v/>
      </c>
      <c r="D223" s="181">
        <f>IF(C223=1,IF($B$206=2,"Company (115BAA)","GIFT FIF (IFSC) Corp"),IF($B$206=1,"Individual / NRI (0%)","Individual LRS"))</f>
        <v/>
      </c>
      <c r="E223" s="181">
        <f>IF(B223&gt;$B$35,"SGX/ICE FFA blocks","BDRY (45-day iceberg)")</f>
        <v/>
      </c>
      <c r="F223" s="179">
        <f>IF(B223&gt;$B$35,$B$36,$B$35)</f>
        <v/>
      </c>
      <c r="G223" s="179">
        <f>MIN(B223,F223)</f>
        <v/>
      </c>
      <c r="H223" s="179">
        <f>B223-G223</f>
        <v/>
      </c>
      <c r="I223" s="179">
        <f>G223*$B$6+H223*$B$23*$B$7/12</f>
        <v/>
      </c>
      <c r="J223" s="179">
        <f>IF(C223=1,IF(B223&gt;=$B$8,$B$11,$B$12),0)</f>
        <v/>
      </c>
      <c r="K223" s="179">
        <f>IF(AND($B$24="On",C223=1,$B$206&lt;&gt;1,$B$10&gt;0),MIN($B$38,$B$27*MAX(I223-J223,0)),0)</f>
        <v/>
      </c>
      <c r="L223" s="179">
        <f>MAX(I223-J223-K223,0)</f>
        <v/>
      </c>
      <c r="M223" s="181">
        <f>IF($B$206=1,"0% (exempt)",IF(C223=1,"115BAA company",IF($B$7&gt;=24,"LTCG 112","STCG @ slab")))</f>
        <v/>
      </c>
      <c r="N223" s="182">
        <f>IF($B$206=1,0,IF(C223=1,$B$10,IF($B$7&gt;=24,$B$19*(1+MIN(VLOOKUP(L223,$A$42:$B$45,2,TRUE),$B$22))*(1+$B$21),$B$20*(1+VLOOKUP(L223,$A$42:$B$45,2,TRUE))*(1+$B$21))))</f>
        <v/>
      </c>
      <c r="O223" s="179">
        <f>L223*N223</f>
        <v/>
      </c>
      <c r="P223" s="179">
        <f>(1-$B$28)*K223</f>
        <v/>
      </c>
      <c r="Q223" s="174">
        <f>B223+I223-J223-O223-P223</f>
        <v/>
      </c>
      <c r="R223" s="202">
        <f>Q223*10000000/$B$9</f>
        <v/>
      </c>
      <c r="S223" s="181">
        <f>IF(AND(C223=0,E223="SGX/ICE FFA blocks"),"⚠ FFA derivatives need a corporate/IFSC wrapper — not via personal LRS","")</f>
        <v/>
      </c>
    </row>
    <row r="224" hidden="1" outlineLevel="1">
      <c r="A224" s="178" t="n">
        <v>17</v>
      </c>
      <c r="B224" s="179">
        <f>Q223</f>
        <v/>
      </c>
      <c r="C224" s="204">
        <f>IF($B$206=2,1,IF($B$206=4,0,IF(B224&gt;=$B$8,1,0)))</f>
        <v/>
      </c>
      <c r="D224" s="181">
        <f>IF(C224=1,IF($B$206=2,"Company (115BAA)","GIFT FIF (IFSC) Corp"),IF($B$206=1,"Individual / NRI (0%)","Individual LRS"))</f>
        <v/>
      </c>
      <c r="E224" s="181">
        <f>IF(B224&gt;$B$35,"SGX/ICE FFA blocks","BDRY (45-day iceberg)")</f>
        <v/>
      </c>
      <c r="F224" s="179">
        <f>IF(B224&gt;$B$35,$B$36,$B$35)</f>
        <v/>
      </c>
      <c r="G224" s="179">
        <f>MIN(B224,F224)</f>
        <v/>
      </c>
      <c r="H224" s="179">
        <f>B224-G224</f>
        <v/>
      </c>
      <c r="I224" s="179">
        <f>G224*$B$6+H224*$B$23*$B$7/12</f>
        <v/>
      </c>
      <c r="J224" s="179">
        <f>IF(C224=1,IF(B224&gt;=$B$8,$B$11,$B$12),0)</f>
        <v/>
      </c>
      <c r="K224" s="179">
        <f>IF(AND($B$24="On",C224=1,$B$206&lt;&gt;1,$B$10&gt;0),MIN($B$38,$B$27*MAX(I224-J224,0)),0)</f>
        <v/>
      </c>
      <c r="L224" s="179">
        <f>MAX(I224-J224-K224,0)</f>
        <v/>
      </c>
      <c r="M224" s="181">
        <f>IF($B$206=1,"0% (exempt)",IF(C224=1,"115BAA company",IF($B$7&gt;=24,"LTCG 112","STCG @ slab")))</f>
        <v/>
      </c>
      <c r="N224" s="182">
        <f>IF($B$206=1,0,IF(C224=1,$B$10,IF($B$7&gt;=24,$B$19*(1+MIN(VLOOKUP(L224,$A$42:$B$45,2,TRUE),$B$22))*(1+$B$21),$B$20*(1+VLOOKUP(L224,$A$42:$B$45,2,TRUE))*(1+$B$21))))</f>
        <v/>
      </c>
      <c r="O224" s="179">
        <f>L224*N224</f>
        <v/>
      </c>
      <c r="P224" s="179">
        <f>(1-$B$28)*K224</f>
        <v/>
      </c>
      <c r="Q224" s="174">
        <f>B224+I224-J224-O224-P224</f>
        <v/>
      </c>
      <c r="R224" s="202">
        <f>Q224*10000000/$B$9</f>
        <v/>
      </c>
      <c r="S224" s="181">
        <f>IF(AND(C224=0,E224="SGX/ICE FFA blocks"),"⚠ FFA derivatives need a corporate/IFSC wrapper — not via personal LRS","")</f>
        <v/>
      </c>
    </row>
    <row r="225" hidden="1" outlineLevel="1">
      <c r="A225" s="178" t="n">
        <v>18</v>
      </c>
      <c r="B225" s="179">
        <f>Q224</f>
        <v/>
      </c>
      <c r="C225" s="204">
        <f>IF($B$206=2,1,IF($B$206=4,0,IF(B225&gt;=$B$8,1,0)))</f>
        <v/>
      </c>
      <c r="D225" s="181">
        <f>IF(C225=1,IF($B$206=2,"Company (115BAA)","GIFT FIF (IFSC) Corp"),IF($B$206=1,"Individual / NRI (0%)","Individual LRS"))</f>
        <v/>
      </c>
      <c r="E225" s="181">
        <f>IF(B225&gt;$B$35,"SGX/ICE FFA blocks","BDRY (45-day iceberg)")</f>
        <v/>
      </c>
      <c r="F225" s="179">
        <f>IF(B225&gt;$B$35,$B$36,$B$35)</f>
        <v/>
      </c>
      <c r="G225" s="179">
        <f>MIN(B225,F225)</f>
        <v/>
      </c>
      <c r="H225" s="179">
        <f>B225-G225</f>
        <v/>
      </c>
      <c r="I225" s="179">
        <f>G225*$B$6+H225*$B$23*$B$7/12</f>
        <v/>
      </c>
      <c r="J225" s="179">
        <f>IF(C225=1,IF(B225&gt;=$B$8,$B$11,$B$12),0)</f>
        <v/>
      </c>
      <c r="K225" s="179">
        <f>IF(AND($B$24="On",C225=1,$B$206&lt;&gt;1,$B$10&gt;0),MIN($B$38,$B$27*MAX(I225-J225,0)),0)</f>
        <v/>
      </c>
      <c r="L225" s="179">
        <f>MAX(I225-J225-K225,0)</f>
        <v/>
      </c>
      <c r="M225" s="181">
        <f>IF($B$206=1,"0% (exempt)",IF(C225=1,"115BAA company",IF($B$7&gt;=24,"LTCG 112","STCG @ slab")))</f>
        <v/>
      </c>
      <c r="N225" s="182">
        <f>IF($B$206=1,0,IF(C225=1,$B$10,IF($B$7&gt;=24,$B$19*(1+MIN(VLOOKUP(L225,$A$42:$B$45,2,TRUE),$B$22))*(1+$B$21),$B$20*(1+VLOOKUP(L225,$A$42:$B$45,2,TRUE))*(1+$B$21))))</f>
        <v/>
      </c>
      <c r="O225" s="179">
        <f>L225*N225</f>
        <v/>
      </c>
      <c r="P225" s="179">
        <f>(1-$B$28)*K225</f>
        <v/>
      </c>
      <c r="Q225" s="174">
        <f>B225+I225-J225-O225-P225</f>
        <v/>
      </c>
      <c r="R225" s="202">
        <f>Q225*10000000/$B$9</f>
        <v/>
      </c>
      <c r="S225" s="181">
        <f>IF(AND(C225=0,E225="SGX/ICE FFA blocks"),"⚠ FFA derivatives need a corporate/IFSC wrapper — not via personal LRS","")</f>
        <v/>
      </c>
    </row>
    <row r="226" hidden="1" outlineLevel="1">
      <c r="A226" s="178" t="n">
        <v>19</v>
      </c>
      <c r="B226" s="179">
        <f>Q225</f>
        <v/>
      </c>
      <c r="C226" s="204">
        <f>IF($B$206=2,1,IF($B$206=4,0,IF(B226&gt;=$B$8,1,0)))</f>
        <v/>
      </c>
      <c r="D226" s="181">
        <f>IF(C226=1,IF($B$206=2,"Company (115BAA)","GIFT FIF (IFSC) Corp"),IF($B$206=1,"Individual / NRI (0%)","Individual LRS"))</f>
        <v/>
      </c>
      <c r="E226" s="181">
        <f>IF(B226&gt;$B$35,"SGX/ICE FFA blocks","BDRY (45-day iceberg)")</f>
        <v/>
      </c>
      <c r="F226" s="179">
        <f>IF(B226&gt;$B$35,$B$36,$B$35)</f>
        <v/>
      </c>
      <c r="G226" s="179">
        <f>MIN(B226,F226)</f>
        <v/>
      </c>
      <c r="H226" s="179">
        <f>B226-G226</f>
        <v/>
      </c>
      <c r="I226" s="179">
        <f>G226*$B$6+H226*$B$23*$B$7/12</f>
        <v/>
      </c>
      <c r="J226" s="179">
        <f>IF(C226=1,IF(B226&gt;=$B$8,$B$11,$B$12),0)</f>
        <v/>
      </c>
      <c r="K226" s="179">
        <f>IF(AND($B$24="On",C226=1,$B$206&lt;&gt;1,$B$10&gt;0),MIN($B$38,$B$27*MAX(I226-J226,0)),0)</f>
        <v/>
      </c>
      <c r="L226" s="179">
        <f>MAX(I226-J226-K226,0)</f>
        <v/>
      </c>
      <c r="M226" s="181">
        <f>IF($B$206=1,"0% (exempt)",IF(C226=1,"115BAA company",IF($B$7&gt;=24,"LTCG 112","STCG @ slab")))</f>
        <v/>
      </c>
      <c r="N226" s="182">
        <f>IF($B$206=1,0,IF(C226=1,$B$10,IF($B$7&gt;=24,$B$19*(1+MIN(VLOOKUP(L226,$A$42:$B$45,2,TRUE),$B$22))*(1+$B$21),$B$20*(1+VLOOKUP(L226,$A$42:$B$45,2,TRUE))*(1+$B$21))))</f>
        <v/>
      </c>
      <c r="O226" s="179">
        <f>L226*N226</f>
        <v/>
      </c>
      <c r="P226" s="179">
        <f>(1-$B$28)*K226</f>
        <v/>
      </c>
      <c r="Q226" s="174">
        <f>B226+I226-J226-O226-P226</f>
        <v/>
      </c>
      <c r="R226" s="202">
        <f>Q226*10000000/$B$9</f>
        <v/>
      </c>
      <c r="S226" s="181">
        <f>IF(AND(C226=0,E226="SGX/ICE FFA blocks"),"⚠ FFA derivatives need a corporate/IFSC wrapper — not via personal LRS","")</f>
        <v/>
      </c>
    </row>
    <row r="227" hidden="1" outlineLevel="1">
      <c r="A227" s="178" t="n">
        <v>20</v>
      </c>
      <c r="B227" s="179">
        <f>Q226</f>
        <v/>
      </c>
      <c r="C227" s="204">
        <f>IF($B$206=2,1,IF($B$206=4,0,IF(B227&gt;=$B$8,1,0)))</f>
        <v/>
      </c>
      <c r="D227" s="181">
        <f>IF(C227=1,IF($B$206=2,"Company (115BAA)","GIFT FIF (IFSC) Corp"),IF($B$206=1,"Individual / NRI (0%)","Individual LRS"))</f>
        <v/>
      </c>
      <c r="E227" s="181">
        <f>IF(B227&gt;$B$35,"SGX/ICE FFA blocks","BDRY (45-day iceberg)")</f>
        <v/>
      </c>
      <c r="F227" s="179">
        <f>IF(B227&gt;$B$35,$B$36,$B$35)</f>
        <v/>
      </c>
      <c r="G227" s="179">
        <f>MIN(B227,F227)</f>
        <v/>
      </c>
      <c r="H227" s="179">
        <f>B227-G227</f>
        <v/>
      </c>
      <c r="I227" s="179">
        <f>G227*$B$6+H227*$B$23*$B$7/12</f>
        <v/>
      </c>
      <c r="J227" s="179">
        <f>IF(C227=1,IF(B227&gt;=$B$8,$B$11,$B$12),0)</f>
        <v/>
      </c>
      <c r="K227" s="179">
        <f>IF(AND($B$24="On",C227=1,$B$206&lt;&gt;1,$B$10&gt;0),MIN($B$38,$B$27*MAX(I227-J227,0)),0)</f>
        <v/>
      </c>
      <c r="L227" s="179">
        <f>MAX(I227-J227-K227,0)</f>
        <v/>
      </c>
      <c r="M227" s="181">
        <f>IF($B$206=1,"0% (exempt)",IF(C227=1,"115BAA company",IF($B$7&gt;=24,"LTCG 112","STCG @ slab")))</f>
        <v/>
      </c>
      <c r="N227" s="182">
        <f>IF($B$206=1,0,IF(C227=1,$B$10,IF($B$7&gt;=24,$B$19*(1+MIN(VLOOKUP(L227,$A$42:$B$45,2,TRUE),$B$22))*(1+$B$21),$B$20*(1+VLOOKUP(L227,$A$42:$B$45,2,TRUE))*(1+$B$21))))</f>
        <v/>
      </c>
      <c r="O227" s="179">
        <f>L227*N227</f>
        <v/>
      </c>
      <c r="P227" s="179">
        <f>(1-$B$28)*K227</f>
        <v/>
      </c>
      <c r="Q227" s="174">
        <f>B227+I227-J227-O227-P227</f>
        <v/>
      </c>
      <c r="R227" s="202">
        <f>Q227*10000000/$B$9</f>
        <v/>
      </c>
      <c r="S227" s="181">
        <f>IF(AND(C227=0,E227="SGX/ICE FFA blocks"),"⚠ FFA derivatives need a corporate/IFSC wrapper — not via personal LRS","")</f>
        <v/>
      </c>
    </row>
  </sheetData>
  <mergeCells count="28">
    <mergeCell ref="A40:Q40"/>
    <mergeCell ref="A117:Q117"/>
    <mergeCell ref="A30:Q30"/>
    <mergeCell ref="A114:Q114"/>
    <mergeCell ref="A48:Q48"/>
    <mergeCell ref="A180:S180"/>
    <mergeCell ref="A107:Q107"/>
    <mergeCell ref="A1:Q1"/>
    <mergeCell ref="A119:Q119"/>
    <mergeCell ref="A110:Q110"/>
    <mergeCell ref="A155:S155"/>
    <mergeCell ref="A130:S130"/>
    <mergeCell ref="A128:Q128"/>
    <mergeCell ref="A108:Q108"/>
    <mergeCell ref="A80:Q80"/>
    <mergeCell ref="A118:Q118"/>
    <mergeCell ref="A56:Q56"/>
    <mergeCell ref="A120:Q120"/>
    <mergeCell ref="A113:Q113"/>
    <mergeCell ref="A2:Q2"/>
    <mergeCell ref="A116:Q116"/>
    <mergeCell ref="A205:S205"/>
    <mergeCell ref="A106:Q106"/>
    <mergeCell ref="A109:Q109"/>
    <mergeCell ref="A4:Q4"/>
    <mergeCell ref="A112:Q112"/>
    <mergeCell ref="A115:Q115"/>
    <mergeCell ref="A111:Q111"/>
  </mergeCells>
  <conditionalFormatting sqref="B58:E78">
    <cfRule type="expression" priority="1" dxfId="0">
      <formula>B58=MAX($B58:$E58)</formula>
    </cfRule>
  </conditionalFormatting>
  <dataValidations count="5">
    <dataValidation sqref="B13" showDropDown="0" showInputMessage="0" showErrorMessage="0" allowBlank="0" type="list">
      <formula1>"Current,Hot"</formula1>
    </dataValidation>
    <dataValidation sqref="B24" showDropDown="0" showInputMessage="0" showErrorMessage="0" allowBlank="0" type="list">
      <formula1>"On,Off"</formula1>
    </dataValidation>
    <dataValidation sqref="B7" showDropDown="0" showInputMessage="0" showErrorMessage="0" allowBlank="0" type="list" errorStyle="warning">
      <formula1>"12,18,24,30,36"</formula1>
    </dataValidation>
    <dataValidation sqref="B25" showDropDown="0" showInputMessage="0" showErrorMessage="0" allowBlank="0" type="list" errorStyle="warning">
      <formula1>"0,1,2,3,4,5,6"</formula1>
    </dataValidation>
    <dataValidation sqref="B29" showDropDown="0" showInputMessage="0" showErrorMessage="0" allowBlank="0" type="list">
      <formula1>$A$50:$A$53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8FA9"/>
    <outlinePr summaryBelow="1" summaryRight="1"/>
    <pageSetUpPr fitToPage="1"/>
  </sheetPr>
  <dimension ref="A1:K78"/>
  <sheetViews>
    <sheetView showGridLines="0" tabSelected="0" topLeftCell="A7" zoomScaleNormal="100" workbookViewId="0">
      <selection activeCell="E14" sqref="E14"/>
    </sheetView>
  </sheetViews>
  <sheetFormatPr baseColWidth="8" defaultColWidth="8.6640625" defaultRowHeight="14.4"/>
  <cols>
    <col width="14" customWidth="1" min="1" max="5"/>
    <col width="42" customWidth="1" min="6" max="6"/>
    <col width="14" customWidth="1" min="7" max="12"/>
  </cols>
  <sheetData>
    <row r="1" ht="30" customHeight="1">
      <c r="A1" s="142" t="inlineStr">
        <is>
          <t>REBUILT SCENARIOS  ·  BULL / BASE / BEAR</t>
        </is>
      </c>
    </row>
    <row r="2" ht="18" customHeight="1">
      <c r="A2" s="143" t="inlineStr">
        <is>
          <t>Per-trade tax, dynamic PDF-bucket margins, costs, slippage, ₹378 Cr ceiling. K'=K+min(dep·K/m,Nmax)·(move−roll−txn−slip)·(1−tax)+idle·yield·(1−tax).</t>
        </is>
      </c>
    </row>
    <row r="3" ht="14.25" customHeight="1">
      <c r="A3" s="30" t="inlineStr">
        <is>
          <t>Starting capital bases →</t>
        </is>
      </c>
      <c r="C3" s="31" t="n">
        <v>2000000</v>
      </c>
      <c r="D3" s="31" t="n">
        <v>7500000</v>
      </c>
      <c r="E3" s="32" t="n">
        <v>20000000</v>
      </c>
      <c r="F3" s="33" t="inlineStr">
        <is>
          <t>◄ Edit these to rescale every scenario &amp; the expense schedule. Cells: C3=Base1, D3=Base2, E3=Base3</t>
        </is>
      </c>
    </row>
    <row r="4" ht="25.5" customHeight="1">
      <c r="A4" s="2" t="inlineStr">
        <is>
          <t>Scenario</t>
        </is>
      </c>
      <c r="B4" s="2" t="inlineStr">
        <is>
          <t>Move %</t>
        </is>
      </c>
      <c r="C4" s="2" t="inlineStr">
        <is>
          <t>Margin %</t>
        </is>
      </c>
      <c r="D4" s="2" t="inlineStr">
        <is>
          <t>Calls/yr</t>
        </is>
      </c>
      <c r="E4" s="2" t="inlineStr">
        <is>
          <t>Gross ROC/call</t>
        </is>
      </c>
      <c r="F4" s="2" t="inlineStr">
        <is>
          <t>Rationale</t>
        </is>
      </c>
    </row>
    <row r="5" ht="39.75" customHeight="1">
      <c r="A5" s="34" t="inlineStr">
        <is>
          <t>BULL</t>
        </is>
      </c>
      <c r="B5" s="35" t="n">
        <v>0.3</v>
      </c>
      <c r="C5" s="36">
        <f>'NG Data'!D135</f>
        <v/>
      </c>
      <c r="D5" s="37" t="n">
        <v>2</v>
      </c>
      <c r="E5" s="35">
        <f>B5/C5</f>
        <v/>
      </c>
      <c r="F5" s="38" t="inlineStr">
        <is>
          <t>Catch 2 legs/yr, capture first 30% of a ≥30% swing; margin = PDF ≥30%-bucket avg (25.9%)</t>
        </is>
      </c>
    </row>
    <row r="6" ht="39.75" customHeight="1">
      <c r="A6" s="39" t="inlineStr">
        <is>
          <t>BASE</t>
        </is>
      </c>
      <c r="B6" s="40" t="n">
        <v>0.25</v>
      </c>
      <c r="C6" s="41">
        <f>'NG Data'!D134</f>
        <v/>
      </c>
      <c r="D6" s="42" t="n">
        <v>2</v>
      </c>
      <c r="E6" s="40">
        <f>B6/C6</f>
        <v/>
      </c>
      <c r="F6" s="43" t="inlineStr">
        <is>
          <t>TRUE BASE: 25% move (7-11×/yr, 2020-26) at the 25-30% bucket avg margin 27.3% — NOT 22%. (v9: move corrected 18%→25% to match this rationale and NG Risk and Sizing / NG GIFT Bridge.)</t>
        </is>
      </c>
    </row>
    <row r="7" ht="39.75" customHeight="1">
      <c r="A7" s="34" t="inlineStr">
        <is>
          <t>BEAR</t>
        </is>
      </c>
      <c r="B7" s="35" t="n">
        <v>0.15</v>
      </c>
      <c r="C7" s="36" t="n">
        <v>0.28</v>
      </c>
      <c r="D7" s="37" t="n">
        <v>1</v>
      </c>
      <c r="E7" s="35">
        <f>B7/C7</f>
        <v/>
      </c>
      <c r="F7" s="38" t="inlineStr">
        <is>
          <t>1 catch/yr of a 15% move in an elevated-margin regime (2022-style / Nov-26 fwd 29.7%)</t>
        </is>
      </c>
    </row>
    <row r="8"/>
    <row r="9" ht="19.5" customHeight="1">
      <c r="A9" s="144" t="inlineStr">
        <is>
          <t>Expense schedule (₹) — blue, scales with each starting-capital base above (C3/D3/E3)</t>
        </is>
      </c>
    </row>
    <row r="10" ht="25.5" customHeight="1">
      <c r="A10" s="2" t="inlineStr">
        <is>
          <t>Year</t>
        </is>
      </c>
      <c r="B10" s="2">
        <f>IF($C$3&gt;=10000000,"₹"&amp;TEXT($C$3/10000000,"0.##")&amp;"Cr","₹"&amp;TEXT($C$3/100000,"0.##")&amp;"L")&amp;" start"</f>
        <v/>
      </c>
      <c r="C10" s="2">
        <f>IF($D$3&gt;=10000000,"₹"&amp;TEXT($D$3/10000000,"0.##")&amp;"Cr","₹"&amp;TEXT($D$3/100000,"0.##")&amp;"L")&amp;" start"</f>
        <v/>
      </c>
      <c r="D10" s="2">
        <f>IF($E$3&gt;=10000000,"₹"&amp;TEXT($E$3/10000000,"0.##")&amp;"Cr","₹"&amp;TEXT($E$3/100000,"0.##")&amp;"L")&amp;" start"</f>
        <v/>
      </c>
    </row>
    <row r="11" ht="13.5" customHeight="1">
      <c r="A11" s="10" t="n">
        <v>1</v>
      </c>
      <c r="B11" s="44">
        <f>ROUND(0.01*$C$3,0)</f>
        <v/>
      </c>
      <c r="C11" s="44">
        <f>ROUND(0.01*$D$3,0)</f>
        <v/>
      </c>
      <c r="D11" s="45">
        <f>ROUND(0.01*$E$3,0)</f>
        <v/>
      </c>
    </row>
    <row r="12" ht="13.5" customHeight="1">
      <c r="A12" s="13" t="n">
        <v>2</v>
      </c>
      <c r="B12" s="46">
        <f>ROUND(0.01*$C$3,0)</f>
        <v/>
      </c>
      <c r="C12" s="46">
        <f>ROUND(0.01*$D$3,0)</f>
        <v/>
      </c>
      <c r="D12" s="47">
        <f>ROUND(0.01*$E$3,0)</f>
        <v/>
      </c>
    </row>
    <row r="13" ht="13.5" customHeight="1">
      <c r="A13" s="10" t="n">
        <v>3</v>
      </c>
      <c r="B13" s="44">
        <f>ROUND(0.025*$C$3,0)</f>
        <v/>
      </c>
      <c r="C13" s="45">
        <f>ROUND(0.025*$D$3,0)</f>
        <v/>
      </c>
      <c r="D13" s="45">
        <f>ROUND(0.025*$E$3,0)</f>
        <v/>
      </c>
    </row>
    <row r="14" ht="13.5" customHeight="1">
      <c r="A14" s="13" t="n">
        <v>4</v>
      </c>
      <c r="B14" s="46">
        <f>ROUND(0.025*$C$3,0)</f>
        <v/>
      </c>
      <c r="C14" s="47">
        <f>ROUND(0.025*$D$3,0)</f>
        <v/>
      </c>
      <c r="D14" s="47">
        <f>ROUND(0.025*$E$3,0)</f>
        <v/>
      </c>
    </row>
    <row r="15" ht="13.5" customHeight="1">
      <c r="A15" s="10" t="n">
        <v>5</v>
      </c>
      <c r="B15" s="45">
        <f>ROUND(0.05*$C$3,0)</f>
        <v/>
      </c>
      <c r="C15" s="45">
        <f>ROUND(0.05*$D$3,0)</f>
        <v/>
      </c>
      <c r="D15" s="45">
        <f>ROUND(0.05*$E$3,0)</f>
        <v/>
      </c>
    </row>
    <row r="16" ht="13.5" customHeight="1">
      <c r="A16" s="13" t="n">
        <v>6</v>
      </c>
      <c r="B16" s="47">
        <f>ROUND(0.05*$C$3,0)</f>
        <v/>
      </c>
      <c r="C16" s="47">
        <f>ROUND(0.05*$D$3,0)</f>
        <v/>
      </c>
      <c r="D16" s="47">
        <f>ROUND(0.05*$E$3,0)</f>
        <v/>
      </c>
    </row>
    <row r="17" ht="13.5" customHeight="1">
      <c r="A17" s="10" t="n">
        <v>7</v>
      </c>
      <c r="B17" s="45">
        <f>ROUND(0.05*$C$3,0)</f>
        <v/>
      </c>
      <c r="C17" s="45">
        <f>ROUND(0.05*$D$3,0)</f>
        <v/>
      </c>
      <c r="D17" s="45">
        <f>ROUND(0.05*$E$3,0)</f>
        <v/>
      </c>
    </row>
    <row r="18" ht="13.5" customHeight="1">
      <c r="A18" s="13" t="n">
        <v>8</v>
      </c>
      <c r="B18" s="47">
        <f>ROUND(0.1*$C$3,0)</f>
        <v/>
      </c>
      <c r="C18" s="47">
        <f>ROUND(0.1*$D$3,0)</f>
        <v/>
      </c>
      <c r="D18" s="47">
        <f>ROUND(0.1*$E$3,0)</f>
        <v/>
      </c>
    </row>
    <row r="19" ht="13.5" customHeight="1">
      <c r="A19" s="10" t="n">
        <v>9</v>
      </c>
      <c r="B19" s="45">
        <f>ROUND(0.1*$C$3,0)</f>
        <v/>
      </c>
      <c r="C19" s="45">
        <f>ROUND(0.1*$D$3,0)</f>
        <v/>
      </c>
      <c r="D19" s="45">
        <f>ROUND(0.1*$E$3,0)</f>
        <v/>
      </c>
    </row>
    <row r="20" ht="13.5" customHeight="1">
      <c r="A20" s="13" t="n">
        <v>10</v>
      </c>
      <c r="B20" s="47">
        <f>ROUND(0.1*$C$3,0)</f>
        <v/>
      </c>
      <c r="C20" s="47">
        <f>ROUND(0.1*$D$3,0)</f>
        <v/>
      </c>
      <c r="D20" s="47">
        <f>ROUND(0.1*$E$3,0)</f>
        <v/>
      </c>
    </row>
    <row r="21" ht="13.5" customHeight="1">
      <c r="A21" s="10" t="n">
        <v>11</v>
      </c>
      <c r="B21" s="45">
        <f>ROUND(0.1*$C$3,0)</f>
        <v/>
      </c>
      <c r="C21" s="45">
        <f>ROUND(0.1*$D$3,0)</f>
        <v/>
      </c>
      <c r="D21" s="45">
        <f>ROUND(0.1*$E$3,0)</f>
        <v/>
      </c>
    </row>
    <row r="22" ht="13.5" customHeight="1">
      <c r="A22" s="13" t="n">
        <v>12</v>
      </c>
      <c r="B22" s="47">
        <f>ROUND(0.1*$C$3,0)</f>
        <v/>
      </c>
      <c r="C22" s="47">
        <f>ROUND(0.1*$D$3,0)</f>
        <v/>
      </c>
      <c r="D22" s="47">
        <f>ROUND(0.1*$E$3,0)</f>
        <v/>
      </c>
    </row>
    <row r="23" ht="13.5" customHeight="1">
      <c r="A23" s="10" t="n">
        <v>13</v>
      </c>
      <c r="B23" s="45">
        <f>ROUND(0.1*$C$3,0)</f>
        <v/>
      </c>
      <c r="C23" s="45">
        <f>ROUND(0.1*$D$3,0)</f>
        <v/>
      </c>
      <c r="D23" s="45">
        <f>ROUND(0.1*$E$3,0)</f>
        <v/>
      </c>
    </row>
    <row r="24" ht="13.5" customHeight="1">
      <c r="A24" s="13" t="n">
        <v>14</v>
      </c>
      <c r="B24" s="47">
        <f>ROUND(0.1*$C$3,0)</f>
        <v/>
      </c>
      <c r="C24" s="47">
        <f>ROUND(0.1*$D$3,0)</f>
        <v/>
      </c>
      <c r="D24" s="47">
        <f>ROUND(0.1*$E$3,0)</f>
        <v/>
      </c>
    </row>
    <row r="25" ht="13.5" customHeight="1">
      <c r="A25" s="10" t="n">
        <v>15</v>
      </c>
      <c r="B25" s="45">
        <f>ROUND(0.1*$C$3,0)</f>
        <v/>
      </c>
      <c r="C25" s="45">
        <f>ROUND(0.1*$D$3,0)</f>
        <v/>
      </c>
      <c r="D25" s="45">
        <f>ROUND(0.1*$E$3,0)</f>
        <v/>
      </c>
    </row>
    <row r="26"/>
    <row r="27" ht="19.5" customHeight="1">
      <c r="A27" s="144" t="inlineStr">
        <is>
          <t>TRADE-BY-TRADE LEDGER — 15 years × calls; even call # = year end (expense applied)</t>
        </is>
      </c>
    </row>
    <row r="28" ht="25.5" customHeight="1">
      <c r="A28" s="2" t="inlineStr">
        <is>
          <t>Call #</t>
        </is>
      </c>
      <c r="B28" s="2" t="inlineStr">
        <is>
          <t>Year</t>
        </is>
      </c>
      <c r="C28" s="2">
        <f>"BULL "&amp;IF($C$3&gt;=10000000,"₹"&amp;TEXT($C$3/10000000,"0.##")&amp;"Cr","₹"&amp;TEXT($C$3/100000,"0.##")&amp;"L")</f>
        <v/>
      </c>
      <c r="D28" s="2">
        <f>"BULL "&amp;IF($D$3&gt;=10000000,"₹"&amp;TEXT($D$3/10000000,"0.##")&amp;"Cr","₹"&amp;TEXT($D$3/100000,"0.##")&amp;"L")</f>
        <v/>
      </c>
      <c r="E28" s="2">
        <f>"BULL "&amp;IF($E$3&gt;=10000000,"₹"&amp;TEXT($E$3/10000000,"0.##")&amp;"Cr","₹"&amp;TEXT($E$3/100000,"0.##")&amp;"L")</f>
        <v/>
      </c>
      <c r="F28" s="2">
        <f>"BASE "&amp;IF($C$3&gt;=10000000,"₹"&amp;TEXT($C$3/10000000,"0.##")&amp;"Cr","₹"&amp;TEXT($C$3/100000,"0.##")&amp;"L")</f>
        <v/>
      </c>
      <c r="G28" s="2">
        <f>"BASE "&amp;IF($D$3&gt;=10000000,"₹"&amp;TEXT($D$3/10000000,"0.##")&amp;"Cr","₹"&amp;TEXT($D$3/100000,"0.##")&amp;"L")</f>
        <v/>
      </c>
      <c r="H28" s="2">
        <f>"BASE "&amp;IF($E$3&gt;=10000000,"₹"&amp;TEXT($E$3/10000000,"0.##")&amp;"Cr","₹"&amp;TEXT($E$3/100000,"0.##")&amp;"L")</f>
        <v/>
      </c>
      <c r="I28" s="2">
        <f>"BEAR "&amp;IF($C$3&gt;=10000000,"₹"&amp;TEXT($C$3/10000000,"0.##")&amp;"Cr","₹"&amp;TEXT($C$3/100000,"0.##")&amp;"L")</f>
        <v/>
      </c>
      <c r="J28" s="2">
        <f>"BEAR "&amp;IF($D$3&gt;=10000000,"₹"&amp;TEXT($D$3/10000000,"0.##")&amp;"Cr","₹"&amp;TEXT($D$3/100000,"0.##")&amp;"L")</f>
        <v/>
      </c>
      <c r="K28" s="2">
        <f>"BEAR "&amp;IF($E$3&gt;=10000000,"₹"&amp;TEXT($E$3/10000000,"0.##")&amp;"Cr","₹"&amp;TEXT($E$3/100000,"0.##")&amp;"L")</f>
        <v/>
      </c>
    </row>
    <row r="29" ht="13.5" customHeight="1">
      <c r="A29" s="10" t="n">
        <v>1</v>
      </c>
      <c r="B29" s="48">
        <f>ROUNDUP(A29/2,0)</f>
        <v/>
      </c>
      <c r="C29" s="45">
        <f>$C$3+IF(OR($D$5=2,MOD(A29,2)=1),1,0)*(MIN('NG Inputs'!$B$12*$C$3/$C$5,'NG Inputs'!$B$9)*($B$5-'NG Inputs'!$B$5-'NG Inputs'!$B$6-2*'NG Inputs'!$B$7*SQRT(MIN('NG Inputs'!$B$12*$C$3/$C$5,'NG Inputs'!$B$9)/'NG Inputs'!$B$8))+MAX($C$3-MIN('NG Inputs'!$B$12*$C$3/$C$5,'NG Inputs'!$B$9)*$C$5,0)*'NG Inputs'!$B$10/$D$5)*(1-'NG Inputs'!$B$4)+IF($D$5=1,(1-IF(OR($D$5=2,MOD(A29,2)=1),1,0))*$C$3*'NG Inputs'!$B$10*(1-'NG Inputs'!$B$4)/2,0)-IF(MOD(A29,2)=0,INDEX($B$11:$D$25,B29,1)*(1-'NG Inputs'!$B$4),0)</f>
        <v/>
      </c>
      <c r="D29" s="49">
        <f>$D$3+IF(OR($D$5=2,MOD(A29,2)=1),1,0)*(MIN('NG Inputs'!$B$12*$D$3/$C$5,'NG Inputs'!$B$9)*($B$5-'NG Inputs'!$B$5-'NG Inputs'!$B$6-2*'NG Inputs'!$B$7*SQRT(MIN('NG Inputs'!$B$12*$D$3/$C$5,'NG Inputs'!$B$9)/'NG Inputs'!$B$8))+MAX($D$3-MIN('NG Inputs'!$B$12*$D$3/$C$5,'NG Inputs'!$B$9)*$C$5,0)*'NG Inputs'!$B$10/$D$5)*(1-'NG Inputs'!$B$4)+IF($D$5=1,(1-IF(OR($D$5=2,MOD(A29,2)=1),1,0))*$D$3*'NG Inputs'!$B$10*(1-'NG Inputs'!$B$4)/2,0)-IF(MOD(A29,2)=0,INDEX($B$11:$D$25,B29,2)*(1-'NG Inputs'!$B$4),0)</f>
        <v/>
      </c>
      <c r="E29" s="49">
        <f>$E$3+IF(OR($D$5=2,MOD(A29,2)=1),1,0)*(MIN('NG Inputs'!$B$12*$E$3/$C$5,'NG Inputs'!$B$9)*($B$5-'NG Inputs'!$B$5-'NG Inputs'!$B$6-2*'NG Inputs'!$B$7*SQRT(MIN('NG Inputs'!$B$12*$E$3/$C$5,'NG Inputs'!$B$9)/'NG Inputs'!$B$8))+MAX($E$3-MIN('NG Inputs'!$B$12*$E$3/$C$5,'NG Inputs'!$B$9)*$C$5,0)*'NG Inputs'!$B$10/$D$5)*(1-'NG Inputs'!$B$4)+IF($D$5=1,(1-IF(OR($D$5=2,MOD(A29,2)=1),1,0))*$E$3*'NG Inputs'!$B$10*(1-'NG Inputs'!$B$4)/2,0)-IF(MOD(A29,2)=0,INDEX($B$11:$D$25,B29,3)*(1-'NG Inputs'!$B$4),0)</f>
        <v/>
      </c>
      <c r="F29" s="45">
        <f>$C$3+IF(OR($D$6=2,MOD(A29,2)=1),1,0)*(MIN('NG Inputs'!$B$12*$C$3/$C$6,'NG Inputs'!$B$9)*($B$6-'NG Inputs'!$B$5-'NG Inputs'!$B$6-2*'NG Inputs'!$B$7*SQRT(MIN('NG Inputs'!$B$12*$C$3/$C$6,'NG Inputs'!$B$9)/'NG Inputs'!$B$8))+MAX($C$3-MIN('NG Inputs'!$B$12*$C$3/$C$6,'NG Inputs'!$B$9)*$C$6,0)*'NG Inputs'!$B$10/$D$6)*(1-'NG Inputs'!$B$4)+IF($D$6=1,(1-IF(OR($D$6=2,MOD(A29,2)=1),1,0))*$C$3*'NG Inputs'!$B$10*(1-'NG Inputs'!$B$4)/2,0)-IF(MOD(A29,2)=0,INDEX($B$11:$D$25,B29,1)*(1-'NG Inputs'!$B$4),0)</f>
        <v/>
      </c>
      <c r="G29" s="49">
        <f>$D$3+IF(OR($D$6=2,MOD(A29,2)=1),1,0)*(MIN('NG Inputs'!$B$12*$D$3/$C$6,'NG Inputs'!$B$9)*($B$6-'NG Inputs'!$B$5-'NG Inputs'!$B$6-2*'NG Inputs'!$B$7*SQRT(MIN('NG Inputs'!$B$12*$D$3/$C$6,'NG Inputs'!$B$9)/'NG Inputs'!$B$8))+MAX($D$3-MIN('NG Inputs'!$B$12*$D$3/$C$6,'NG Inputs'!$B$9)*$C$6,0)*'NG Inputs'!$B$10/$D$6)*(1-'NG Inputs'!$B$4)+IF($D$6=1,(1-IF(OR($D$6=2,MOD(A29,2)=1),1,0))*$D$3*'NG Inputs'!$B$10*(1-'NG Inputs'!$B$4)/2,0)-IF(MOD(A29,2)=0,INDEX($B$11:$D$25,B29,2)*(1-'NG Inputs'!$B$4),0)</f>
        <v/>
      </c>
      <c r="H29" s="49">
        <f>$E$3+IF(OR($D$6=2,MOD(A29,2)=1),1,0)*(MIN('NG Inputs'!$B$12*$E$3/$C$6,'NG Inputs'!$B$9)*($B$6-'NG Inputs'!$B$5-'NG Inputs'!$B$6-2*'NG Inputs'!$B$7*SQRT(MIN('NG Inputs'!$B$12*$E$3/$C$6,'NG Inputs'!$B$9)/'NG Inputs'!$B$8))+MAX($E$3-MIN('NG Inputs'!$B$12*$E$3/$C$6,'NG Inputs'!$B$9)*$C$6,0)*'NG Inputs'!$B$10/$D$6)*(1-'NG Inputs'!$B$4)+IF($D$6=1,(1-IF(OR($D$6=2,MOD(A29,2)=1),1,0))*$E$3*'NG Inputs'!$B$10*(1-'NG Inputs'!$B$4)/2,0)-IF(MOD(A29,2)=0,INDEX($B$11:$D$25,B29,3)*(1-'NG Inputs'!$B$4),0)</f>
        <v/>
      </c>
      <c r="I29" s="45">
        <f>$C$3+IF(OR($D$7=2,MOD(A29,2)=1),1,0)*(MIN('NG Inputs'!$B$12*$C$3/$C$7,'NG Inputs'!$B$9)*($B$7-'NG Inputs'!$B$5-'NG Inputs'!$B$6-2*'NG Inputs'!$B$7*SQRT(MIN('NG Inputs'!$B$12*$C$3/$C$7,'NG Inputs'!$B$9)/'NG Inputs'!$B$8))+MAX($C$3-MIN('NG Inputs'!$B$12*$C$3/$C$7,'NG Inputs'!$B$9)*$C$7,0)*'NG Inputs'!$B$10/$D$7)*(1-'NG Inputs'!$B$4)+IF($D$7=1,(1-IF(OR($D$7=2,MOD(A29,2)=1),1,0))*$C$3*'NG Inputs'!$B$10*(1-'NG Inputs'!$B$4)/2,0)-IF(MOD(A29,2)=0,INDEX($B$11:$D$25,B29,1)*(1-'NG Inputs'!$B$4),0)</f>
        <v/>
      </c>
      <c r="J29" s="49">
        <f>$D$3+IF(OR($D$7=2,MOD(A29,2)=1),1,0)*(MIN('NG Inputs'!$B$12*$D$3/$C$7,'NG Inputs'!$B$9)*($B$7-'NG Inputs'!$B$5-'NG Inputs'!$B$6-2*'NG Inputs'!$B$7*SQRT(MIN('NG Inputs'!$B$12*$D$3/$C$7,'NG Inputs'!$B$9)/'NG Inputs'!$B$8))+MAX($D$3-MIN('NG Inputs'!$B$12*$D$3/$C$7,'NG Inputs'!$B$9)*$C$7,0)*'NG Inputs'!$B$10/$D$7)*(1-'NG Inputs'!$B$4)+IF($D$7=1,(1-IF(OR($D$7=2,MOD(A29,2)=1),1,0))*$D$3*'NG Inputs'!$B$10*(1-'NG Inputs'!$B$4)/2,0)-IF(MOD(A29,2)=0,INDEX($B$11:$D$25,B29,2)*(1-'NG Inputs'!$B$4),0)</f>
        <v/>
      </c>
      <c r="K29" s="49">
        <f>$E$3+IF(OR($D$7=2,MOD(A29,2)=1),1,0)*(MIN('NG Inputs'!$B$12*$E$3/$C$7,'NG Inputs'!$B$9)*($B$7-'NG Inputs'!$B$5-'NG Inputs'!$B$6-2*'NG Inputs'!$B$7*SQRT(MIN('NG Inputs'!$B$12*$E$3/$C$7,'NG Inputs'!$B$9)/'NG Inputs'!$B$8))+MAX($E$3-MIN('NG Inputs'!$B$12*$E$3/$C$7,'NG Inputs'!$B$9)*$C$7,0)*'NG Inputs'!$B$10/$D$7)*(1-'NG Inputs'!$B$4)+IF($D$7=1,(1-IF(OR($D$7=2,MOD(A29,2)=1),1,0))*$E$3*'NG Inputs'!$B$10*(1-'NG Inputs'!$B$4)/2,0)-IF(MOD(A29,2)=0,INDEX($B$11:$D$25,B29,3)*(1-'NG Inputs'!$B$4),0)</f>
        <v/>
      </c>
    </row>
    <row r="30" ht="13.5" customHeight="1">
      <c r="A30" s="13" t="n">
        <v>2</v>
      </c>
      <c r="B30" s="50">
        <f>ROUNDUP(A30/2,0)</f>
        <v/>
      </c>
      <c r="C30" s="47">
        <f>C29+IF(OR($D$5=2,MOD(A30,2)=1),1,0)*(MIN('NG Inputs'!$B$12*C29/$C$5,'NG Inputs'!$B$9)*($B$5-'NG Inputs'!$B$5-'NG Inputs'!$B$6-2*'NG Inputs'!$B$7*SQRT(MIN('NG Inputs'!$B$12*C29/$C$5,'NG Inputs'!$B$9)/'NG Inputs'!$B$8))+MAX(C29-MIN('NG Inputs'!$B$12*C29/$C$5,'NG Inputs'!$B$9)*$C$5,0)*'NG Inputs'!$B$10/$D$5)*(1-'NG Inputs'!$B$4)+IF($D$5=1,(1-IF(OR($D$5=2,MOD(A30,2)=1),1,0))*C29*'NG Inputs'!$B$10*(1-'NG Inputs'!$B$4)/2,0)-IF(MOD(A30,2)=0,INDEX($B$11:$D$25,B30,1)*(1-'NG Inputs'!$B$4),0)</f>
        <v/>
      </c>
      <c r="D30" s="51">
        <f>D29+IF(OR($D$5=2,MOD(A30,2)=1),1,0)*(MIN('NG Inputs'!$B$12*D29/$C$5,'NG Inputs'!$B$9)*($B$5-'NG Inputs'!$B$5-'NG Inputs'!$B$6-2*'NG Inputs'!$B$7*SQRT(MIN('NG Inputs'!$B$12*D29/$C$5,'NG Inputs'!$B$9)/'NG Inputs'!$B$8))+MAX(D29-MIN('NG Inputs'!$B$12*D29/$C$5,'NG Inputs'!$B$9)*$C$5,0)*'NG Inputs'!$B$10/$D$5)*(1-'NG Inputs'!$B$4)+IF($D$5=1,(1-IF(OR($D$5=2,MOD(A30,2)=1),1,0))*D29*'NG Inputs'!$B$10*(1-'NG Inputs'!$B$4)/2,0)-IF(MOD(A30,2)=0,INDEX($B$11:$D$25,B30,2)*(1-'NG Inputs'!$B$4),0)</f>
        <v/>
      </c>
      <c r="E30" s="51">
        <f>E29+IF(OR($D$5=2,MOD(A30,2)=1),1,0)*(MIN('NG Inputs'!$B$12*E29/$C$5,'NG Inputs'!$B$9)*($B$5-'NG Inputs'!$B$5-'NG Inputs'!$B$6-2*'NG Inputs'!$B$7*SQRT(MIN('NG Inputs'!$B$12*E29/$C$5,'NG Inputs'!$B$9)/'NG Inputs'!$B$8))+MAX(E29-MIN('NG Inputs'!$B$12*E29/$C$5,'NG Inputs'!$B$9)*$C$5,0)*'NG Inputs'!$B$10/$D$5)*(1-'NG Inputs'!$B$4)+IF($D$5=1,(1-IF(OR($D$5=2,MOD(A30,2)=1),1,0))*E29*'NG Inputs'!$B$10*(1-'NG Inputs'!$B$4)/2,0)-IF(MOD(A30,2)=0,INDEX($B$11:$D$25,B30,3)*(1-'NG Inputs'!$B$4),0)</f>
        <v/>
      </c>
      <c r="F30" s="47">
        <f>F29+IF(OR($D$6=2,MOD(A30,2)=1),1,0)*(MIN('NG Inputs'!$B$12*F29/$C$6,'NG Inputs'!$B$9)*($B$6-'NG Inputs'!$B$5-'NG Inputs'!$B$6-2*'NG Inputs'!$B$7*SQRT(MIN('NG Inputs'!$B$12*F29/$C$6,'NG Inputs'!$B$9)/'NG Inputs'!$B$8))+MAX(F29-MIN('NG Inputs'!$B$12*F29/$C$6,'NG Inputs'!$B$9)*$C$6,0)*'NG Inputs'!$B$10/$D$6)*(1-'NG Inputs'!$B$4)+IF($D$6=1,(1-IF(OR($D$6=2,MOD(A30,2)=1),1,0))*F29*'NG Inputs'!$B$10*(1-'NG Inputs'!$B$4)/2,0)-IF(MOD(A30,2)=0,INDEX($B$11:$D$25,B30,1)*(1-'NG Inputs'!$B$4),0)</f>
        <v/>
      </c>
      <c r="G30" s="51">
        <f>G29+IF(OR($D$6=2,MOD(A30,2)=1),1,0)*(MIN('NG Inputs'!$B$12*G29/$C$6,'NG Inputs'!$B$9)*($B$6-'NG Inputs'!$B$5-'NG Inputs'!$B$6-2*'NG Inputs'!$B$7*SQRT(MIN('NG Inputs'!$B$12*G29/$C$6,'NG Inputs'!$B$9)/'NG Inputs'!$B$8))+MAX(G29-MIN('NG Inputs'!$B$12*G29/$C$6,'NG Inputs'!$B$9)*$C$6,0)*'NG Inputs'!$B$10/$D$6)*(1-'NG Inputs'!$B$4)+IF($D$6=1,(1-IF(OR($D$6=2,MOD(A30,2)=1),1,0))*G29*'NG Inputs'!$B$10*(1-'NG Inputs'!$B$4)/2,0)-IF(MOD(A30,2)=0,INDEX($B$11:$D$25,B30,2)*(1-'NG Inputs'!$B$4),0)</f>
        <v/>
      </c>
      <c r="H30" s="51">
        <f>H29+IF(OR($D$6=2,MOD(A30,2)=1),1,0)*(MIN('NG Inputs'!$B$12*H29/$C$6,'NG Inputs'!$B$9)*($B$6-'NG Inputs'!$B$5-'NG Inputs'!$B$6-2*'NG Inputs'!$B$7*SQRT(MIN('NG Inputs'!$B$12*H29/$C$6,'NG Inputs'!$B$9)/'NG Inputs'!$B$8))+MAX(H29-MIN('NG Inputs'!$B$12*H29/$C$6,'NG Inputs'!$B$9)*$C$6,0)*'NG Inputs'!$B$10/$D$6)*(1-'NG Inputs'!$B$4)+IF($D$6=1,(1-IF(OR($D$6=2,MOD(A30,2)=1),1,0))*H29*'NG Inputs'!$B$10*(1-'NG Inputs'!$B$4)/2,0)-IF(MOD(A30,2)=0,INDEX($B$11:$D$25,B30,3)*(1-'NG Inputs'!$B$4),0)</f>
        <v/>
      </c>
      <c r="I30" s="47">
        <f>I29+IF(OR($D$7=2,MOD(A30,2)=1),1,0)*(MIN('NG Inputs'!$B$12*I29/$C$7,'NG Inputs'!$B$9)*($B$7-'NG Inputs'!$B$5-'NG Inputs'!$B$6-2*'NG Inputs'!$B$7*SQRT(MIN('NG Inputs'!$B$12*I29/$C$7,'NG Inputs'!$B$9)/'NG Inputs'!$B$8))+MAX(I29-MIN('NG Inputs'!$B$12*I29/$C$7,'NG Inputs'!$B$9)*$C$7,0)*'NG Inputs'!$B$10/$D$7)*(1-'NG Inputs'!$B$4)+IF($D$7=1,(1-IF(OR($D$7=2,MOD(A30,2)=1),1,0))*I29*'NG Inputs'!$B$10*(1-'NG Inputs'!$B$4)/2,0)-IF(MOD(A30,2)=0,INDEX($B$11:$D$25,B30,1)*(1-'NG Inputs'!$B$4),0)</f>
        <v/>
      </c>
      <c r="J30" s="51">
        <f>J29+IF(OR($D$7=2,MOD(A30,2)=1),1,0)*(MIN('NG Inputs'!$B$12*J29/$C$7,'NG Inputs'!$B$9)*($B$7-'NG Inputs'!$B$5-'NG Inputs'!$B$6-2*'NG Inputs'!$B$7*SQRT(MIN('NG Inputs'!$B$12*J29/$C$7,'NG Inputs'!$B$9)/'NG Inputs'!$B$8))+MAX(J29-MIN('NG Inputs'!$B$12*J29/$C$7,'NG Inputs'!$B$9)*$C$7,0)*'NG Inputs'!$B$10/$D$7)*(1-'NG Inputs'!$B$4)+IF($D$7=1,(1-IF(OR($D$7=2,MOD(A30,2)=1),1,0))*J29*'NG Inputs'!$B$10*(1-'NG Inputs'!$B$4)/2,0)-IF(MOD(A30,2)=0,INDEX($B$11:$D$25,B30,2)*(1-'NG Inputs'!$B$4),0)</f>
        <v/>
      </c>
      <c r="K30" s="51">
        <f>K29+IF(OR($D$7=2,MOD(A30,2)=1),1,0)*(MIN('NG Inputs'!$B$12*K29/$C$7,'NG Inputs'!$B$9)*($B$7-'NG Inputs'!$B$5-'NG Inputs'!$B$6-2*'NG Inputs'!$B$7*SQRT(MIN('NG Inputs'!$B$12*K29/$C$7,'NG Inputs'!$B$9)/'NG Inputs'!$B$8))+MAX(K29-MIN('NG Inputs'!$B$12*K29/$C$7,'NG Inputs'!$B$9)*$C$7,0)*'NG Inputs'!$B$10/$D$7)*(1-'NG Inputs'!$B$4)+IF($D$7=1,(1-IF(OR($D$7=2,MOD(A30,2)=1),1,0))*K29*'NG Inputs'!$B$10*(1-'NG Inputs'!$B$4)/2,0)-IF(MOD(A30,2)=0,INDEX($B$11:$D$25,B30,3)*(1-'NG Inputs'!$B$4),0)</f>
        <v/>
      </c>
    </row>
    <row r="31" ht="13.5" customHeight="1">
      <c r="A31" s="10" t="n">
        <v>3</v>
      </c>
      <c r="B31" s="48">
        <f>ROUNDUP(A31/2,0)</f>
        <v/>
      </c>
      <c r="C31" s="49">
        <f>C30+IF(OR($D$5=2,MOD(A31,2)=1),1,0)*(MIN('NG Inputs'!$B$12*C30/$C$5,'NG Inputs'!$B$9)*($B$5-'NG Inputs'!$B$5-'NG Inputs'!$B$6-2*'NG Inputs'!$B$7*SQRT(MIN('NG Inputs'!$B$12*C30/$C$5,'NG Inputs'!$B$9)/'NG Inputs'!$B$8))+MAX(C30-MIN('NG Inputs'!$B$12*C30/$C$5,'NG Inputs'!$B$9)*$C$5,0)*'NG Inputs'!$B$10/$D$5)*(1-'NG Inputs'!$B$4)+IF($D$5=1,(1-IF(OR($D$5=2,MOD(A31,2)=1),1,0))*C30*'NG Inputs'!$B$10*(1-'NG Inputs'!$B$4)/2,0)-IF(MOD(A31,2)=0,INDEX($B$11:$D$25,B31,1)*(1-'NG Inputs'!$B$4),0)</f>
        <v/>
      </c>
      <c r="D31" s="49">
        <f>D30+IF(OR($D$5=2,MOD(A31,2)=1),1,0)*(MIN('NG Inputs'!$B$12*D30/$C$5,'NG Inputs'!$B$9)*($B$5-'NG Inputs'!$B$5-'NG Inputs'!$B$6-2*'NG Inputs'!$B$7*SQRT(MIN('NG Inputs'!$B$12*D30/$C$5,'NG Inputs'!$B$9)/'NG Inputs'!$B$8))+MAX(D30-MIN('NG Inputs'!$B$12*D30/$C$5,'NG Inputs'!$B$9)*$C$5,0)*'NG Inputs'!$B$10/$D$5)*(1-'NG Inputs'!$B$4)+IF($D$5=1,(1-IF(OR($D$5=2,MOD(A31,2)=1),1,0))*D30*'NG Inputs'!$B$10*(1-'NG Inputs'!$B$4)/2,0)-IF(MOD(A31,2)=0,INDEX($B$11:$D$25,B31,2)*(1-'NG Inputs'!$B$4),0)</f>
        <v/>
      </c>
      <c r="E31" s="49">
        <f>E30+IF(OR($D$5=2,MOD(A31,2)=1),1,0)*(MIN('NG Inputs'!$B$12*E30/$C$5,'NG Inputs'!$B$9)*($B$5-'NG Inputs'!$B$5-'NG Inputs'!$B$6-2*'NG Inputs'!$B$7*SQRT(MIN('NG Inputs'!$B$12*E30/$C$5,'NG Inputs'!$B$9)/'NG Inputs'!$B$8))+MAX(E30-MIN('NG Inputs'!$B$12*E30/$C$5,'NG Inputs'!$B$9)*$C$5,0)*'NG Inputs'!$B$10/$D$5)*(1-'NG Inputs'!$B$4)+IF($D$5=1,(1-IF(OR($D$5=2,MOD(A31,2)=1),1,0))*E30*'NG Inputs'!$B$10*(1-'NG Inputs'!$B$4)/2,0)-IF(MOD(A31,2)=0,INDEX($B$11:$D$25,B31,3)*(1-'NG Inputs'!$B$4),0)</f>
        <v/>
      </c>
      <c r="F31" s="45">
        <f>F30+IF(OR($D$6=2,MOD(A31,2)=1),1,0)*(MIN('NG Inputs'!$B$12*F30/$C$6,'NG Inputs'!$B$9)*($B$6-'NG Inputs'!$B$5-'NG Inputs'!$B$6-2*'NG Inputs'!$B$7*SQRT(MIN('NG Inputs'!$B$12*F30/$C$6,'NG Inputs'!$B$9)/'NG Inputs'!$B$8))+MAX(F30-MIN('NG Inputs'!$B$12*F30/$C$6,'NG Inputs'!$B$9)*$C$6,0)*'NG Inputs'!$B$10/$D$6)*(1-'NG Inputs'!$B$4)+IF($D$6=1,(1-IF(OR($D$6=2,MOD(A31,2)=1),1,0))*F30*'NG Inputs'!$B$10*(1-'NG Inputs'!$B$4)/2,0)-IF(MOD(A31,2)=0,INDEX($B$11:$D$25,B31,1)*(1-'NG Inputs'!$B$4),0)</f>
        <v/>
      </c>
      <c r="G31" s="49">
        <f>G30+IF(OR($D$6=2,MOD(A31,2)=1),1,0)*(MIN('NG Inputs'!$B$12*G30/$C$6,'NG Inputs'!$B$9)*($B$6-'NG Inputs'!$B$5-'NG Inputs'!$B$6-2*'NG Inputs'!$B$7*SQRT(MIN('NG Inputs'!$B$12*G30/$C$6,'NG Inputs'!$B$9)/'NG Inputs'!$B$8))+MAX(G30-MIN('NG Inputs'!$B$12*G30/$C$6,'NG Inputs'!$B$9)*$C$6,0)*'NG Inputs'!$B$10/$D$6)*(1-'NG Inputs'!$B$4)+IF($D$6=1,(1-IF(OR($D$6=2,MOD(A31,2)=1),1,0))*G30*'NG Inputs'!$B$10*(1-'NG Inputs'!$B$4)/2,0)-IF(MOD(A31,2)=0,INDEX($B$11:$D$25,B31,2)*(1-'NG Inputs'!$B$4),0)</f>
        <v/>
      </c>
      <c r="H31" s="49">
        <f>H30+IF(OR($D$6=2,MOD(A31,2)=1),1,0)*(MIN('NG Inputs'!$B$12*H30/$C$6,'NG Inputs'!$B$9)*($B$6-'NG Inputs'!$B$5-'NG Inputs'!$B$6-2*'NG Inputs'!$B$7*SQRT(MIN('NG Inputs'!$B$12*H30/$C$6,'NG Inputs'!$B$9)/'NG Inputs'!$B$8))+MAX(H30-MIN('NG Inputs'!$B$12*H30/$C$6,'NG Inputs'!$B$9)*$C$6,0)*'NG Inputs'!$B$10/$D$6)*(1-'NG Inputs'!$B$4)+IF($D$6=1,(1-IF(OR($D$6=2,MOD(A31,2)=1),1,0))*H30*'NG Inputs'!$B$10*(1-'NG Inputs'!$B$4)/2,0)-IF(MOD(A31,2)=0,INDEX($B$11:$D$25,B31,3)*(1-'NG Inputs'!$B$4),0)</f>
        <v/>
      </c>
      <c r="I31" s="45">
        <f>I30+IF(OR($D$7=2,MOD(A31,2)=1),1,0)*(MIN('NG Inputs'!$B$12*I30/$C$7,'NG Inputs'!$B$9)*($B$7-'NG Inputs'!$B$5-'NG Inputs'!$B$6-2*'NG Inputs'!$B$7*SQRT(MIN('NG Inputs'!$B$12*I30/$C$7,'NG Inputs'!$B$9)/'NG Inputs'!$B$8))+MAX(I30-MIN('NG Inputs'!$B$12*I30/$C$7,'NG Inputs'!$B$9)*$C$7,0)*'NG Inputs'!$B$10/$D$7)*(1-'NG Inputs'!$B$4)+IF($D$7=1,(1-IF(OR($D$7=2,MOD(A31,2)=1),1,0))*I30*'NG Inputs'!$B$10*(1-'NG Inputs'!$B$4)/2,0)-IF(MOD(A31,2)=0,INDEX($B$11:$D$25,B31,1)*(1-'NG Inputs'!$B$4),0)</f>
        <v/>
      </c>
      <c r="J31" s="49">
        <f>J30+IF(OR($D$7=2,MOD(A31,2)=1),1,0)*(MIN('NG Inputs'!$B$12*J30/$C$7,'NG Inputs'!$B$9)*($B$7-'NG Inputs'!$B$5-'NG Inputs'!$B$6-2*'NG Inputs'!$B$7*SQRT(MIN('NG Inputs'!$B$12*J30/$C$7,'NG Inputs'!$B$9)/'NG Inputs'!$B$8))+MAX(J30-MIN('NG Inputs'!$B$12*J30/$C$7,'NG Inputs'!$B$9)*$C$7,0)*'NG Inputs'!$B$10/$D$7)*(1-'NG Inputs'!$B$4)+IF($D$7=1,(1-IF(OR($D$7=2,MOD(A31,2)=1),1,0))*J30*'NG Inputs'!$B$10*(1-'NG Inputs'!$B$4)/2,0)-IF(MOD(A31,2)=0,INDEX($B$11:$D$25,B31,2)*(1-'NG Inputs'!$B$4),0)</f>
        <v/>
      </c>
      <c r="K31" s="49">
        <f>K30+IF(OR($D$7=2,MOD(A31,2)=1),1,0)*(MIN('NG Inputs'!$B$12*K30/$C$7,'NG Inputs'!$B$9)*($B$7-'NG Inputs'!$B$5-'NG Inputs'!$B$6-2*'NG Inputs'!$B$7*SQRT(MIN('NG Inputs'!$B$12*K30/$C$7,'NG Inputs'!$B$9)/'NG Inputs'!$B$8))+MAX(K30-MIN('NG Inputs'!$B$12*K30/$C$7,'NG Inputs'!$B$9)*$C$7,0)*'NG Inputs'!$B$10/$D$7)*(1-'NG Inputs'!$B$4)+IF($D$7=1,(1-IF(OR($D$7=2,MOD(A31,2)=1),1,0))*K30*'NG Inputs'!$B$10*(1-'NG Inputs'!$B$4)/2,0)-IF(MOD(A31,2)=0,INDEX($B$11:$D$25,B31,3)*(1-'NG Inputs'!$B$4),0)</f>
        <v/>
      </c>
    </row>
    <row r="32" ht="13.5" customHeight="1">
      <c r="A32" s="13" t="n">
        <v>4</v>
      </c>
      <c r="B32" s="50">
        <f>ROUNDUP(A32/2,0)</f>
        <v/>
      </c>
      <c r="C32" s="51">
        <f>C31+IF(OR($D$5=2,MOD(A32,2)=1),1,0)*(MIN('NG Inputs'!$B$12*C31/$C$5,'NG Inputs'!$B$9)*($B$5-'NG Inputs'!$B$5-'NG Inputs'!$B$6-2*'NG Inputs'!$B$7*SQRT(MIN('NG Inputs'!$B$12*C31/$C$5,'NG Inputs'!$B$9)/'NG Inputs'!$B$8))+MAX(C31-MIN('NG Inputs'!$B$12*C31/$C$5,'NG Inputs'!$B$9)*$C$5,0)*'NG Inputs'!$B$10/$D$5)*(1-'NG Inputs'!$B$4)+IF($D$5=1,(1-IF(OR($D$5=2,MOD(A32,2)=1),1,0))*C31*'NG Inputs'!$B$10*(1-'NG Inputs'!$B$4)/2,0)-IF(MOD(A32,2)=0,INDEX($B$11:$D$25,B32,1)*(1-'NG Inputs'!$B$4),0)</f>
        <v/>
      </c>
      <c r="D32" s="51">
        <f>D31+IF(OR($D$5=2,MOD(A32,2)=1),1,0)*(MIN('NG Inputs'!$B$12*D31/$C$5,'NG Inputs'!$B$9)*($B$5-'NG Inputs'!$B$5-'NG Inputs'!$B$6-2*'NG Inputs'!$B$7*SQRT(MIN('NG Inputs'!$B$12*D31/$C$5,'NG Inputs'!$B$9)/'NG Inputs'!$B$8))+MAX(D31-MIN('NG Inputs'!$B$12*D31/$C$5,'NG Inputs'!$B$9)*$C$5,0)*'NG Inputs'!$B$10/$D$5)*(1-'NG Inputs'!$B$4)+IF($D$5=1,(1-IF(OR($D$5=2,MOD(A32,2)=1),1,0))*D31*'NG Inputs'!$B$10*(1-'NG Inputs'!$B$4)/2,0)-IF(MOD(A32,2)=0,INDEX($B$11:$D$25,B32,2)*(1-'NG Inputs'!$B$4),0)</f>
        <v/>
      </c>
      <c r="E32" s="51">
        <f>E31+IF(OR($D$5=2,MOD(A32,2)=1),1,0)*(MIN('NG Inputs'!$B$12*E31/$C$5,'NG Inputs'!$B$9)*($B$5-'NG Inputs'!$B$5-'NG Inputs'!$B$6-2*'NG Inputs'!$B$7*SQRT(MIN('NG Inputs'!$B$12*E31/$C$5,'NG Inputs'!$B$9)/'NG Inputs'!$B$8))+MAX(E31-MIN('NG Inputs'!$B$12*E31/$C$5,'NG Inputs'!$B$9)*$C$5,0)*'NG Inputs'!$B$10/$D$5)*(1-'NG Inputs'!$B$4)+IF($D$5=1,(1-IF(OR($D$5=2,MOD(A32,2)=1),1,0))*E31*'NG Inputs'!$B$10*(1-'NG Inputs'!$B$4)/2,0)-IF(MOD(A32,2)=0,INDEX($B$11:$D$25,B32,3)*(1-'NG Inputs'!$B$4),0)</f>
        <v/>
      </c>
      <c r="F32" s="51">
        <f>F31+IF(OR($D$6=2,MOD(A32,2)=1),1,0)*(MIN('NG Inputs'!$B$12*F31/$C$6,'NG Inputs'!$B$9)*($B$6-'NG Inputs'!$B$5-'NG Inputs'!$B$6-2*'NG Inputs'!$B$7*SQRT(MIN('NG Inputs'!$B$12*F31/$C$6,'NG Inputs'!$B$9)/'NG Inputs'!$B$8))+MAX(F31-MIN('NG Inputs'!$B$12*F31/$C$6,'NG Inputs'!$B$9)*$C$6,0)*'NG Inputs'!$B$10/$D$6)*(1-'NG Inputs'!$B$4)+IF($D$6=1,(1-IF(OR($D$6=2,MOD(A32,2)=1),1,0))*F31*'NG Inputs'!$B$10*(1-'NG Inputs'!$B$4)/2,0)-IF(MOD(A32,2)=0,INDEX($B$11:$D$25,B32,1)*(1-'NG Inputs'!$B$4),0)</f>
        <v/>
      </c>
      <c r="G32" s="51">
        <f>G31+IF(OR($D$6=2,MOD(A32,2)=1),1,0)*(MIN('NG Inputs'!$B$12*G31/$C$6,'NG Inputs'!$B$9)*($B$6-'NG Inputs'!$B$5-'NG Inputs'!$B$6-2*'NG Inputs'!$B$7*SQRT(MIN('NG Inputs'!$B$12*G31/$C$6,'NG Inputs'!$B$9)/'NG Inputs'!$B$8))+MAX(G31-MIN('NG Inputs'!$B$12*G31/$C$6,'NG Inputs'!$B$9)*$C$6,0)*'NG Inputs'!$B$10/$D$6)*(1-'NG Inputs'!$B$4)+IF($D$6=1,(1-IF(OR($D$6=2,MOD(A32,2)=1),1,0))*G31*'NG Inputs'!$B$10*(1-'NG Inputs'!$B$4)/2,0)-IF(MOD(A32,2)=0,INDEX($B$11:$D$25,B32,2)*(1-'NG Inputs'!$B$4),0)</f>
        <v/>
      </c>
      <c r="H32" s="51">
        <f>H31+IF(OR($D$6=2,MOD(A32,2)=1),1,0)*(MIN('NG Inputs'!$B$12*H31/$C$6,'NG Inputs'!$B$9)*($B$6-'NG Inputs'!$B$5-'NG Inputs'!$B$6-2*'NG Inputs'!$B$7*SQRT(MIN('NG Inputs'!$B$12*H31/$C$6,'NG Inputs'!$B$9)/'NG Inputs'!$B$8))+MAX(H31-MIN('NG Inputs'!$B$12*H31/$C$6,'NG Inputs'!$B$9)*$C$6,0)*'NG Inputs'!$B$10/$D$6)*(1-'NG Inputs'!$B$4)+IF($D$6=1,(1-IF(OR($D$6=2,MOD(A32,2)=1),1,0))*H31*'NG Inputs'!$B$10*(1-'NG Inputs'!$B$4)/2,0)-IF(MOD(A32,2)=0,INDEX($B$11:$D$25,B32,3)*(1-'NG Inputs'!$B$4),0)</f>
        <v/>
      </c>
      <c r="I32" s="47">
        <f>I31+IF(OR($D$7=2,MOD(A32,2)=1),1,0)*(MIN('NG Inputs'!$B$12*I31/$C$7,'NG Inputs'!$B$9)*($B$7-'NG Inputs'!$B$5-'NG Inputs'!$B$6-2*'NG Inputs'!$B$7*SQRT(MIN('NG Inputs'!$B$12*I31/$C$7,'NG Inputs'!$B$9)/'NG Inputs'!$B$8))+MAX(I31-MIN('NG Inputs'!$B$12*I31/$C$7,'NG Inputs'!$B$9)*$C$7,0)*'NG Inputs'!$B$10/$D$7)*(1-'NG Inputs'!$B$4)+IF($D$7=1,(1-IF(OR($D$7=2,MOD(A32,2)=1),1,0))*I31*'NG Inputs'!$B$10*(1-'NG Inputs'!$B$4)/2,0)-IF(MOD(A32,2)=0,INDEX($B$11:$D$25,B32,1)*(1-'NG Inputs'!$B$4),0)</f>
        <v/>
      </c>
      <c r="J32" s="51">
        <f>J31+IF(OR($D$7=2,MOD(A32,2)=1),1,0)*(MIN('NG Inputs'!$B$12*J31/$C$7,'NG Inputs'!$B$9)*($B$7-'NG Inputs'!$B$5-'NG Inputs'!$B$6-2*'NG Inputs'!$B$7*SQRT(MIN('NG Inputs'!$B$12*J31/$C$7,'NG Inputs'!$B$9)/'NG Inputs'!$B$8))+MAX(J31-MIN('NG Inputs'!$B$12*J31/$C$7,'NG Inputs'!$B$9)*$C$7,0)*'NG Inputs'!$B$10/$D$7)*(1-'NG Inputs'!$B$4)+IF($D$7=1,(1-IF(OR($D$7=2,MOD(A32,2)=1),1,0))*J31*'NG Inputs'!$B$10*(1-'NG Inputs'!$B$4)/2,0)-IF(MOD(A32,2)=0,INDEX($B$11:$D$25,B32,2)*(1-'NG Inputs'!$B$4),0)</f>
        <v/>
      </c>
      <c r="K32" s="51">
        <f>K31+IF(OR($D$7=2,MOD(A32,2)=1),1,0)*(MIN('NG Inputs'!$B$12*K31/$C$7,'NG Inputs'!$B$9)*($B$7-'NG Inputs'!$B$5-'NG Inputs'!$B$6-2*'NG Inputs'!$B$7*SQRT(MIN('NG Inputs'!$B$12*K31/$C$7,'NG Inputs'!$B$9)/'NG Inputs'!$B$8))+MAX(K31-MIN('NG Inputs'!$B$12*K31/$C$7,'NG Inputs'!$B$9)*$C$7,0)*'NG Inputs'!$B$10/$D$7)*(1-'NG Inputs'!$B$4)+IF($D$7=1,(1-IF(OR($D$7=2,MOD(A32,2)=1),1,0))*K31*'NG Inputs'!$B$10*(1-'NG Inputs'!$B$4)/2,0)-IF(MOD(A32,2)=0,INDEX($B$11:$D$25,B32,3)*(1-'NG Inputs'!$B$4),0)</f>
        <v/>
      </c>
    </row>
    <row r="33" ht="13.5" customHeight="1">
      <c r="A33" s="10" t="n">
        <v>5</v>
      </c>
      <c r="B33" s="48">
        <f>ROUNDUP(A33/2,0)</f>
        <v/>
      </c>
      <c r="C33" s="49">
        <f>C32+IF(OR($D$5=2,MOD(A33,2)=1),1,0)*(MIN('NG Inputs'!$B$12*C32/$C$5,'NG Inputs'!$B$9)*($B$5-'NG Inputs'!$B$5-'NG Inputs'!$B$6-2*'NG Inputs'!$B$7*SQRT(MIN('NG Inputs'!$B$12*C32/$C$5,'NG Inputs'!$B$9)/'NG Inputs'!$B$8))+MAX(C32-MIN('NG Inputs'!$B$12*C32/$C$5,'NG Inputs'!$B$9)*$C$5,0)*'NG Inputs'!$B$10/$D$5)*(1-'NG Inputs'!$B$4)+IF($D$5=1,(1-IF(OR($D$5=2,MOD(A33,2)=1),1,0))*C32*'NG Inputs'!$B$10*(1-'NG Inputs'!$B$4)/2,0)-IF(MOD(A33,2)=0,INDEX($B$11:$D$25,B33,1)*(1-'NG Inputs'!$B$4),0)</f>
        <v/>
      </c>
      <c r="D33" s="49">
        <f>D32+IF(OR($D$5=2,MOD(A33,2)=1),1,0)*(MIN('NG Inputs'!$B$12*D32/$C$5,'NG Inputs'!$B$9)*($B$5-'NG Inputs'!$B$5-'NG Inputs'!$B$6-2*'NG Inputs'!$B$7*SQRT(MIN('NG Inputs'!$B$12*D32/$C$5,'NG Inputs'!$B$9)/'NG Inputs'!$B$8))+MAX(D32-MIN('NG Inputs'!$B$12*D32/$C$5,'NG Inputs'!$B$9)*$C$5,0)*'NG Inputs'!$B$10/$D$5)*(1-'NG Inputs'!$B$4)+IF($D$5=1,(1-IF(OR($D$5=2,MOD(A33,2)=1),1,0))*D32*'NG Inputs'!$B$10*(1-'NG Inputs'!$B$4)/2,0)-IF(MOD(A33,2)=0,INDEX($B$11:$D$25,B33,2)*(1-'NG Inputs'!$B$4),0)</f>
        <v/>
      </c>
      <c r="E33" s="49">
        <f>E32+IF(OR($D$5=2,MOD(A33,2)=1),1,0)*(MIN('NG Inputs'!$B$12*E32/$C$5,'NG Inputs'!$B$9)*($B$5-'NG Inputs'!$B$5-'NG Inputs'!$B$6-2*'NG Inputs'!$B$7*SQRT(MIN('NG Inputs'!$B$12*E32/$C$5,'NG Inputs'!$B$9)/'NG Inputs'!$B$8))+MAX(E32-MIN('NG Inputs'!$B$12*E32/$C$5,'NG Inputs'!$B$9)*$C$5,0)*'NG Inputs'!$B$10/$D$5)*(1-'NG Inputs'!$B$4)+IF($D$5=1,(1-IF(OR($D$5=2,MOD(A33,2)=1),1,0))*E32*'NG Inputs'!$B$10*(1-'NG Inputs'!$B$4)/2,0)-IF(MOD(A33,2)=0,INDEX($B$11:$D$25,B33,3)*(1-'NG Inputs'!$B$4),0)</f>
        <v/>
      </c>
      <c r="F33" s="49">
        <f>F32+IF(OR($D$6=2,MOD(A33,2)=1),1,0)*(MIN('NG Inputs'!$B$12*F32/$C$6,'NG Inputs'!$B$9)*($B$6-'NG Inputs'!$B$5-'NG Inputs'!$B$6-2*'NG Inputs'!$B$7*SQRT(MIN('NG Inputs'!$B$12*F32/$C$6,'NG Inputs'!$B$9)/'NG Inputs'!$B$8))+MAX(F32-MIN('NG Inputs'!$B$12*F32/$C$6,'NG Inputs'!$B$9)*$C$6,0)*'NG Inputs'!$B$10/$D$6)*(1-'NG Inputs'!$B$4)+IF($D$6=1,(1-IF(OR($D$6=2,MOD(A33,2)=1),1,0))*F32*'NG Inputs'!$B$10*(1-'NG Inputs'!$B$4)/2,0)-IF(MOD(A33,2)=0,INDEX($B$11:$D$25,B33,1)*(1-'NG Inputs'!$B$4),0)</f>
        <v/>
      </c>
      <c r="G33" s="49">
        <f>G32+IF(OR($D$6=2,MOD(A33,2)=1),1,0)*(MIN('NG Inputs'!$B$12*G32/$C$6,'NG Inputs'!$B$9)*($B$6-'NG Inputs'!$B$5-'NG Inputs'!$B$6-2*'NG Inputs'!$B$7*SQRT(MIN('NG Inputs'!$B$12*G32/$C$6,'NG Inputs'!$B$9)/'NG Inputs'!$B$8))+MAX(G32-MIN('NG Inputs'!$B$12*G32/$C$6,'NG Inputs'!$B$9)*$C$6,0)*'NG Inputs'!$B$10/$D$6)*(1-'NG Inputs'!$B$4)+IF($D$6=1,(1-IF(OR($D$6=2,MOD(A33,2)=1),1,0))*G32*'NG Inputs'!$B$10*(1-'NG Inputs'!$B$4)/2,0)-IF(MOD(A33,2)=0,INDEX($B$11:$D$25,B33,2)*(1-'NG Inputs'!$B$4),0)</f>
        <v/>
      </c>
      <c r="H33" s="49">
        <f>H32+IF(OR($D$6=2,MOD(A33,2)=1),1,0)*(MIN('NG Inputs'!$B$12*H32/$C$6,'NG Inputs'!$B$9)*($B$6-'NG Inputs'!$B$5-'NG Inputs'!$B$6-2*'NG Inputs'!$B$7*SQRT(MIN('NG Inputs'!$B$12*H32/$C$6,'NG Inputs'!$B$9)/'NG Inputs'!$B$8))+MAX(H32-MIN('NG Inputs'!$B$12*H32/$C$6,'NG Inputs'!$B$9)*$C$6,0)*'NG Inputs'!$B$10/$D$6)*(1-'NG Inputs'!$B$4)+IF($D$6=1,(1-IF(OR($D$6=2,MOD(A33,2)=1),1,0))*H32*'NG Inputs'!$B$10*(1-'NG Inputs'!$B$4)/2,0)-IF(MOD(A33,2)=0,INDEX($B$11:$D$25,B33,3)*(1-'NG Inputs'!$B$4),0)</f>
        <v/>
      </c>
      <c r="I33" s="45">
        <f>I32+IF(OR($D$7=2,MOD(A33,2)=1),1,0)*(MIN('NG Inputs'!$B$12*I32/$C$7,'NG Inputs'!$B$9)*($B$7-'NG Inputs'!$B$5-'NG Inputs'!$B$6-2*'NG Inputs'!$B$7*SQRT(MIN('NG Inputs'!$B$12*I32/$C$7,'NG Inputs'!$B$9)/'NG Inputs'!$B$8))+MAX(I32-MIN('NG Inputs'!$B$12*I32/$C$7,'NG Inputs'!$B$9)*$C$7,0)*'NG Inputs'!$B$10/$D$7)*(1-'NG Inputs'!$B$4)+IF($D$7=1,(1-IF(OR($D$7=2,MOD(A33,2)=1),1,0))*I32*'NG Inputs'!$B$10*(1-'NG Inputs'!$B$4)/2,0)-IF(MOD(A33,2)=0,INDEX($B$11:$D$25,B33,1)*(1-'NG Inputs'!$B$4),0)</f>
        <v/>
      </c>
      <c r="J33" s="49">
        <f>J32+IF(OR($D$7=2,MOD(A33,2)=1),1,0)*(MIN('NG Inputs'!$B$12*J32/$C$7,'NG Inputs'!$B$9)*($B$7-'NG Inputs'!$B$5-'NG Inputs'!$B$6-2*'NG Inputs'!$B$7*SQRT(MIN('NG Inputs'!$B$12*J32/$C$7,'NG Inputs'!$B$9)/'NG Inputs'!$B$8))+MAX(J32-MIN('NG Inputs'!$B$12*J32/$C$7,'NG Inputs'!$B$9)*$C$7,0)*'NG Inputs'!$B$10/$D$7)*(1-'NG Inputs'!$B$4)+IF($D$7=1,(1-IF(OR($D$7=2,MOD(A33,2)=1),1,0))*J32*'NG Inputs'!$B$10*(1-'NG Inputs'!$B$4)/2,0)-IF(MOD(A33,2)=0,INDEX($B$11:$D$25,B33,2)*(1-'NG Inputs'!$B$4),0)</f>
        <v/>
      </c>
      <c r="K33" s="49">
        <f>K32+IF(OR($D$7=2,MOD(A33,2)=1),1,0)*(MIN('NG Inputs'!$B$12*K32/$C$7,'NG Inputs'!$B$9)*($B$7-'NG Inputs'!$B$5-'NG Inputs'!$B$6-2*'NG Inputs'!$B$7*SQRT(MIN('NG Inputs'!$B$12*K32/$C$7,'NG Inputs'!$B$9)/'NG Inputs'!$B$8))+MAX(K32-MIN('NG Inputs'!$B$12*K32/$C$7,'NG Inputs'!$B$9)*$C$7,0)*'NG Inputs'!$B$10/$D$7)*(1-'NG Inputs'!$B$4)+IF($D$7=1,(1-IF(OR($D$7=2,MOD(A33,2)=1),1,0))*K32*'NG Inputs'!$B$10*(1-'NG Inputs'!$B$4)/2,0)-IF(MOD(A33,2)=0,INDEX($B$11:$D$25,B33,3)*(1-'NG Inputs'!$B$4),0)</f>
        <v/>
      </c>
    </row>
    <row r="34" ht="13.5" customHeight="1">
      <c r="A34" s="13" t="n">
        <v>6</v>
      </c>
      <c r="B34" s="50">
        <f>ROUNDUP(A34/2,0)</f>
        <v/>
      </c>
      <c r="C34" s="51">
        <f>C33+IF(OR($D$5=2,MOD(A34,2)=1),1,0)*(MIN('NG Inputs'!$B$12*C33/$C$5,'NG Inputs'!$B$9)*($B$5-'NG Inputs'!$B$5-'NG Inputs'!$B$6-2*'NG Inputs'!$B$7*SQRT(MIN('NG Inputs'!$B$12*C33/$C$5,'NG Inputs'!$B$9)/'NG Inputs'!$B$8))+MAX(C33-MIN('NG Inputs'!$B$12*C33/$C$5,'NG Inputs'!$B$9)*$C$5,0)*'NG Inputs'!$B$10/$D$5)*(1-'NG Inputs'!$B$4)+IF($D$5=1,(1-IF(OR($D$5=2,MOD(A34,2)=1),1,0))*C33*'NG Inputs'!$B$10*(1-'NG Inputs'!$B$4)/2,0)-IF(MOD(A34,2)=0,INDEX($B$11:$D$25,B34,1)*(1-'NG Inputs'!$B$4),0)</f>
        <v/>
      </c>
      <c r="D34" s="51">
        <f>D33+IF(OR($D$5=2,MOD(A34,2)=1),1,0)*(MIN('NG Inputs'!$B$12*D33/$C$5,'NG Inputs'!$B$9)*($B$5-'NG Inputs'!$B$5-'NG Inputs'!$B$6-2*'NG Inputs'!$B$7*SQRT(MIN('NG Inputs'!$B$12*D33/$C$5,'NG Inputs'!$B$9)/'NG Inputs'!$B$8))+MAX(D33-MIN('NG Inputs'!$B$12*D33/$C$5,'NG Inputs'!$B$9)*$C$5,0)*'NG Inputs'!$B$10/$D$5)*(1-'NG Inputs'!$B$4)+IF($D$5=1,(1-IF(OR($D$5=2,MOD(A34,2)=1),1,0))*D33*'NG Inputs'!$B$10*(1-'NG Inputs'!$B$4)/2,0)-IF(MOD(A34,2)=0,INDEX($B$11:$D$25,B34,2)*(1-'NG Inputs'!$B$4),0)</f>
        <v/>
      </c>
      <c r="E34" s="51">
        <f>E33+IF(OR($D$5=2,MOD(A34,2)=1),1,0)*(MIN('NG Inputs'!$B$12*E33/$C$5,'NG Inputs'!$B$9)*($B$5-'NG Inputs'!$B$5-'NG Inputs'!$B$6-2*'NG Inputs'!$B$7*SQRT(MIN('NG Inputs'!$B$12*E33/$C$5,'NG Inputs'!$B$9)/'NG Inputs'!$B$8))+MAX(E33-MIN('NG Inputs'!$B$12*E33/$C$5,'NG Inputs'!$B$9)*$C$5,0)*'NG Inputs'!$B$10/$D$5)*(1-'NG Inputs'!$B$4)+IF($D$5=1,(1-IF(OR($D$5=2,MOD(A34,2)=1),1,0))*E33*'NG Inputs'!$B$10*(1-'NG Inputs'!$B$4)/2,0)-IF(MOD(A34,2)=0,INDEX($B$11:$D$25,B34,3)*(1-'NG Inputs'!$B$4),0)</f>
        <v/>
      </c>
      <c r="F34" s="51">
        <f>F33+IF(OR($D$6=2,MOD(A34,2)=1),1,0)*(MIN('NG Inputs'!$B$12*F33/$C$6,'NG Inputs'!$B$9)*($B$6-'NG Inputs'!$B$5-'NG Inputs'!$B$6-2*'NG Inputs'!$B$7*SQRT(MIN('NG Inputs'!$B$12*F33/$C$6,'NG Inputs'!$B$9)/'NG Inputs'!$B$8))+MAX(F33-MIN('NG Inputs'!$B$12*F33/$C$6,'NG Inputs'!$B$9)*$C$6,0)*'NG Inputs'!$B$10/$D$6)*(1-'NG Inputs'!$B$4)+IF($D$6=1,(1-IF(OR($D$6=2,MOD(A34,2)=1),1,0))*F33*'NG Inputs'!$B$10*(1-'NG Inputs'!$B$4)/2,0)-IF(MOD(A34,2)=0,INDEX($B$11:$D$25,B34,1)*(1-'NG Inputs'!$B$4),0)</f>
        <v/>
      </c>
      <c r="G34" s="51">
        <f>G33+IF(OR($D$6=2,MOD(A34,2)=1),1,0)*(MIN('NG Inputs'!$B$12*G33/$C$6,'NG Inputs'!$B$9)*($B$6-'NG Inputs'!$B$5-'NG Inputs'!$B$6-2*'NG Inputs'!$B$7*SQRT(MIN('NG Inputs'!$B$12*G33/$C$6,'NG Inputs'!$B$9)/'NG Inputs'!$B$8))+MAX(G33-MIN('NG Inputs'!$B$12*G33/$C$6,'NG Inputs'!$B$9)*$C$6,0)*'NG Inputs'!$B$10/$D$6)*(1-'NG Inputs'!$B$4)+IF($D$6=1,(1-IF(OR($D$6=2,MOD(A34,2)=1),1,0))*G33*'NG Inputs'!$B$10*(1-'NG Inputs'!$B$4)/2,0)-IF(MOD(A34,2)=0,INDEX($B$11:$D$25,B34,2)*(1-'NG Inputs'!$B$4),0)</f>
        <v/>
      </c>
      <c r="H34" s="51">
        <f>H33+IF(OR($D$6=2,MOD(A34,2)=1),1,0)*(MIN('NG Inputs'!$B$12*H33/$C$6,'NG Inputs'!$B$9)*($B$6-'NG Inputs'!$B$5-'NG Inputs'!$B$6-2*'NG Inputs'!$B$7*SQRT(MIN('NG Inputs'!$B$12*H33/$C$6,'NG Inputs'!$B$9)/'NG Inputs'!$B$8))+MAX(H33-MIN('NG Inputs'!$B$12*H33/$C$6,'NG Inputs'!$B$9)*$C$6,0)*'NG Inputs'!$B$10/$D$6)*(1-'NG Inputs'!$B$4)+IF($D$6=1,(1-IF(OR($D$6=2,MOD(A34,2)=1),1,0))*H33*'NG Inputs'!$B$10*(1-'NG Inputs'!$B$4)/2,0)-IF(MOD(A34,2)=0,INDEX($B$11:$D$25,B34,3)*(1-'NG Inputs'!$B$4),0)</f>
        <v/>
      </c>
      <c r="I34" s="47">
        <f>I33+IF(OR($D$7=2,MOD(A34,2)=1),1,0)*(MIN('NG Inputs'!$B$12*I33/$C$7,'NG Inputs'!$B$9)*($B$7-'NG Inputs'!$B$5-'NG Inputs'!$B$6-2*'NG Inputs'!$B$7*SQRT(MIN('NG Inputs'!$B$12*I33/$C$7,'NG Inputs'!$B$9)/'NG Inputs'!$B$8))+MAX(I33-MIN('NG Inputs'!$B$12*I33/$C$7,'NG Inputs'!$B$9)*$C$7,0)*'NG Inputs'!$B$10/$D$7)*(1-'NG Inputs'!$B$4)+IF($D$7=1,(1-IF(OR($D$7=2,MOD(A34,2)=1),1,0))*I33*'NG Inputs'!$B$10*(1-'NG Inputs'!$B$4)/2,0)-IF(MOD(A34,2)=0,INDEX($B$11:$D$25,B34,1)*(1-'NG Inputs'!$B$4),0)</f>
        <v/>
      </c>
      <c r="J34" s="51">
        <f>J33+IF(OR($D$7=2,MOD(A34,2)=1),1,0)*(MIN('NG Inputs'!$B$12*J33/$C$7,'NG Inputs'!$B$9)*($B$7-'NG Inputs'!$B$5-'NG Inputs'!$B$6-2*'NG Inputs'!$B$7*SQRT(MIN('NG Inputs'!$B$12*J33/$C$7,'NG Inputs'!$B$9)/'NG Inputs'!$B$8))+MAX(J33-MIN('NG Inputs'!$B$12*J33/$C$7,'NG Inputs'!$B$9)*$C$7,0)*'NG Inputs'!$B$10/$D$7)*(1-'NG Inputs'!$B$4)+IF($D$7=1,(1-IF(OR($D$7=2,MOD(A34,2)=1),1,0))*J33*'NG Inputs'!$B$10*(1-'NG Inputs'!$B$4)/2,0)-IF(MOD(A34,2)=0,INDEX($B$11:$D$25,B34,2)*(1-'NG Inputs'!$B$4),0)</f>
        <v/>
      </c>
      <c r="K34" s="51">
        <f>K33+IF(OR($D$7=2,MOD(A34,2)=1),1,0)*(MIN('NG Inputs'!$B$12*K33/$C$7,'NG Inputs'!$B$9)*($B$7-'NG Inputs'!$B$5-'NG Inputs'!$B$6-2*'NG Inputs'!$B$7*SQRT(MIN('NG Inputs'!$B$12*K33/$C$7,'NG Inputs'!$B$9)/'NG Inputs'!$B$8))+MAX(K33-MIN('NG Inputs'!$B$12*K33/$C$7,'NG Inputs'!$B$9)*$C$7,0)*'NG Inputs'!$B$10/$D$7)*(1-'NG Inputs'!$B$4)+IF($D$7=1,(1-IF(OR($D$7=2,MOD(A34,2)=1),1,0))*K33*'NG Inputs'!$B$10*(1-'NG Inputs'!$B$4)/2,0)-IF(MOD(A34,2)=0,INDEX($B$11:$D$25,B34,3)*(1-'NG Inputs'!$B$4),0)</f>
        <v/>
      </c>
    </row>
    <row r="35" ht="13.5" customHeight="1">
      <c r="A35" s="10" t="n">
        <v>7</v>
      </c>
      <c r="B35" s="48">
        <f>ROUNDUP(A35/2,0)</f>
        <v/>
      </c>
      <c r="C35" s="49">
        <f>C34+IF(OR($D$5=2,MOD(A35,2)=1),1,0)*(MIN('NG Inputs'!$B$12*C34/$C$5,'NG Inputs'!$B$9)*($B$5-'NG Inputs'!$B$5-'NG Inputs'!$B$6-2*'NG Inputs'!$B$7*SQRT(MIN('NG Inputs'!$B$12*C34/$C$5,'NG Inputs'!$B$9)/'NG Inputs'!$B$8))+MAX(C34-MIN('NG Inputs'!$B$12*C34/$C$5,'NG Inputs'!$B$9)*$C$5,0)*'NG Inputs'!$B$10/$D$5)*(1-'NG Inputs'!$B$4)+IF($D$5=1,(1-IF(OR($D$5=2,MOD(A35,2)=1),1,0))*C34*'NG Inputs'!$B$10*(1-'NG Inputs'!$B$4)/2,0)-IF(MOD(A35,2)=0,INDEX($B$11:$D$25,B35,1)*(1-'NG Inputs'!$B$4),0)</f>
        <v/>
      </c>
      <c r="D35" s="49">
        <f>D34+IF(OR($D$5=2,MOD(A35,2)=1),1,0)*(MIN('NG Inputs'!$B$12*D34/$C$5,'NG Inputs'!$B$9)*($B$5-'NG Inputs'!$B$5-'NG Inputs'!$B$6-2*'NG Inputs'!$B$7*SQRT(MIN('NG Inputs'!$B$12*D34/$C$5,'NG Inputs'!$B$9)/'NG Inputs'!$B$8))+MAX(D34-MIN('NG Inputs'!$B$12*D34/$C$5,'NG Inputs'!$B$9)*$C$5,0)*'NG Inputs'!$B$10/$D$5)*(1-'NG Inputs'!$B$4)+IF($D$5=1,(1-IF(OR($D$5=2,MOD(A35,2)=1),1,0))*D34*'NG Inputs'!$B$10*(1-'NG Inputs'!$B$4)/2,0)-IF(MOD(A35,2)=0,INDEX($B$11:$D$25,B35,2)*(1-'NG Inputs'!$B$4),0)</f>
        <v/>
      </c>
      <c r="E35" s="52">
        <f>E34+IF(OR($D$5=2,MOD(A35,2)=1),1,0)*(MIN('NG Inputs'!$B$12*E34/$C$5,'NG Inputs'!$B$9)*($B$5-'NG Inputs'!$B$5-'NG Inputs'!$B$6-2*'NG Inputs'!$B$7*SQRT(MIN('NG Inputs'!$B$12*E34/$C$5,'NG Inputs'!$B$9)/'NG Inputs'!$B$8))+MAX(E34-MIN('NG Inputs'!$B$12*E34/$C$5,'NG Inputs'!$B$9)*$C$5,0)*'NG Inputs'!$B$10/$D$5)*(1-'NG Inputs'!$B$4)+IF($D$5=1,(1-IF(OR($D$5=2,MOD(A35,2)=1),1,0))*E34*'NG Inputs'!$B$10*(1-'NG Inputs'!$B$4)/2,0)-IF(MOD(A35,2)=0,INDEX($B$11:$D$25,B35,3)*(1-'NG Inputs'!$B$4),0)</f>
        <v/>
      </c>
      <c r="F35" s="49">
        <f>F34+IF(OR($D$6=2,MOD(A35,2)=1),1,0)*(MIN('NG Inputs'!$B$12*F34/$C$6,'NG Inputs'!$B$9)*($B$6-'NG Inputs'!$B$5-'NG Inputs'!$B$6-2*'NG Inputs'!$B$7*SQRT(MIN('NG Inputs'!$B$12*F34/$C$6,'NG Inputs'!$B$9)/'NG Inputs'!$B$8))+MAX(F34-MIN('NG Inputs'!$B$12*F34/$C$6,'NG Inputs'!$B$9)*$C$6,0)*'NG Inputs'!$B$10/$D$6)*(1-'NG Inputs'!$B$4)+IF($D$6=1,(1-IF(OR($D$6=2,MOD(A35,2)=1),1,0))*F34*'NG Inputs'!$B$10*(1-'NG Inputs'!$B$4)/2,0)-IF(MOD(A35,2)=0,INDEX($B$11:$D$25,B35,1)*(1-'NG Inputs'!$B$4),0)</f>
        <v/>
      </c>
      <c r="G35" s="49">
        <f>G34+IF(OR($D$6=2,MOD(A35,2)=1),1,0)*(MIN('NG Inputs'!$B$12*G34/$C$6,'NG Inputs'!$B$9)*($B$6-'NG Inputs'!$B$5-'NG Inputs'!$B$6-2*'NG Inputs'!$B$7*SQRT(MIN('NG Inputs'!$B$12*G34/$C$6,'NG Inputs'!$B$9)/'NG Inputs'!$B$8))+MAX(G34-MIN('NG Inputs'!$B$12*G34/$C$6,'NG Inputs'!$B$9)*$C$6,0)*'NG Inputs'!$B$10/$D$6)*(1-'NG Inputs'!$B$4)+IF($D$6=1,(1-IF(OR($D$6=2,MOD(A35,2)=1),1,0))*G34*'NG Inputs'!$B$10*(1-'NG Inputs'!$B$4)/2,0)-IF(MOD(A35,2)=0,INDEX($B$11:$D$25,B35,2)*(1-'NG Inputs'!$B$4),0)</f>
        <v/>
      </c>
      <c r="H35" s="49">
        <f>H34+IF(OR($D$6=2,MOD(A35,2)=1),1,0)*(MIN('NG Inputs'!$B$12*H34/$C$6,'NG Inputs'!$B$9)*($B$6-'NG Inputs'!$B$5-'NG Inputs'!$B$6-2*'NG Inputs'!$B$7*SQRT(MIN('NG Inputs'!$B$12*H34/$C$6,'NG Inputs'!$B$9)/'NG Inputs'!$B$8))+MAX(H34-MIN('NG Inputs'!$B$12*H34/$C$6,'NG Inputs'!$B$9)*$C$6,0)*'NG Inputs'!$B$10/$D$6)*(1-'NG Inputs'!$B$4)+IF($D$6=1,(1-IF(OR($D$6=2,MOD(A35,2)=1),1,0))*H34*'NG Inputs'!$B$10*(1-'NG Inputs'!$B$4)/2,0)-IF(MOD(A35,2)=0,INDEX($B$11:$D$25,B35,3)*(1-'NG Inputs'!$B$4),0)</f>
        <v/>
      </c>
      <c r="I35" s="45">
        <f>I34+IF(OR($D$7=2,MOD(A35,2)=1),1,0)*(MIN('NG Inputs'!$B$12*I34/$C$7,'NG Inputs'!$B$9)*($B$7-'NG Inputs'!$B$5-'NG Inputs'!$B$6-2*'NG Inputs'!$B$7*SQRT(MIN('NG Inputs'!$B$12*I34/$C$7,'NG Inputs'!$B$9)/'NG Inputs'!$B$8))+MAX(I34-MIN('NG Inputs'!$B$12*I34/$C$7,'NG Inputs'!$B$9)*$C$7,0)*'NG Inputs'!$B$10/$D$7)*(1-'NG Inputs'!$B$4)+IF($D$7=1,(1-IF(OR($D$7=2,MOD(A35,2)=1),1,0))*I34*'NG Inputs'!$B$10*(1-'NG Inputs'!$B$4)/2,0)-IF(MOD(A35,2)=0,INDEX($B$11:$D$25,B35,1)*(1-'NG Inputs'!$B$4),0)</f>
        <v/>
      </c>
      <c r="J35" s="49">
        <f>J34+IF(OR($D$7=2,MOD(A35,2)=1),1,0)*(MIN('NG Inputs'!$B$12*J34/$C$7,'NG Inputs'!$B$9)*($B$7-'NG Inputs'!$B$5-'NG Inputs'!$B$6-2*'NG Inputs'!$B$7*SQRT(MIN('NG Inputs'!$B$12*J34/$C$7,'NG Inputs'!$B$9)/'NG Inputs'!$B$8))+MAX(J34-MIN('NG Inputs'!$B$12*J34/$C$7,'NG Inputs'!$B$9)*$C$7,0)*'NG Inputs'!$B$10/$D$7)*(1-'NG Inputs'!$B$4)+IF($D$7=1,(1-IF(OR($D$7=2,MOD(A35,2)=1),1,0))*J34*'NG Inputs'!$B$10*(1-'NG Inputs'!$B$4)/2,0)-IF(MOD(A35,2)=0,INDEX($B$11:$D$25,B35,2)*(1-'NG Inputs'!$B$4),0)</f>
        <v/>
      </c>
      <c r="K35" s="49">
        <f>K34+IF(OR($D$7=2,MOD(A35,2)=1),1,0)*(MIN('NG Inputs'!$B$12*K34/$C$7,'NG Inputs'!$B$9)*($B$7-'NG Inputs'!$B$5-'NG Inputs'!$B$6-2*'NG Inputs'!$B$7*SQRT(MIN('NG Inputs'!$B$12*K34/$C$7,'NG Inputs'!$B$9)/'NG Inputs'!$B$8))+MAX(K34-MIN('NG Inputs'!$B$12*K34/$C$7,'NG Inputs'!$B$9)*$C$7,0)*'NG Inputs'!$B$10/$D$7)*(1-'NG Inputs'!$B$4)+IF($D$7=1,(1-IF(OR($D$7=2,MOD(A35,2)=1),1,0))*K34*'NG Inputs'!$B$10*(1-'NG Inputs'!$B$4)/2,0)-IF(MOD(A35,2)=0,INDEX($B$11:$D$25,B35,3)*(1-'NG Inputs'!$B$4),0)</f>
        <v/>
      </c>
    </row>
    <row r="36" ht="13.5" customHeight="1">
      <c r="A36" s="13" t="n">
        <v>8</v>
      </c>
      <c r="B36" s="50">
        <f>ROUNDUP(A36/2,0)</f>
        <v/>
      </c>
      <c r="C36" s="51">
        <f>C35+IF(OR($D$5=2,MOD(A36,2)=1),1,0)*(MIN('NG Inputs'!$B$12*C35/$C$5,'NG Inputs'!$B$9)*($B$5-'NG Inputs'!$B$5-'NG Inputs'!$B$6-2*'NG Inputs'!$B$7*SQRT(MIN('NG Inputs'!$B$12*C35/$C$5,'NG Inputs'!$B$9)/'NG Inputs'!$B$8))+MAX(C35-MIN('NG Inputs'!$B$12*C35/$C$5,'NG Inputs'!$B$9)*$C$5,0)*'NG Inputs'!$B$10/$D$5)*(1-'NG Inputs'!$B$4)+IF($D$5=1,(1-IF(OR($D$5=2,MOD(A36,2)=1),1,0))*C35*'NG Inputs'!$B$10*(1-'NG Inputs'!$B$4)/2,0)-IF(MOD(A36,2)=0,INDEX($B$11:$D$25,B36,1)*(1-'NG Inputs'!$B$4),0)</f>
        <v/>
      </c>
      <c r="D36" s="51">
        <f>D35+IF(OR($D$5=2,MOD(A36,2)=1),1,0)*(MIN('NG Inputs'!$B$12*D35/$C$5,'NG Inputs'!$B$9)*($B$5-'NG Inputs'!$B$5-'NG Inputs'!$B$6-2*'NG Inputs'!$B$7*SQRT(MIN('NG Inputs'!$B$12*D35/$C$5,'NG Inputs'!$B$9)/'NG Inputs'!$B$8))+MAX(D35-MIN('NG Inputs'!$B$12*D35/$C$5,'NG Inputs'!$B$9)*$C$5,0)*'NG Inputs'!$B$10/$D$5)*(1-'NG Inputs'!$B$4)+IF($D$5=1,(1-IF(OR($D$5=2,MOD(A36,2)=1),1,0))*D35*'NG Inputs'!$B$10*(1-'NG Inputs'!$B$4)/2,0)-IF(MOD(A36,2)=0,INDEX($B$11:$D$25,B36,2)*(1-'NG Inputs'!$B$4),0)</f>
        <v/>
      </c>
      <c r="E36" s="53">
        <f>E35+IF(OR($D$5=2,MOD(A36,2)=1),1,0)*(MIN('NG Inputs'!$B$12*E35/$C$5,'NG Inputs'!$B$9)*($B$5-'NG Inputs'!$B$5-'NG Inputs'!$B$6-2*'NG Inputs'!$B$7*SQRT(MIN('NG Inputs'!$B$12*E35/$C$5,'NG Inputs'!$B$9)/'NG Inputs'!$B$8))+MAX(E35-MIN('NG Inputs'!$B$12*E35/$C$5,'NG Inputs'!$B$9)*$C$5,0)*'NG Inputs'!$B$10/$D$5)*(1-'NG Inputs'!$B$4)+IF($D$5=1,(1-IF(OR($D$5=2,MOD(A36,2)=1),1,0))*E35*'NG Inputs'!$B$10*(1-'NG Inputs'!$B$4)/2,0)-IF(MOD(A36,2)=0,INDEX($B$11:$D$25,B36,3)*(1-'NG Inputs'!$B$4),0)</f>
        <v/>
      </c>
      <c r="F36" s="51">
        <f>F35+IF(OR($D$6=2,MOD(A36,2)=1),1,0)*(MIN('NG Inputs'!$B$12*F35/$C$6,'NG Inputs'!$B$9)*($B$6-'NG Inputs'!$B$5-'NG Inputs'!$B$6-2*'NG Inputs'!$B$7*SQRT(MIN('NG Inputs'!$B$12*F35/$C$6,'NG Inputs'!$B$9)/'NG Inputs'!$B$8))+MAX(F35-MIN('NG Inputs'!$B$12*F35/$C$6,'NG Inputs'!$B$9)*$C$6,0)*'NG Inputs'!$B$10/$D$6)*(1-'NG Inputs'!$B$4)+IF($D$6=1,(1-IF(OR($D$6=2,MOD(A36,2)=1),1,0))*F35*'NG Inputs'!$B$10*(1-'NG Inputs'!$B$4)/2,0)-IF(MOD(A36,2)=0,INDEX($B$11:$D$25,B36,1)*(1-'NG Inputs'!$B$4),0)</f>
        <v/>
      </c>
      <c r="G36" s="51">
        <f>G35+IF(OR($D$6=2,MOD(A36,2)=1),1,0)*(MIN('NG Inputs'!$B$12*G35/$C$6,'NG Inputs'!$B$9)*($B$6-'NG Inputs'!$B$5-'NG Inputs'!$B$6-2*'NG Inputs'!$B$7*SQRT(MIN('NG Inputs'!$B$12*G35/$C$6,'NG Inputs'!$B$9)/'NG Inputs'!$B$8))+MAX(G35-MIN('NG Inputs'!$B$12*G35/$C$6,'NG Inputs'!$B$9)*$C$6,0)*'NG Inputs'!$B$10/$D$6)*(1-'NG Inputs'!$B$4)+IF($D$6=1,(1-IF(OR($D$6=2,MOD(A36,2)=1),1,0))*G35*'NG Inputs'!$B$10*(1-'NG Inputs'!$B$4)/2,0)-IF(MOD(A36,2)=0,INDEX($B$11:$D$25,B36,2)*(1-'NG Inputs'!$B$4),0)</f>
        <v/>
      </c>
      <c r="H36" s="53">
        <f>H35+IF(OR($D$6=2,MOD(A36,2)=1),1,0)*(MIN('NG Inputs'!$B$12*H35/$C$6,'NG Inputs'!$B$9)*($B$6-'NG Inputs'!$B$5-'NG Inputs'!$B$6-2*'NG Inputs'!$B$7*SQRT(MIN('NG Inputs'!$B$12*H35/$C$6,'NG Inputs'!$B$9)/'NG Inputs'!$B$8))+MAX(H35-MIN('NG Inputs'!$B$12*H35/$C$6,'NG Inputs'!$B$9)*$C$6,0)*'NG Inputs'!$B$10/$D$6)*(1-'NG Inputs'!$B$4)+IF($D$6=1,(1-IF(OR($D$6=2,MOD(A36,2)=1),1,0))*H35*'NG Inputs'!$B$10*(1-'NG Inputs'!$B$4)/2,0)-IF(MOD(A36,2)=0,INDEX($B$11:$D$25,B36,3)*(1-'NG Inputs'!$B$4),0)</f>
        <v/>
      </c>
      <c r="I36" s="47">
        <f>I35+IF(OR($D$7=2,MOD(A36,2)=1),1,0)*(MIN('NG Inputs'!$B$12*I35/$C$7,'NG Inputs'!$B$9)*($B$7-'NG Inputs'!$B$5-'NG Inputs'!$B$6-2*'NG Inputs'!$B$7*SQRT(MIN('NG Inputs'!$B$12*I35/$C$7,'NG Inputs'!$B$9)/'NG Inputs'!$B$8))+MAX(I35-MIN('NG Inputs'!$B$12*I35/$C$7,'NG Inputs'!$B$9)*$C$7,0)*'NG Inputs'!$B$10/$D$7)*(1-'NG Inputs'!$B$4)+IF($D$7=1,(1-IF(OR($D$7=2,MOD(A36,2)=1),1,0))*I35*'NG Inputs'!$B$10*(1-'NG Inputs'!$B$4)/2,0)-IF(MOD(A36,2)=0,INDEX($B$11:$D$25,B36,1)*(1-'NG Inputs'!$B$4),0)</f>
        <v/>
      </c>
      <c r="J36" s="51">
        <f>J35+IF(OR($D$7=2,MOD(A36,2)=1),1,0)*(MIN('NG Inputs'!$B$12*J35/$C$7,'NG Inputs'!$B$9)*($B$7-'NG Inputs'!$B$5-'NG Inputs'!$B$6-2*'NG Inputs'!$B$7*SQRT(MIN('NG Inputs'!$B$12*J35/$C$7,'NG Inputs'!$B$9)/'NG Inputs'!$B$8))+MAX(J35-MIN('NG Inputs'!$B$12*J35/$C$7,'NG Inputs'!$B$9)*$C$7,0)*'NG Inputs'!$B$10/$D$7)*(1-'NG Inputs'!$B$4)+IF($D$7=1,(1-IF(OR($D$7=2,MOD(A36,2)=1),1,0))*J35*'NG Inputs'!$B$10*(1-'NG Inputs'!$B$4)/2,0)-IF(MOD(A36,2)=0,INDEX($B$11:$D$25,B36,2)*(1-'NG Inputs'!$B$4),0)</f>
        <v/>
      </c>
      <c r="K36" s="51">
        <f>K35+IF(OR($D$7=2,MOD(A36,2)=1),1,0)*(MIN('NG Inputs'!$B$12*K35/$C$7,'NG Inputs'!$B$9)*($B$7-'NG Inputs'!$B$5-'NG Inputs'!$B$6-2*'NG Inputs'!$B$7*SQRT(MIN('NG Inputs'!$B$12*K35/$C$7,'NG Inputs'!$B$9)/'NG Inputs'!$B$8))+MAX(K35-MIN('NG Inputs'!$B$12*K35/$C$7,'NG Inputs'!$B$9)*$C$7,0)*'NG Inputs'!$B$10/$D$7)*(1-'NG Inputs'!$B$4)+IF($D$7=1,(1-IF(OR($D$7=2,MOD(A36,2)=1),1,0))*K35*'NG Inputs'!$B$10*(1-'NG Inputs'!$B$4)/2,0)-IF(MOD(A36,2)=0,INDEX($B$11:$D$25,B36,3)*(1-'NG Inputs'!$B$4),0)</f>
        <v/>
      </c>
    </row>
    <row r="37" ht="13.5" customHeight="1">
      <c r="A37" s="10" t="n">
        <v>9</v>
      </c>
      <c r="B37" s="48">
        <f>ROUNDUP(A37/2,0)</f>
        <v/>
      </c>
      <c r="C37" s="49">
        <f>C36+IF(OR($D$5=2,MOD(A37,2)=1),1,0)*(MIN('NG Inputs'!$B$12*C36/$C$5,'NG Inputs'!$B$9)*($B$5-'NG Inputs'!$B$5-'NG Inputs'!$B$6-2*'NG Inputs'!$B$7*SQRT(MIN('NG Inputs'!$B$12*C36/$C$5,'NG Inputs'!$B$9)/'NG Inputs'!$B$8))+MAX(C36-MIN('NG Inputs'!$B$12*C36/$C$5,'NG Inputs'!$B$9)*$C$5,0)*'NG Inputs'!$B$10/$D$5)*(1-'NG Inputs'!$B$4)+IF($D$5=1,(1-IF(OR($D$5=2,MOD(A37,2)=1),1,0))*C36*'NG Inputs'!$B$10*(1-'NG Inputs'!$B$4)/2,0)-IF(MOD(A37,2)=0,INDEX($B$11:$D$25,B37,1)*(1-'NG Inputs'!$B$4),0)</f>
        <v/>
      </c>
      <c r="D37" s="52">
        <f>D36+IF(OR($D$5=2,MOD(A37,2)=1),1,0)*(MIN('NG Inputs'!$B$12*D36/$C$5,'NG Inputs'!$B$9)*($B$5-'NG Inputs'!$B$5-'NG Inputs'!$B$6-2*'NG Inputs'!$B$7*SQRT(MIN('NG Inputs'!$B$12*D36/$C$5,'NG Inputs'!$B$9)/'NG Inputs'!$B$8))+MAX(D36-MIN('NG Inputs'!$B$12*D36/$C$5,'NG Inputs'!$B$9)*$C$5,0)*'NG Inputs'!$B$10/$D$5)*(1-'NG Inputs'!$B$4)+IF($D$5=1,(1-IF(OR($D$5=2,MOD(A37,2)=1),1,0))*D36*'NG Inputs'!$B$10*(1-'NG Inputs'!$B$4)/2,0)-IF(MOD(A37,2)=0,INDEX($B$11:$D$25,B37,2)*(1-'NG Inputs'!$B$4),0)</f>
        <v/>
      </c>
      <c r="E37" s="52">
        <f>E36+IF(OR($D$5=2,MOD(A37,2)=1),1,0)*(MIN('NG Inputs'!$B$12*E36/$C$5,'NG Inputs'!$B$9)*($B$5-'NG Inputs'!$B$5-'NG Inputs'!$B$6-2*'NG Inputs'!$B$7*SQRT(MIN('NG Inputs'!$B$12*E36/$C$5,'NG Inputs'!$B$9)/'NG Inputs'!$B$8))+MAX(E36-MIN('NG Inputs'!$B$12*E36/$C$5,'NG Inputs'!$B$9)*$C$5,0)*'NG Inputs'!$B$10/$D$5)*(1-'NG Inputs'!$B$4)+IF($D$5=1,(1-IF(OR($D$5=2,MOD(A37,2)=1),1,0))*E36*'NG Inputs'!$B$10*(1-'NG Inputs'!$B$4)/2,0)-IF(MOD(A37,2)=0,INDEX($B$11:$D$25,B37,3)*(1-'NG Inputs'!$B$4),0)</f>
        <v/>
      </c>
      <c r="F37" s="49">
        <f>F36+IF(OR($D$6=2,MOD(A37,2)=1),1,0)*(MIN('NG Inputs'!$B$12*F36/$C$6,'NG Inputs'!$B$9)*($B$6-'NG Inputs'!$B$5-'NG Inputs'!$B$6-2*'NG Inputs'!$B$7*SQRT(MIN('NG Inputs'!$B$12*F36/$C$6,'NG Inputs'!$B$9)/'NG Inputs'!$B$8))+MAX(F36-MIN('NG Inputs'!$B$12*F36/$C$6,'NG Inputs'!$B$9)*$C$6,0)*'NG Inputs'!$B$10/$D$6)*(1-'NG Inputs'!$B$4)+IF($D$6=1,(1-IF(OR($D$6=2,MOD(A37,2)=1),1,0))*F36*'NG Inputs'!$B$10*(1-'NG Inputs'!$B$4)/2,0)-IF(MOD(A37,2)=0,INDEX($B$11:$D$25,B37,1)*(1-'NG Inputs'!$B$4),0)</f>
        <v/>
      </c>
      <c r="G37" s="49">
        <f>G36+IF(OR($D$6=2,MOD(A37,2)=1),1,0)*(MIN('NG Inputs'!$B$12*G36/$C$6,'NG Inputs'!$B$9)*($B$6-'NG Inputs'!$B$5-'NG Inputs'!$B$6-2*'NG Inputs'!$B$7*SQRT(MIN('NG Inputs'!$B$12*G36/$C$6,'NG Inputs'!$B$9)/'NG Inputs'!$B$8))+MAX(G36-MIN('NG Inputs'!$B$12*G36/$C$6,'NG Inputs'!$B$9)*$C$6,0)*'NG Inputs'!$B$10/$D$6)*(1-'NG Inputs'!$B$4)+IF($D$6=1,(1-IF(OR($D$6=2,MOD(A37,2)=1),1,0))*G36*'NG Inputs'!$B$10*(1-'NG Inputs'!$B$4)/2,0)-IF(MOD(A37,2)=0,INDEX($B$11:$D$25,B37,2)*(1-'NG Inputs'!$B$4),0)</f>
        <v/>
      </c>
      <c r="H37" s="52">
        <f>H36+IF(OR($D$6=2,MOD(A37,2)=1),1,0)*(MIN('NG Inputs'!$B$12*H36/$C$6,'NG Inputs'!$B$9)*($B$6-'NG Inputs'!$B$5-'NG Inputs'!$B$6-2*'NG Inputs'!$B$7*SQRT(MIN('NG Inputs'!$B$12*H36/$C$6,'NG Inputs'!$B$9)/'NG Inputs'!$B$8))+MAX(H36-MIN('NG Inputs'!$B$12*H36/$C$6,'NG Inputs'!$B$9)*$C$6,0)*'NG Inputs'!$B$10/$D$6)*(1-'NG Inputs'!$B$4)+IF($D$6=1,(1-IF(OR($D$6=2,MOD(A37,2)=1),1,0))*H36*'NG Inputs'!$B$10*(1-'NG Inputs'!$B$4)/2,0)-IF(MOD(A37,2)=0,INDEX($B$11:$D$25,B37,3)*(1-'NG Inputs'!$B$4),0)</f>
        <v/>
      </c>
      <c r="I37" s="49">
        <f>I36+IF(OR($D$7=2,MOD(A37,2)=1),1,0)*(MIN('NG Inputs'!$B$12*I36/$C$7,'NG Inputs'!$B$9)*($B$7-'NG Inputs'!$B$5-'NG Inputs'!$B$6-2*'NG Inputs'!$B$7*SQRT(MIN('NG Inputs'!$B$12*I36/$C$7,'NG Inputs'!$B$9)/'NG Inputs'!$B$8))+MAX(I36-MIN('NG Inputs'!$B$12*I36/$C$7,'NG Inputs'!$B$9)*$C$7,0)*'NG Inputs'!$B$10/$D$7)*(1-'NG Inputs'!$B$4)+IF($D$7=1,(1-IF(OR($D$7=2,MOD(A37,2)=1),1,0))*I36*'NG Inputs'!$B$10*(1-'NG Inputs'!$B$4)/2,0)-IF(MOD(A37,2)=0,INDEX($B$11:$D$25,B37,1)*(1-'NG Inputs'!$B$4),0)</f>
        <v/>
      </c>
      <c r="J37" s="49">
        <f>J36+IF(OR($D$7=2,MOD(A37,2)=1),1,0)*(MIN('NG Inputs'!$B$12*J36/$C$7,'NG Inputs'!$B$9)*($B$7-'NG Inputs'!$B$5-'NG Inputs'!$B$6-2*'NG Inputs'!$B$7*SQRT(MIN('NG Inputs'!$B$12*J36/$C$7,'NG Inputs'!$B$9)/'NG Inputs'!$B$8))+MAX(J36-MIN('NG Inputs'!$B$12*J36/$C$7,'NG Inputs'!$B$9)*$C$7,0)*'NG Inputs'!$B$10/$D$7)*(1-'NG Inputs'!$B$4)+IF($D$7=1,(1-IF(OR($D$7=2,MOD(A37,2)=1),1,0))*J36*'NG Inputs'!$B$10*(1-'NG Inputs'!$B$4)/2,0)-IF(MOD(A37,2)=0,INDEX($B$11:$D$25,B37,2)*(1-'NG Inputs'!$B$4),0)</f>
        <v/>
      </c>
      <c r="K37" s="49">
        <f>K36+IF(OR($D$7=2,MOD(A37,2)=1),1,0)*(MIN('NG Inputs'!$B$12*K36/$C$7,'NG Inputs'!$B$9)*($B$7-'NG Inputs'!$B$5-'NG Inputs'!$B$6-2*'NG Inputs'!$B$7*SQRT(MIN('NG Inputs'!$B$12*K36/$C$7,'NG Inputs'!$B$9)/'NG Inputs'!$B$8))+MAX(K36-MIN('NG Inputs'!$B$12*K36/$C$7,'NG Inputs'!$B$9)*$C$7,0)*'NG Inputs'!$B$10/$D$7)*(1-'NG Inputs'!$B$4)+IF($D$7=1,(1-IF(OR($D$7=2,MOD(A37,2)=1),1,0))*K36*'NG Inputs'!$B$10*(1-'NG Inputs'!$B$4)/2,0)-IF(MOD(A37,2)=0,INDEX($B$11:$D$25,B37,3)*(1-'NG Inputs'!$B$4),0)</f>
        <v/>
      </c>
    </row>
    <row r="38" ht="13.5" customHeight="1">
      <c r="A38" s="13" t="n">
        <v>10</v>
      </c>
      <c r="B38" s="50">
        <f>ROUNDUP(A38/2,0)</f>
        <v/>
      </c>
      <c r="C38" s="51">
        <f>C37+IF(OR($D$5=2,MOD(A38,2)=1),1,0)*(MIN('NG Inputs'!$B$12*C37/$C$5,'NG Inputs'!$B$9)*($B$5-'NG Inputs'!$B$5-'NG Inputs'!$B$6-2*'NG Inputs'!$B$7*SQRT(MIN('NG Inputs'!$B$12*C37/$C$5,'NG Inputs'!$B$9)/'NG Inputs'!$B$8))+MAX(C37-MIN('NG Inputs'!$B$12*C37/$C$5,'NG Inputs'!$B$9)*$C$5,0)*'NG Inputs'!$B$10/$D$5)*(1-'NG Inputs'!$B$4)+IF($D$5=1,(1-IF(OR($D$5=2,MOD(A38,2)=1),1,0))*C37*'NG Inputs'!$B$10*(1-'NG Inputs'!$B$4)/2,0)-IF(MOD(A38,2)=0,INDEX($B$11:$D$25,B38,1)*(1-'NG Inputs'!$B$4),0)</f>
        <v/>
      </c>
      <c r="D38" s="53">
        <f>D37+IF(OR($D$5=2,MOD(A38,2)=1),1,0)*(MIN('NG Inputs'!$B$12*D37/$C$5,'NG Inputs'!$B$9)*($B$5-'NG Inputs'!$B$5-'NG Inputs'!$B$6-2*'NG Inputs'!$B$7*SQRT(MIN('NG Inputs'!$B$12*D37/$C$5,'NG Inputs'!$B$9)/'NG Inputs'!$B$8))+MAX(D37-MIN('NG Inputs'!$B$12*D37/$C$5,'NG Inputs'!$B$9)*$C$5,0)*'NG Inputs'!$B$10/$D$5)*(1-'NG Inputs'!$B$4)+IF($D$5=1,(1-IF(OR($D$5=2,MOD(A38,2)=1),1,0))*D37*'NG Inputs'!$B$10*(1-'NG Inputs'!$B$4)/2,0)-IF(MOD(A38,2)=0,INDEX($B$11:$D$25,B38,2)*(1-'NG Inputs'!$B$4),0)</f>
        <v/>
      </c>
      <c r="E38" s="53">
        <f>E37+IF(OR($D$5=2,MOD(A38,2)=1),1,0)*(MIN('NG Inputs'!$B$12*E37/$C$5,'NG Inputs'!$B$9)*($B$5-'NG Inputs'!$B$5-'NG Inputs'!$B$6-2*'NG Inputs'!$B$7*SQRT(MIN('NG Inputs'!$B$12*E37/$C$5,'NG Inputs'!$B$9)/'NG Inputs'!$B$8))+MAX(E37-MIN('NG Inputs'!$B$12*E37/$C$5,'NG Inputs'!$B$9)*$C$5,0)*'NG Inputs'!$B$10/$D$5)*(1-'NG Inputs'!$B$4)+IF($D$5=1,(1-IF(OR($D$5=2,MOD(A38,2)=1),1,0))*E37*'NG Inputs'!$B$10*(1-'NG Inputs'!$B$4)/2,0)-IF(MOD(A38,2)=0,INDEX($B$11:$D$25,B38,3)*(1-'NG Inputs'!$B$4),0)</f>
        <v/>
      </c>
      <c r="F38" s="51">
        <f>F37+IF(OR($D$6=2,MOD(A38,2)=1),1,0)*(MIN('NG Inputs'!$B$12*F37/$C$6,'NG Inputs'!$B$9)*($B$6-'NG Inputs'!$B$5-'NG Inputs'!$B$6-2*'NG Inputs'!$B$7*SQRT(MIN('NG Inputs'!$B$12*F37/$C$6,'NG Inputs'!$B$9)/'NG Inputs'!$B$8))+MAX(F37-MIN('NG Inputs'!$B$12*F37/$C$6,'NG Inputs'!$B$9)*$C$6,0)*'NG Inputs'!$B$10/$D$6)*(1-'NG Inputs'!$B$4)+IF($D$6=1,(1-IF(OR($D$6=2,MOD(A38,2)=1),1,0))*F37*'NG Inputs'!$B$10*(1-'NG Inputs'!$B$4)/2,0)-IF(MOD(A38,2)=0,INDEX($B$11:$D$25,B38,1)*(1-'NG Inputs'!$B$4),0)</f>
        <v/>
      </c>
      <c r="G38" s="53">
        <f>G37+IF(OR($D$6=2,MOD(A38,2)=1),1,0)*(MIN('NG Inputs'!$B$12*G37/$C$6,'NG Inputs'!$B$9)*($B$6-'NG Inputs'!$B$5-'NG Inputs'!$B$6-2*'NG Inputs'!$B$7*SQRT(MIN('NG Inputs'!$B$12*G37/$C$6,'NG Inputs'!$B$9)/'NG Inputs'!$B$8))+MAX(G37-MIN('NG Inputs'!$B$12*G37/$C$6,'NG Inputs'!$B$9)*$C$6,0)*'NG Inputs'!$B$10/$D$6)*(1-'NG Inputs'!$B$4)+IF($D$6=1,(1-IF(OR($D$6=2,MOD(A38,2)=1),1,0))*G37*'NG Inputs'!$B$10*(1-'NG Inputs'!$B$4)/2,0)-IF(MOD(A38,2)=0,INDEX($B$11:$D$25,B38,2)*(1-'NG Inputs'!$B$4),0)</f>
        <v/>
      </c>
      <c r="H38" s="53">
        <f>H37+IF(OR($D$6=2,MOD(A38,2)=1),1,0)*(MIN('NG Inputs'!$B$12*H37/$C$6,'NG Inputs'!$B$9)*($B$6-'NG Inputs'!$B$5-'NG Inputs'!$B$6-2*'NG Inputs'!$B$7*SQRT(MIN('NG Inputs'!$B$12*H37/$C$6,'NG Inputs'!$B$9)/'NG Inputs'!$B$8))+MAX(H37-MIN('NG Inputs'!$B$12*H37/$C$6,'NG Inputs'!$B$9)*$C$6,0)*'NG Inputs'!$B$10/$D$6)*(1-'NG Inputs'!$B$4)+IF($D$6=1,(1-IF(OR($D$6=2,MOD(A38,2)=1),1,0))*H37*'NG Inputs'!$B$10*(1-'NG Inputs'!$B$4)/2,0)-IF(MOD(A38,2)=0,INDEX($B$11:$D$25,B38,3)*(1-'NG Inputs'!$B$4),0)</f>
        <v/>
      </c>
      <c r="I38" s="51">
        <f>I37+IF(OR($D$7=2,MOD(A38,2)=1),1,0)*(MIN('NG Inputs'!$B$12*I37/$C$7,'NG Inputs'!$B$9)*($B$7-'NG Inputs'!$B$5-'NG Inputs'!$B$6-2*'NG Inputs'!$B$7*SQRT(MIN('NG Inputs'!$B$12*I37/$C$7,'NG Inputs'!$B$9)/'NG Inputs'!$B$8))+MAX(I37-MIN('NG Inputs'!$B$12*I37/$C$7,'NG Inputs'!$B$9)*$C$7,0)*'NG Inputs'!$B$10/$D$7)*(1-'NG Inputs'!$B$4)+IF($D$7=1,(1-IF(OR($D$7=2,MOD(A38,2)=1),1,0))*I37*'NG Inputs'!$B$10*(1-'NG Inputs'!$B$4)/2,0)-IF(MOD(A38,2)=0,INDEX($B$11:$D$25,B38,1)*(1-'NG Inputs'!$B$4),0)</f>
        <v/>
      </c>
      <c r="J38" s="51">
        <f>J37+IF(OR($D$7=2,MOD(A38,2)=1),1,0)*(MIN('NG Inputs'!$B$12*J37/$C$7,'NG Inputs'!$B$9)*($B$7-'NG Inputs'!$B$5-'NG Inputs'!$B$6-2*'NG Inputs'!$B$7*SQRT(MIN('NG Inputs'!$B$12*J37/$C$7,'NG Inputs'!$B$9)/'NG Inputs'!$B$8))+MAX(J37-MIN('NG Inputs'!$B$12*J37/$C$7,'NG Inputs'!$B$9)*$C$7,0)*'NG Inputs'!$B$10/$D$7)*(1-'NG Inputs'!$B$4)+IF($D$7=1,(1-IF(OR($D$7=2,MOD(A38,2)=1),1,0))*J37*'NG Inputs'!$B$10*(1-'NG Inputs'!$B$4)/2,0)-IF(MOD(A38,2)=0,INDEX($B$11:$D$25,B38,2)*(1-'NG Inputs'!$B$4),0)</f>
        <v/>
      </c>
      <c r="K38" s="51">
        <f>K37+IF(OR($D$7=2,MOD(A38,2)=1),1,0)*(MIN('NG Inputs'!$B$12*K37/$C$7,'NG Inputs'!$B$9)*($B$7-'NG Inputs'!$B$5-'NG Inputs'!$B$6-2*'NG Inputs'!$B$7*SQRT(MIN('NG Inputs'!$B$12*K37/$C$7,'NG Inputs'!$B$9)/'NG Inputs'!$B$8))+MAX(K37-MIN('NG Inputs'!$B$12*K37/$C$7,'NG Inputs'!$B$9)*$C$7,0)*'NG Inputs'!$B$10/$D$7)*(1-'NG Inputs'!$B$4)+IF($D$7=1,(1-IF(OR($D$7=2,MOD(A38,2)=1),1,0))*K37*'NG Inputs'!$B$10*(1-'NG Inputs'!$B$4)/2,0)-IF(MOD(A38,2)=0,INDEX($B$11:$D$25,B38,3)*(1-'NG Inputs'!$B$4),0)</f>
        <v/>
      </c>
    </row>
    <row r="39" ht="13.5" customHeight="1">
      <c r="A39" s="10" t="n">
        <v>11</v>
      </c>
      <c r="B39" s="48">
        <f>ROUNDUP(A39/2,0)</f>
        <v/>
      </c>
      <c r="C39" s="52">
        <f>C38+IF(OR($D$5=2,MOD(A39,2)=1),1,0)*(MIN('NG Inputs'!$B$12*C38/$C$5,'NG Inputs'!$B$9)*($B$5-'NG Inputs'!$B$5-'NG Inputs'!$B$6-2*'NG Inputs'!$B$7*SQRT(MIN('NG Inputs'!$B$12*C38/$C$5,'NG Inputs'!$B$9)/'NG Inputs'!$B$8))+MAX(C38-MIN('NG Inputs'!$B$12*C38/$C$5,'NG Inputs'!$B$9)*$C$5,0)*'NG Inputs'!$B$10/$D$5)*(1-'NG Inputs'!$B$4)+IF($D$5=1,(1-IF(OR($D$5=2,MOD(A39,2)=1),1,0))*C38*'NG Inputs'!$B$10*(1-'NG Inputs'!$B$4)/2,0)-IF(MOD(A39,2)=0,INDEX($B$11:$D$25,B39,1)*(1-'NG Inputs'!$B$4),0)</f>
        <v/>
      </c>
      <c r="D39" s="52">
        <f>D38+IF(OR($D$5=2,MOD(A39,2)=1),1,0)*(MIN('NG Inputs'!$B$12*D38/$C$5,'NG Inputs'!$B$9)*($B$5-'NG Inputs'!$B$5-'NG Inputs'!$B$6-2*'NG Inputs'!$B$7*SQRT(MIN('NG Inputs'!$B$12*D38/$C$5,'NG Inputs'!$B$9)/'NG Inputs'!$B$8))+MAX(D38-MIN('NG Inputs'!$B$12*D38/$C$5,'NG Inputs'!$B$9)*$C$5,0)*'NG Inputs'!$B$10/$D$5)*(1-'NG Inputs'!$B$4)+IF($D$5=1,(1-IF(OR($D$5=2,MOD(A39,2)=1),1,0))*D38*'NG Inputs'!$B$10*(1-'NG Inputs'!$B$4)/2,0)-IF(MOD(A39,2)=0,INDEX($B$11:$D$25,B39,2)*(1-'NG Inputs'!$B$4),0)</f>
        <v/>
      </c>
      <c r="E39" s="52">
        <f>E38+IF(OR($D$5=2,MOD(A39,2)=1),1,0)*(MIN('NG Inputs'!$B$12*E38/$C$5,'NG Inputs'!$B$9)*($B$5-'NG Inputs'!$B$5-'NG Inputs'!$B$6-2*'NG Inputs'!$B$7*SQRT(MIN('NG Inputs'!$B$12*E38/$C$5,'NG Inputs'!$B$9)/'NG Inputs'!$B$8))+MAX(E38-MIN('NG Inputs'!$B$12*E38/$C$5,'NG Inputs'!$B$9)*$C$5,0)*'NG Inputs'!$B$10/$D$5)*(1-'NG Inputs'!$B$4)+IF($D$5=1,(1-IF(OR($D$5=2,MOD(A39,2)=1),1,0))*E38*'NG Inputs'!$B$10*(1-'NG Inputs'!$B$4)/2,0)-IF(MOD(A39,2)=0,INDEX($B$11:$D$25,B39,3)*(1-'NG Inputs'!$B$4),0)</f>
        <v/>
      </c>
      <c r="F39" s="49">
        <f>F38+IF(OR($D$6=2,MOD(A39,2)=1),1,0)*(MIN('NG Inputs'!$B$12*F38/$C$6,'NG Inputs'!$B$9)*($B$6-'NG Inputs'!$B$5-'NG Inputs'!$B$6-2*'NG Inputs'!$B$7*SQRT(MIN('NG Inputs'!$B$12*F38/$C$6,'NG Inputs'!$B$9)/'NG Inputs'!$B$8))+MAX(F38-MIN('NG Inputs'!$B$12*F38/$C$6,'NG Inputs'!$B$9)*$C$6,0)*'NG Inputs'!$B$10/$D$6)*(1-'NG Inputs'!$B$4)+IF($D$6=1,(1-IF(OR($D$6=2,MOD(A39,2)=1),1,0))*F38*'NG Inputs'!$B$10*(1-'NG Inputs'!$B$4)/2,0)-IF(MOD(A39,2)=0,INDEX($B$11:$D$25,B39,1)*(1-'NG Inputs'!$B$4),0)</f>
        <v/>
      </c>
      <c r="G39" s="52">
        <f>G38+IF(OR($D$6=2,MOD(A39,2)=1),1,0)*(MIN('NG Inputs'!$B$12*G38/$C$6,'NG Inputs'!$B$9)*($B$6-'NG Inputs'!$B$5-'NG Inputs'!$B$6-2*'NG Inputs'!$B$7*SQRT(MIN('NG Inputs'!$B$12*G38/$C$6,'NG Inputs'!$B$9)/'NG Inputs'!$B$8))+MAX(G38-MIN('NG Inputs'!$B$12*G38/$C$6,'NG Inputs'!$B$9)*$C$6,0)*'NG Inputs'!$B$10/$D$6)*(1-'NG Inputs'!$B$4)+IF($D$6=1,(1-IF(OR($D$6=2,MOD(A39,2)=1),1,0))*G38*'NG Inputs'!$B$10*(1-'NG Inputs'!$B$4)/2,0)-IF(MOD(A39,2)=0,INDEX($B$11:$D$25,B39,2)*(1-'NG Inputs'!$B$4),0)</f>
        <v/>
      </c>
      <c r="H39" s="52">
        <f>H38+IF(OR($D$6=2,MOD(A39,2)=1),1,0)*(MIN('NG Inputs'!$B$12*H38/$C$6,'NG Inputs'!$B$9)*($B$6-'NG Inputs'!$B$5-'NG Inputs'!$B$6-2*'NG Inputs'!$B$7*SQRT(MIN('NG Inputs'!$B$12*H38/$C$6,'NG Inputs'!$B$9)/'NG Inputs'!$B$8))+MAX(H38-MIN('NG Inputs'!$B$12*H38/$C$6,'NG Inputs'!$B$9)*$C$6,0)*'NG Inputs'!$B$10/$D$6)*(1-'NG Inputs'!$B$4)+IF($D$6=1,(1-IF(OR($D$6=2,MOD(A39,2)=1),1,0))*H38*'NG Inputs'!$B$10*(1-'NG Inputs'!$B$4)/2,0)-IF(MOD(A39,2)=0,INDEX($B$11:$D$25,B39,3)*(1-'NG Inputs'!$B$4),0)</f>
        <v/>
      </c>
      <c r="I39" s="49">
        <f>I38+IF(OR($D$7=2,MOD(A39,2)=1),1,0)*(MIN('NG Inputs'!$B$12*I38/$C$7,'NG Inputs'!$B$9)*($B$7-'NG Inputs'!$B$5-'NG Inputs'!$B$6-2*'NG Inputs'!$B$7*SQRT(MIN('NG Inputs'!$B$12*I38/$C$7,'NG Inputs'!$B$9)/'NG Inputs'!$B$8))+MAX(I38-MIN('NG Inputs'!$B$12*I38/$C$7,'NG Inputs'!$B$9)*$C$7,0)*'NG Inputs'!$B$10/$D$7)*(1-'NG Inputs'!$B$4)+IF($D$7=1,(1-IF(OR($D$7=2,MOD(A39,2)=1),1,0))*I38*'NG Inputs'!$B$10*(1-'NG Inputs'!$B$4)/2,0)-IF(MOD(A39,2)=0,INDEX($B$11:$D$25,B39,1)*(1-'NG Inputs'!$B$4),0)</f>
        <v/>
      </c>
      <c r="J39" s="49">
        <f>J38+IF(OR($D$7=2,MOD(A39,2)=1),1,0)*(MIN('NG Inputs'!$B$12*J38/$C$7,'NG Inputs'!$B$9)*($B$7-'NG Inputs'!$B$5-'NG Inputs'!$B$6-2*'NG Inputs'!$B$7*SQRT(MIN('NG Inputs'!$B$12*J38/$C$7,'NG Inputs'!$B$9)/'NG Inputs'!$B$8))+MAX(J38-MIN('NG Inputs'!$B$12*J38/$C$7,'NG Inputs'!$B$9)*$C$7,0)*'NG Inputs'!$B$10/$D$7)*(1-'NG Inputs'!$B$4)+IF($D$7=1,(1-IF(OR($D$7=2,MOD(A39,2)=1),1,0))*J38*'NG Inputs'!$B$10*(1-'NG Inputs'!$B$4)/2,0)-IF(MOD(A39,2)=0,INDEX($B$11:$D$25,B39,2)*(1-'NG Inputs'!$B$4),0)</f>
        <v/>
      </c>
      <c r="K39" s="49">
        <f>K38+IF(OR($D$7=2,MOD(A39,2)=1),1,0)*(MIN('NG Inputs'!$B$12*K38/$C$7,'NG Inputs'!$B$9)*($B$7-'NG Inputs'!$B$5-'NG Inputs'!$B$6-2*'NG Inputs'!$B$7*SQRT(MIN('NG Inputs'!$B$12*K38/$C$7,'NG Inputs'!$B$9)/'NG Inputs'!$B$8))+MAX(K38-MIN('NG Inputs'!$B$12*K38/$C$7,'NG Inputs'!$B$9)*$C$7,0)*'NG Inputs'!$B$10/$D$7)*(1-'NG Inputs'!$B$4)+IF($D$7=1,(1-IF(OR($D$7=2,MOD(A39,2)=1),1,0))*K38*'NG Inputs'!$B$10*(1-'NG Inputs'!$B$4)/2,0)-IF(MOD(A39,2)=0,INDEX($B$11:$D$25,B39,3)*(1-'NG Inputs'!$B$4),0)</f>
        <v/>
      </c>
    </row>
    <row r="40" ht="13.5" customHeight="1">
      <c r="A40" s="13" t="n">
        <v>12</v>
      </c>
      <c r="B40" s="50">
        <f>ROUNDUP(A40/2,0)</f>
        <v/>
      </c>
      <c r="C40" s="53">
        <f>C39+IF(OR($D$5=2,MOD(A40,2)=1),1,0)*(MIN('NG Inputs'!$B$12*C39/$C$5,'NG Inputs'!$B$9)*($B$5-'NG Inputs'!$B$5-'NG Inputs'!$B$6-2*'NG Inputs'!$B$7*SQRT(MIN('NG Inputs'!$B$12*C39/$C$5,'NG Inputs'!$B$9)/'NG Inputs'!$B$8))+MAX(C39-MIN('NG Inputs'!$B$12*C39/$C$5,'NG Inputs'!$B$9)*$C$5,0)*'NG Inputs'!$B$10/$D$5)*(1-'NG Inputs'!$B$4)+IF($D$5=1,(1-IF(OR($D$5=2,MOD(A40,2)=1),1,0))*C39*'NG Inputs'!$B$10*(1-'NG Inputs'!$B$4)/2,0)-IF(MOD(A40,2)=0,INDEX($B$11:$D$25,B40,1)*(1-'NG Inputs'!$B$4),0)</f>
        <v/>
      </c>
      <c r="D40" s="53">
        <f>D39+IF(OR($D$5=2,MOD(A40,2)=1),1,0)*(MIN('NG Inputs'!$B$12*D39/$C$5,'NG Inputs'!$B$9)*($B$5-'NG Inputs'!$B$5-'NG Inputs'!$B$6-2*'NG Inputs'!$B$7*SQRT(MIN('NG Inputs'!$B$12*D39/$C$5,'NG Inputs'!$B$9)/'NG Inputs'!$B$8))+MAX(D39-MIN('NG Inputs'!$B$12*D39/$C$5,'NG Inputs'!$B$9)*$C$5,0)*'NG Inputs'!$B$10/$D$5)*(1-'NG Inputs'!$B$4)+IF($D$5=1,(1-IF(OR($D$5=2,MOD(A40,2)=1),1,0))*D39*'NG Inputs'!$B$10*(1-'NG Inputs'!$B$4)/2,0)-IF(MOD(A40,2)=0,INDEX($B$11:$D$25,B40,2)*(1-'NG Inputs'!$B$4),0)</f>
        <v/>
      </c>
      <c r="E40" s="53">
        <f>E39+IF(OR($D$5=2,MOD(A40,2)=1),1,0)*(MIN('NG Inputs'!$B$12*E39/$C$5,'NG Inputs'!$B$9)*($B$5-'NG Inputs'!$B$5-'NG Inputs'!$B$6-2*'NG Inputs'!$B$7*SQRT(MIN('NG Inputs'!$B$12*E39/$C$5,'NG Inputs'!$B$9)/'NG Inputs'!$B$8))+MAX(E39-MIN('NG Inputs'!$B$12*E39/$C$5,'NG Inputs'!$B$9)*$C$5,0)*'NG Inputs'!$B$10/$D$5)*(1-'NG Inputs'!$B$4)+IF($D$5=1,(1-IF(OR($D$5=2,MOD(A40,2)=1),1,0))*E39*'NG Inputs'!$B$10*(1-'NG Inputs'!$B$4)/2,0)-IF(MOD(A40,2)=0,INDEX($B$11:$D$25,B40,3)*(1-'NG Inputs'!$B$4),0)</f>
        <v/>
      </c>
      <c r="F40" s="51">
        <f>F39+IF(OR($D$6=2,MOD(A40,2)=1),1,0)*(MIN('NG Inputs'!$B$12*F39/$C$6,'NG Inputs'!$B$9)*($B$6-'NG Inputs'!$B$5-'NG Inputs'!$B$6-2*'NG Inputs'!$B$7*SQRT(MIN('NG Inputs'!$B$12*F39/$C$6,'NG Inputs'!$B$9)/'NG Inputs'!$B$8))+MAX(F39-MIN('NG Inputs'!$B$12*F39/$C$6,'NG Inputs'!$B$9)*$C$6,0)*'NG Inputs'!$B$10/$D$6)*(1-'NG Inputs'!$B$4)+IF($D$6=1,(1-IF(OR($D$6=2,MOD(A40,2)=1),1,0))*F39*'NG Inputs'!$B$10*(1-'NG Inputs'!$B$4)/2,0)-IF(MOD(A40,2)=0,INDEX($B$11:$D$25,B40,1)*(1-'NG Inputs'!$B$4),0)</f>
        <v/>
      </c>
      <c r="G40" s="53">
        <f>G39+IF(OR($D$6=2,MOD(A40,2)=1),1,0)*(MIN('NG Inputs'!$B$12*G39/$C$6,'NG Inputs'!$B$9)*($B$6-'NG Inputs'!$B$5-'NG Inputs'!$B$6-2*'NG Inputs'!$B$7*SQRT(MIN('NG Inputs'!$B$12*G39/$C$6,'NG Inputs'!$B$9)/'NG Inputs'!$B$8))+MAX(G39-MIN('NG Inputs'!$B$12*G39/$C$6,'NG Inputs'!$B$9)*$C$6,0)*'NG Inputs'!$B$10/$D$6)*(1-'NG Inputs'!$B$4)+IF($D$6=1,(1-IF(OR($D$6=2,MOD(A40,2)=1),1,0))*G39*'NG Inputs'!$B$10*(1-'NG Inputs'!$B$4)/2,0)-IF(MOD(A40,2)=0,INDEX($B$11:$D$25,B40,2)*(1-'NG Inputs'!$B$4),0)</f>
        <v/>
      </c>
      <c r="H40" s="53">
        <f>H39+IF(OR($D$6=2,MOD(A40,2)=1),1,0)*(MIN('NG Inputs'!$B$12*H39/$C$6,'NG Inputs'!$B$9)*($B$6-'NG Inputs'!$B$5-'NG Inputs'!$B$6-2*'NG Inputs'!$B$7*SQRT(MIN('NG Inputs'!$B$12*H39/$C$6,'NG Inputs'!$B$9)/'NG Inputs'!$B$8))+MAX(H39-MIN('NG Inputs'!$B$12*H39/$C$6,'NG Inputs'!$B$9)*$C$6,0)*'NG Inputs'!$B$10/$D$6)*(1-'NG Inputs'!$B$4)+IF($D$6=1,(1-IF(OR($D$6=2,MOD(A40,2)=1),1,0))*H39*'NG Inputs'!$B$10*(1-'NG Inputs'!$B$4)/2,0)-IF(MOD(A40,2)=0,INDEX($B$11:$D$25,B40,3)*(1-'NG Inputs'!$B$4),0)</f>
        <v/>
      </c>
      <c r="I40" s="51">
        <f>I39+IF(OR($D$7=2,MOD(A40,2)=1),1,0)*(MIN('NG Inputs'!$B$12*I39/$C$7,'NG Inputs'!$B$9)*($B$7-'NG Inputs'!$B$5-'NG Inputs'!$B$6-2*'NG Inputs'!$B$7*SQRT(MIN('NG Inputs'!$B$12*I39/$C$7,'NG Inputs'!$B$9)/'NG Inputs'!$B$8))+MAX(I39-MIN('NG Inputs'!$B$12*I39/$C$7,'NG Inputs'!$B$9)*$C$7,0)*'NG Inputs'!$B$10/$D$7)*(1-'NG Inputs'!$B$4)+IF($D$7=1,(1-IF(OR($D$7=2,MOD(A40,2)=1),1,0))*I39*'NG Inputs'!$B$10*(1-'NG Inputs'!$B$4)/2,0)-IF(MOD(A40,2)=0,INDEX($B$11:$D$25,B40,1)*(1-'NG Inputs'!$B$4),0)</f>
        <v/>
      </c>
      <c r="J40" s="51">
        <f>J39+IF(OR($D$7=2,MOD(A40,2)=1),1,0)*(MIN('NG Inputs'!$B$12*J39/$C$7,'NG Inputs'!$B$9)*($B$7-'NG Inputs'!$B$5-'NG Inputs'!$B$6-2*'NG Inputs'!$B$7*SQRT(MIN('NG Inputs'!$B$12*J39/$C$7,'NG Inputs'!$B$9)/'NG Inputs'!$B$8))+MAX(J39-MIN('NG Inputs'!$B$12*J39/$C$7,'NG Inputs'!$B$9)*$C$7,0)*'NG Inputs'!$B$10/$D$7)*(1-'NG Inputs'!$B$4)+IF($D$7=1,(1-IF(OR($D$7=2,MOD(A40,2)=1),1,0))*J39*'NG Inputs'!$B$10*(1-'NG Inputs'!$B$4)/2,0)-IF(MOD(A40,2)=0,INDEX($B$11:$D$25,B40,2)*(1-'NG Inputs'!$B$4),0)</f>
        <v/>
      </c>
      <c r="K40" s="51">
        <f>K39+IF(OR($D$7=2,MOD(A40,2)=1),1,0)*(MIN('NG Inputs'!$B$12*K39/$C$7,'NG Inputs'!$B$9)*($B$7-'NG Inputs'!$B$5-'NG Inputs'!$B$6-2*'NG Inputs'!$B$7*SQRT(MIN('NG Inputs'!$B$12*K39/$C$7,'NG Inputs'!$B$9)/'NG Inputs'!$B$8))+MAX(K39-MIN('NG Inputs'!$B$12*K39/$C$7,'NG Inputs'!$B$9)*$C$7,0)*'NG Inputs'!$B$10/$D$7)*(1-'NG Inputs'!$B$4)+IF($D$7=1,(1-IF(OR($D$7=2,MOD(A40,2)=1),1,0))*K39*'NG Inputs'!$B$10*(1-'NG Inputs'!$B$4)/2,0)-IF(MOD(A40,2)=0,INDEX($B$11:$D$25,B40,3)*(1-'NG Inputs'!$B$4),0)</f>
        <v/>
      </c>
    </row>
    <row r="41" ht="13.5" customHeight="1">
      <c r="A41" s="10" t="n">
        <v>13</v>
      </c>
      <c r="B41" s="48">
        <f>ROUNDUP(A41/2,0)</f>
        <v/>
      </c>
      <c r="C41" s="52">
        <f>C40+IF(OR($D$5=2,MOD(A41,2)=1),1,0)*(MIN('NG Inputs'!$B$12*C40/$C$5,'NG Inputs'!$B$9)*($B$5-'NG Inputs'!$B$5-'NG Inputs'!$B$6-2*'NG Inputs'!$B$7*SQRT(MIN('NG Inputs'!$B$12*C40/$C$5,'NG Inputs'!$B$9)/'NG Inputs'!$B$8))+MAX(C40-MIN('NG Inputs'!$B$12*C40/$C$5,'NG Inputs'!$B$9)*$C$5,0)*'NG Inputs'!$B$10/$D$5)*(1-'NG Inputs'!$B$4)+IF($D$5=1,(1-IF(OR($D$5=2,MOD(A41,2)=1),1,0))*C40*'NG Inputs'!$B$10*(1-'NG Inputs'!$B$4)/2,0)-IF(MOD(A41,2)=0,INDEX($B$11:$D$25,B41,1)*(1-'NG Inputs'!$B$4),0)</f>
        <v/>
      </c>
      <c r="D41" s="52">
        <f>D40+IF(OR($D$5=2,MOD(A41,2)=1),1,0)*(MIN('NG Inputs'!$B$12*D40/$C$5,'NG Inputs'!$B$9)*($B$5-'NG Inputs'!$B$5-'NG Inputs'!$B$6-2*'NG Inputs'!$B$7*SQRT(MIN('NG Inputs'!$B$12*D40/$C$5,'NG Inputs'!$B$9)/'NG Inputs'!$B$8))+MAX(D40-MIN('NG Inputs'!$B$12*D40/$C$5,'NG Inputs'!$B$9)*$C$5,0)*'NG Inputs'!$B$10/$D$5)*(1-'NG Inputs'!$B$4)+IF($D$5=1,(1-IF(OR($D$5=2,MOD(A41,2)=1),1,0))*D40*'NG Inputs'!$B$10*(1-'NG Inputs'!$B$4)/2,0)-IF(MOD(A41,2)=0,INDEX($B$11:$D$25,B41,2)*(1-'NG Inputs'!$B$4),0)</f>
        <v/>
      </c>
      <c r="E41" s="52">
        <f>E40+IF(OR($D$5=2,MOD(A41,2)=1),1,0)*(MIN('NG Inputs'!$B$12*E40/$C$5,'NG Inputs'!$B$9)*($B$5-'NG Inputs'!$B$5-'NG Inputs'!$B$6-2*'NG Inputs'!$B$7*SQRT(MIN('NG Inputs'!$B$12*E40/$C$5,'NG Inputs'!$B$9)/'NG Inputs'!$B$8))+MAX(E40-MIN('NG Inputs'!$B$12*E40/$C$5,'NG Inputs'!$B$9)*$C$5,0)*'NG Inputs'!$B$10/$D$5)*(1-'NG Inputs'!$B$4)+IF($D$5=1,(1-IF(OR($D$5=2,MOD(A41,2)=1),1,0))*E40*'NG Inputs'!$B$10*(1-'NG Inputs'!$B$4)/2,0)-IF(MOD(A41,2)=0,INDEX($B$11:$D$25,B41,3)*(1-'NG Inputs'!$B$4),0)</f>
        <v/>
      </c>
      <c r="F41" s="52">
        <f>F40+IF(OR($D$6=2,MOD(A41,2)=1),1,0)*(MIN('NG Inputs'!$B$12*F40/$C$6,'NG Inputs'!$B$9)*($B$6-'NG Inputs'!$B$5-'NG Inputs'!$B$6-2*'NG Inputs'!$B$7*SQRT(MIN('NG Inputs'!$B$12*F40/$C$6,'NG Inputs'!$B$9)/'NG Inputs'!$B$8))+MAX(F40-MIN('NG Inputs'!$B$12*F40/$C$6,'NG Inputs'!$B$9)*$C$6,0)*'NG Inputs'!$B$10/$D$6)*(1-'NG Inputs'!$B$4)+IF($D$6=1,(1-IF(OR($D$6=2,MOD(A41,2)=1),1,0))*F40*'NG Inputs'!$B$10*(1-'NG Inputs'!$B$4)/2,0)-IF(MOD(A41,2)=0,INDEX($B$11:$D$25,B41,1)*(1-'NG Inputs'!$B$4),0)</f>
        <v/>
      </c>
      <c r="G41" s="52">
        <f>G40+IF(OR($D$6=2,MOD(A41,2)=1),1,0)*(MIN('NG Inputs'!$B$12*G40/$C$6,'NG Inputs'!$B$9)*($B$6-'NG Inputs'!$B$5-'NG Inputs'!$B$6-2*'NG Inputs'!$B$7*SQRT(MIN('NG Inputs'!$B$12*G40/$C$6,'NG Inputs'!$B$9)/'NG Inputs'!$B$8))+MAX(G40-MIN('NG Inputs'!$B$12*G40/$C$6,'NG Inputs'!$B$9)*$C$6,0)*'NG Inputs'!$B$10/$D$6)*(1-'NG Inputs'!$B$4)+IF($D$6=1,(1-IF(OR($D$6=2,MOD(A41,2)=1),1,0))*G40*'NG Inputs'!$B$10*(1-'NG Inputs'!$B$4)/2,0)-IF(MOD(A41,2)=0,INDEX($B$11:$D$25,B41,2)*(1-'NG Inputs'!$B$4),0)</f>
        <v/>
      </c>
      <c r="H41" s="52">
        <f>H40+IF(OR($D$6=2,MOD(A41,2)=1),1,0)*(MIN('NG Inputs'!$B$12*H40/$C$6,'NG Inputs'!$B$9)*($B$6-'NG Inputs'!$B$5-'NG Inputs'!$B$6-2*'NG Inputs'!$B$7*SQRT(MIN('NG Inputs'!$B$12*H40/$C$6,'NG Inputs'!$B$9)/'NG Inputs'!$B$8))+MAX(H40-MIN('NG Inputs'!$B$12*H40/$C$6,'NG Inputs'!$B$9)*$C$6,0)*'NG Inputs'!$B$10/$D$6)*(1-'NG Inputs'!$B$4)+IF($D$6=1,(1-IF(OR($D$6=2,MOD(A41,2)=1),1,0))*H40*'NG Inputs'!$B$10*(1-'NG Inputs'!$B$4)/2,0)-IF(MOD(A41,2)=0,INDEX($B$11:$D$25,B41,3)*(1-'NG Inputs'!$B$4),0)</f>
        <v/>
      </c>
      <c r="I41" s="49">
        <f>I40+IF(OR($D$7=2,MOD(A41,2)=1),1,0)*(MIN('NG Inputs'!$B$12*I40/$C$7,'NG Inputs'!$B$9)*($B$7-'NG Inputs'!$B$5-'NG Inputs'!$B$6-2*'NG Inputs'!$B$7*SQRT(MIN('NG Inputs'!$B$12*I40/$C$7,'NG Inputs'!$B$9)/'NG Inputs'!$B$8))+MAX(I40-MIN('NG Inputs'!$B$12*I40/$C$7,'NG Inputs'!$B$9)*$C$7,0)*'NG Inputs'!$B$10/$D$7)*(1-'NG Inputs'!$B$4)+IF($D$7=1,(1-IF(OR($D$7=2,MOD(A41,2)=1),1,0))*I40*'NG Inputs'!$B$10*(1-'NG Inputs'!$B$4)/2,0)-IF(MOD(A41,2)=0,INDEX($B$11:$D$25,B41,1)*(1-'NG Inputs'!$B$4),0)</f>
        <v/>
      </c>
      <c r="J41" s="49">
        <f>J40+IF(OR($D$7=2,MOD(A41,2)=1),1,0)*(MIN('NG Inputs'!$B$12*J40/$C$7,'NG Inputs'!$B$9)*($B$7-'NG Inputs'!$B$5-'NG Inputs'!$B$6-2*'NG Inputs'!$B$7*SQRT(MIN('NG Inputs'!$B$12*J40/$C$7,'NG Inputs'!$B$9)/'NG Inputs'!$B$8))+MAX(J40-MIN('NG Inputs'!$B$12*J40/$C$7,'NG Inputs'!$B$9)*$C$7,0)*'NG Inputs'!$B$10/$D$7)*(1-'NG Inputs'!$B$4)+IF($D$7=1,(1-IF(OR($D$7=2,MOD(A41,2)=1),1,0))*J40*'NG Inputs'!$B$10*(1-'NG Inputs'!$B$4)/2,0)-IF(MOD(A41,2)=0,INDEX($B$11:$D$25,B41,2)*(1-'NG Inputs'!$B$4),0)</f>
        <v/>
      </c>
      <c r="K41" s="49">
        <f>K40+IF(OR($D$7=2,MOD(A41,2)=1),1,0)*(MIN('NG Inputs'!$B$12*K40/$C$7,'NG Inputs'!$B$9)*($B$7-'NG Inputs'!$B$5-'NG Inputs'!$B$6-2*'NG Inputs'!$B$7*SQRT(MIN('NG Inputs'!$B$12*K40/$C$7,'NG Inputs'!$B$9)/'NG Inputs'!$B$8))+MAX(K40-MIN('NG Inputs'!$B$12*K40/$C$7,'NG Inputs'!$B$9)*$C$7,0)*'NG Inputs'!$B$10/$D$7)*(1-'NG Inputs'!$B$4)+IF($D$7=1,(1-IF(OR($D$7=2,MOD(A41,2)=1),1,0))*K40*'NG Inputs'!$B$10*(1-'NG Inputs'!$B$4)/2,0)-IF(MOD(A41,2)=0,INDEX($B$11:$D$25,B41,3)*(1-'NG Inputs'!$B$4),0)</f>
        <v/>
      </c>
    </row>
    <row r="42" ht="13.5" customHeight="1">
      <c r="A42" s="13" t="n">
        <v>14</v>
      </c>
      <c r="B42" s="50">
        <f>ROUNDUP(A42/2,0)</f>
        <v/>
      </c>
      <c r="C42" s="53">
        <f>C41+IF(OR($D$5=2,MOD(A42,2)=1),1,0)*(MIN('NG Inputs'!$B$12*C41/$C$5,'NG Inputs'!$B$9)*($B$5-'NG Inputs'!$B$5-'NG Inputs'!$B$6-2*'NG Inputs'!$B$7*SQRT(MIN('NG Inputs'!$B$12*C41/$C$5,'NG Inputs'!$B$9)/'NG Inputs'!$B$8))+MAX(C41-MIN('NG Inputs'!$B$12*C41/$C$5,'NG Inputs'!$B$9)*$C$5,0)*'NG Inputs'!$B$10/$D$5)*(1-'NG Inputs'!$B$4)+IF($D$5=1,(1-IF(OR($D$5=2,MOD(A42,2)=1),1,0))*C41*'NG Inputs'!$B$10*(1-'NG Inputs'!$B$4)/2,0)-IF(MOD(A42,2)=0,INDEX($B$11:$D$25,B42,1)*(1-'NG Inputs'!$B$4),0)</f>
        <v/>
      </c>
      <c r="D42" s="53">
        <f>D41+IF(OR($D$5=2,MOD(A42,2)=1),1,0)*(MIN('NG Inputs'!$B$12*D41/$C$5,'NG Inputs'!$B$9)*($B$5-'NG Inputs'!$B$5-'NG Inputs'!$B$6-2*'NG Inputs'!$B$7*SQRT(MIN('NG Inputs'!$B$12*D41/$C$5,'NG Inputs'!$B$9)/'NG Inputs'!$B$8))+MAX(D41-MIN('NG Inputs'!$B$12*D41/$C$5,'NG Inputs'!$B$9)*$C$5,0)*'NG Inputs'!$B$10/$D$5)*(1-'NG Inputs'!$B$4)+IF($D$5=1,(1-IF(OR($D$5=2,MOD(A42,2)=1),1,0))*D41*'NG Inputs'!$B$10*(1-'NG Inputs'!$B$4)/2,0)-IF(MOD(A42,2)=0,INDEX($B$11:$D$25,B42,2)*(1-'NG Inputs'!$B$4),0)</f>
        <v/>
      </c>
      <c r="E42" s="53">
        <f>E41+IF(OR($D$5=2,MOD(A42,2)=1),1,0)*(MIN('NG Inputs'!$B$12*E41/$C$5,'NG Inputs'!$B$9)*($B$5-'NG Inputs'!$B$5-'NG Inputs'!$B$6-2*'NG Inputs'!$B$7*SQRT(MIN('NG Inputs'!$B$12*E41/$C$5,'NG Inputs'!$B$9)/'NG Inputs'!$B$8))+MAX(E41-MIN('NG Inputs'!$B$12*E41/$C$5,'NG Inputs'!$B$9)*$C$5,0)*'NG Inputs'!$B$10/$D$5)*(1-'NG Inputs'!$B$4)+IF($D$5=1,(1-IF(OR($D$5=2,MOD(A42,2)=1),1,0))*E41*'NG Inputs'!$B$10*(1-'NG Inputs'!$B$4)/2,0)-IF(MOD(A42,2)=0,INDEX($B$11:$D$25,B42,3)*(1-'NG Inputs'!$B$4),0)</f>
        <v/>
      </c>
      <c r="F42" s="53">
        <f>F41+IF(OR($D$6=2,MOD(A42,2)=1),1,0)*(MIN('NG Inputs'!$B$12*F41/$C$6,'NG Inputs'!$B$9)*($B$6-'NG Inputs'!$B$5-'NG Inputs'!$B$6-2*'NG Inputs'!$B$7*SQRT(MIN('NG Inputs'!$B$12*F41/$C$6,'NG Inputs'!$B$9)/'NG Inputs'!$B$8))+MAX(F41-MIN('NG Inputs'!$B$12*F41/$C$6,'NG Inputs'!$B$9)*$C$6,0)*'NG Inputs'!$B$10/$D$6)*(1-'NG Inputs'!$B$4)+IF($D$6=1,(1-IF(OR($D$6=2,MOD(A42,2)=1),1,0))*F41*'NG Inputs'!$B$10*(1-'NG Inputs'!$B$4)/2,0)-IF(MOD(A42,2)=0,INDEX($B$11:$D$25,B42,1)*(1-'NG Inputs'!$B$4),0)</f>
        <v/>
      </c>
      <c r="G42" s="53">
        <f>G41+IF(OR($D$6=2,MOD(A42,2)=1),1,0)*(MIN('NG Inputs'!$B$12*G41/$C$6,'NG Inputs'!$B$9)*($B$6-'NG Inputs'!$B$5-'NG Inputs'!$B$6-2*'NG Inputs'!$B$7*SQRT(MIN('NG Inputs'!$B$12*G41/$C$6,'NG Inputs'!$B$9)/'NG Inputs'!$B$8))+MAX(G41-MIN('NG Inputs'!$B$12*G41/$C$6,'NG Inputs'!$B$9)*$C$6,0)*'NG Inputs'!$B$10/$D$6)*(1-'NG Inputs'!$B$4)+IF($D$6=1,(1-IF(OR($D$6=2,MOD(A42,2)=1),1,0))*G41*'NG Inputs'!$B$10*(1-'NG Inputs'!$B$4)/2,0)-IF(MOD(A42,2)=0,INDEX($B$11:$D$25,B42,2)*(1-'NG Inputs'!$B$4),0)</f>
        <v/>
      </c>
      <c r="H42" s="53">
        <f>H41+IF(OR($D$6=2,MOD(A42,2)=1),1,0)*(MIN('NG Inputs'!$B$12*H41/$C$6,'NG Inputs'!$B$9)*($B$6-'NG Inputs'!$B$5-'NG Inputs'!$B$6-2*'NG Inputs'!$B$7*SQRT(MIN('NG Inputs'!$B$12*H41/$C$6,'NG Inputs'!$B$9)/'NG Inputs'!$B$8))+MAX(H41-MIN('NG Inputs'!$B$12*H41/$C$6,'NG Inputs'!$B$9)*$C$6,0)*'NG Inputs'!$B$10/$D$6)*(1-'NG Inputs'!$B$4)+IF($D$6=1,(1-IF(OR($D$6=2,MOD(A42,2)=1),1,0))*H41*'NG Inputs'!$B$10*(1-'NG Inputs'!$B$4)/2,0)-IF(MOD(A42,2)=0,INDEX($B$11:$D$25,B42,3)*(1-'NG Inputs'!$B$4),0)</f>
        <v/>
      </c>
      <c r="I42" s="51">
        <f>I41+IF(OR($D$7=2,MOD(A42,2)=1),1,0)*(MIN('NG Inputs'!$B$12*I41/$C$7,'NG Inputs'!$B$9)*($B$7-'NG Inputs'!$B$5-'NG Inputs'!$B$6-2*'NG Inputs'!$B$7*SQRT(MIN('NG Inputs'!$B$12*I41/$C$7,'NG Inputs'!$B$9)/'NG Inputs'!$B$8))+MAX(I41-MIN('NG Inputs'!$B$12*I41/$C$7,'NG Inputs'!$B$9)*$C$7,0)*'NG Inputs'!$B$10/$D$7)*(1-'NG Inputs'!$B$4)+IF($D$7=1,(1-IF(OR($D$7=2,MOD(A42,2)=1),1,0))*I41*'NG Inputs'!$B$10*(1-'NG Inputs'!$B$4)/2,0)-IF(MOD(A42,2)=0,INDEX($B$11:$D$25,B42,1)*(1-'NG Inputs'!$B$4),0)</f>
        <v/>
      </c>
      <c r="J42" s="51">
        <f>J41+IF(OR($D$7=2,MOD(A42,2)=1),1,0)*(MIN('NG Inputs'!$B$12*J41/$C$7,'NG Inputs'!$B$9)*($B$7-'NG Inputs'!$B$5-'NG Inputs'!$B$6-2*'NG Inputs'!$B$7*SQRT(MIN('NG Inputs'!$B$12*J41/$C$7,'NG Inputs'!$B$9)/'NG Inputs'!$B$8))+MAX(J41-MIN('NG Inputs'!$B$12*J41/$C$7,'NG Inputs'!$B$9)*$C$7,0)*'NG Inputs'!$B$10/$D$7)*(1-'NG Inputs'!$B$4)+IF($D$7=1,(1-IF(OR($D$7=2,MOD(A42,2)=1),1,0))*J41*'NG Inputs'!$B$10*(1-'NG Inputs'!$B$4)/2,0)-IF(MOD(A42,2)=0,INDEX($B$11:$D$25,B42,2)*(1-'NG Inputs'!$B$4),0)</f>
        <v/>
      </c>
      <c r="K42" s="51">
        <f>K41+IF(OR($D$7=2,MOD(A42,2)=1),1,0)*(MIN('NG Inputs'!$B$12*K41/$C$7,'NG Inputs'!$B$9)*($B$7-'NG Inputs'!$B$5-'NG Inputs'!$B$6-2*'NG Inputs'!$B$7*SQRT(MIN('NG Inputs'!$B$12*K41/$C$7,'NG Inputs'!$B$9)/'NG Inputs'!$B$8))+MAX(K41-MIN('NG Inputs'!$B$12*K41/$C$7,'NG Inputs'!$B$9)*$C$7,0)*'NG Inputs'!$B$10/$D$7)*(1-'NG Inputs'!$B$4)+IF($D$7=1,(1-IF(OR($D$7=2,MOD(A42,2)=1),1,0))*K41*'NG Inputs'!$B$10*(1-'NG Inputs'!$B$4)/2,0)-IF(MOD(A42,2)=0,INDEX($B$11:$D$25,B42,3)*(1-'NG Inputs'!$B$4),0)</f>
        <v/>
      </c>
    </row>
    <row r="43" ht="13.5" customHeight="1">
      <c r="A43" s="10" t="n">
        <v>15</v>
      </c>
      <c r="B43" s="48">
        <f>ROUNDUP(A43/2,0)</f>
        <v/>
      </c>
      <c r="C43" s="52">
        <f>C42+IF(OR($D$5=2,MOD(A43,2)=1),1,0)*(MIN('NG Inputs'!$B$12*C42/$C$5,'NG Inputs'!$B$9)*($B$5-'NG Inputs'!$B$5-'NG Inputs'!$B$6-2*'NG Inputs'!$B$7*SQRT(MIN('NG Inputs'!$B$12*C42/$C$5,'NG Inputs'!$B$9)/'NG Inputs'!$B$8))+MAX(C42-MIN('NG Inputs'!$B$12*C42/$C$5,'NG Inputs'!$B$9)*$C$5,0)*'NG Inputs'!$B$10/$D$5)*(1-'NG Inputs'!$B$4)+IF($D$5=1,(1-IF(OR($D$5=2,MOD(A43,2)=1),1,0))*C42*'NG Inputs'!$B$10*(1-'NG Inputs'!$B$4)/2,0)-IF(MOD(A43,2)=0,INDEX($B$11:$D$25,B43,1)*(1-'NG Inputs'!$B$4),0)</f>
        <v/>
      </c>
      <c r="D43" s="52">
        <f>D42+IF(OR($D$5=2,MOD(A43,2)=1),1,0)*(MIN('NG Inputs'!$B$12*D42/$C$5,'NG Inputs'!$B$9)*($B$5-'NG Inputs'!$B$5-'NG Inputs'!$B$6-2*'NG Inputs'!$B$7*SQRT(MIN('NG Inputs'!$B$12*D42/$C$5,'NG Inputs'!$B$9)/'NG Inputs'!$B$8))+MAX(D42-MIN('NG Inputs'!$B$12*D42/$C$5,'NG Inputs'!$B$9)*$C$5,0)*'NG Inputs'!$B$10/$D$5)*(1-'NG Inputs'!$B$4)+IF($D$5=1,(1-IF(OR($D$5=2,MOD(A43,2)=1),1,0))*D42*'NG Inputs'!$B$10*(1-'NG Inputs'!$B$4)/2,0)-IF(MOD(A43,2)=0,INDEX($B$11:$D$25,B43,2)*(1-'NG Inputs'!$B$4),0)</f>
        <v/>
      </c>
      <c r="E43" s="52">
        <f>E42+IF(OR($D$5=2,MOD(A43,2)=1),1,0)*(MIN('NG Inputs'!$B$12*E42/$C$5,'NG Inputs'!$B$9)*($B$5-'NG Inputs'!$B$5-'NG Inputs'!$B$6-2*'NG Inputs'!$B$7*SQRT(MIN('NG Inputs'!$B$12*E42/$C$5,'NG Inputs'!$B$9)/'NG Inputs'!$B$8))+MAX(E42-MIN('NG Inputs'!$B$12*E42/$C$5,'NG Inputs'!$B$9)*$C$5,0)*'NG Inputs'!$B$10/$D$5)*(1-'NG Inputs'!$B$4)+IF($D$5=1,(1-IF(OR($D$5=2,MOD(A43,2)=1),1,0))*E42*'NG Inputs'!$B$10*(1-'NG Inputs'!$B$4)/2,0)-IF(MOD(A43,2)=0,INDEX($B$11:$D$25,B43,3)*(1-'NG Inputs'!$B$4),0)</f>
        <v/>
      </c>
      <c r="F43" s="52">
        <f>F42+IF(OR($D$6=2,MOD(A43,2)=1),1,0)*(MIN('NG Inputs'!$B$12*F42/$C$6,'NG Inputs'!$B$9)*($B$6-'NG Inputs'!$B$5-'NG Inputs'!$B$6-2*'NG Inputs'!$B$7*SQRT(MIN('NG Inputs'!$B$12*F42/$C$6,'NG Inputs'!$B$9)/'NG Inputs'!$B$8))+MAX(F42-MIN('NG Inputs'!$B$12*F42/$C$6,'NG Inputs'!$B$9)*$C$6,0)*'NG Inputs'!$B$10/$D$6)*(1-'NG Inputs'!$B$4)+IF($D$6=1,(1-IF(OR($D$6=2,MOD(A43,2)=1),1,0))*F42*'NG Inputs'!$B$10*(1-'NG Inputs'!$B$4)/2,0)-IF(MOD(A43,2)=0,INDEX($B$11:$D$25,B43,1)*(1-'NG Inputs'!$B$4),0)</f>
        <v/>
      </c>
      <c r="G43" s="52">
        <f>G42+IF(OR($D$6=2,MOD(A43,2)=1),1,0)*(MIN('NG Inputs'!$B$12*G42/$C$6,'NG Inputs'!$B$9)*($B$6-'NG Inputs'!$B$5-'NG Inputs'!$B$6-2*'NG Inputs'!$B$7*SQRT(MIN('NG Inputs'!$B$12*G42/$C$6,'NG Inputs'!$B$9)/'NG Inputs'!$B$8))+MAX(G42-MIN('NG Inputs'!$B$12*G42/$C$6,'NG Inputs'!$B$9)*$C$6,0)*'NG Inputs'!$B$10/$D$6)*(1-'NG Inputs'!$B$4)+IF($D$6=1,(1-IF(OR($D$6=2,MOD(A43,2)=1),1,0))*G42*'NG Inputs'!$B$10*(1-'NG Inputs'!$B$4)/2,0)-IF(MOD(A43,2)=0,INDEX($B$11:$D$25,B43,2)*(1-'NG Inputs'!$B$4),0)</f>
        <v/>
      </c>
      <c r="H43" s="52">
        <f>H42+IF(OR($D$6=2,MOD(A43,2)=1),1,0)*(MIN('NG Inputs'!$B$12*H42/$C$6,'NG Inputs'!$B$9)*($B$6-'NG Inputs'!$B$5-'NG Inputs'!$B$6-2*'NG Inputs'!$B$7*SQRT(MIN('NG Inputs'!$B$12*H42/$C$6,'NG Inputs'!$B$9)/'NG Inputs'!$B$8))+MAX(H42-MIN('NG Inputs'!$B$12*H42/$C$6,'NG Inputs'!$B$9)*$C$6,0)*'NG Inputs'!$B$10/$D$6)*(1-'NG Inputs'!$B$4)+IF($D$6=1,(1-IF(OR($D$6=2,MOD(A43,2)=1),1,0))*H42*'NG Inputs'!$B$10*(1-'NG Inputs'!$B$4)/2,0)-IF(MOD(A43,2)=0,INDEX($B$11:$D$25,B43,3)*(1-'NG Inputs'!$B$4),0)</f>
        <v/>
      </c>
      <c r="I43" s="49">
        <f>I42+IF(OR($D$7=2,MOD(A43,2)=1),1,0)*(MIN('NG Inputs'!$B$12*I42/$C$7,'NG Inputs'!$B$9)*($B$7-'NG Inputs'!$B$5-'NG Inputs'!$B$6-2*'NG Inputs'!$B$7*SQRT(MIN('NG Inputs'!$B$12*I42/$C$7,'NG Inputs'!$B$9)/'NG Inputs'!$B$8))+MAX(I42-MIN('NG Inputs'!$B$12*I42/$C$7,'NG Inputs'!$B$9)*$C$7,0)*'NG Inputs'!$B$10/$D$7)*(1-'NG Inputs'!$B$4)+IF($D$7=1,(1-IF(OR($D$7=2,MOD(A43,2)=1),1,0))*I42*'NG Inputs'!$B$10*(1-'NG Inputs'!$B$4)/2,0)-IF(MOD(A43,2)=0,INDEX($B$11:$D$25,B43,1)*(1-'NG Inputs'!$B$4),0)</f>
        <v/>
      </c>
      <c r="J43" s="49">
        <f>J42+IF(OR($D$7=2,MOD(A43,2)=1),1,0)*(MIN('NG Inputs'!$B$12*J42/$C$7,'NG Inputs'!$B$9)*($B$7-'NG Inputs'!$B$5-'NG Inputs'!$B$6-2*'NG Inputs'!$B$7*SQRT(MIN('NG Inputs'!$B$12*J42/$C$7,'NG Inputs'!$B$9)/'NG Inputs'!$B$8))+MAX(J42-MIN('NG Inputs'!$B$12*J42/$C$7,'NG Inputs'!$B$9)*$C$7,0)*'NG Inputs'!$B$10/$D$7)*(1-'NG Inputs'!$B$4)+IF($D$7=1,(1-IF(OR($D$7=2,MOD(A43,2)=1),1,0))*J42*'NG Inputs'!$B$10*(1-'NG Inputs'!$B$4)/2,0)-IF(MOD(A43,2)=0,INDEX($B$11:$D$25,B43,2)*(1-'NG Inputs'!$B$4),0)</f>
        <v/>
      </c>
      <c r="K43" s="49">
        <f>K42+IF(OR($D$7=2,MOD(A43,2)=1),1,0)*(MIN('NG Inputs'!$B$12*K42/$C$7,'NG Inputs'!$B$9)*($B$7-'NG Inputs'!$B$5-'NG Inputs'!$B$6-2*'NG Inputs'!$B$7*SQRT(MIN('NG Inputs'!$B$12*K42/$C$7,'NG Inputs'!$B$9)/'NG Inputs'!$B$8))+MAX(K42-MIN('NG Inputs'!$B$12*K42/$C$7,'NG Inputs'!$B$9)*$C$7,0)*'NG Inputs'!$B$10/$D$7)*(1-'NG Inputs'!$B$4)+IF($D$7=1,(1-IF(OR($D$7=2,MOD(A43,2)=1),1,0))*K42*'NG Inputs'!$B$10*(1-'NG Inputs'!$B$4)/2,0)-IF(MOD(A43,2)=0,INDEX($B$11:$D$25,B43,3)*(1-'NG Inputs'!$B$4),0)</f>
        <v/>
      </c>
    </row>
    <row r="44" ht="13.5" customHeight="1">
      <c r="A44" s="13" t="n">
        <v>16</v>
      </c>
      <c r="B44" s="50">
        <f>ROUNDUP(A44/2,0)</f>
        <v/>
      </c>
      <c r="C44" s="53">
        <f>C43+IF(OR($D$5=2,MOD(A44,2)=1),1,0)*(MIN('NG Inputs'!$B$12*C43/$C$5,'NG Inputs'!$B$9)*($B$5-'NG Inputs'!$B$5-'NG Inputs'!$B$6-2*'NG Inputs'!$B$7*SQRT(MIN('NG Inputs'!$B$12*C43/$C$5,'NG Inputs'!$B$9)/'NG Inputs'!$B$8))+MAX(C43-MIN('NG Inputs'!$B$12*C43/$C$5,'NG Inputs'!$B$9)*$C$5,0)*'NG Inputs'!$B$10/$D$5)*(1-'NG Inputs'!$B$4)+IF($D$5=1,(1-IF(OR($D$5=2,MOD(A44,2)=1),1,0))*C43*'NG Inputs'!$B$10*(1-'NG Inputs'!$B$4)/2,0)-IF(MOD(A44,2)=0,INDEX($B$11:$D$25,B44,1)*(1-'NG Inputs'!$B$4),0)</f>
        <v/>
      </c>
      <c r="D44" s="53">
        <f>D43+IF(OR($D$5=2,MOD(A44,2)=1),1,0)*(MIN('NG Inputs'!$B$12*D43/$C$5,'NG Inputs'!$B$9)*($B$5-'NG Inputs'!$B$5-'NG Inputs'!$B$6-2*'NG Inputs'!$B$7*SQRT(MIN('NG Inputs'!$B$12*D43/$C$5,'NG Inputs'!$B$9)/'NG Inputs'!$B$8))+MAX(D43-MIN('NG Inputs'!$B$12*D43/$C$5,'NG Inputs'!$B$9)*$C$5,0)*'NG Inputs'!$B$10/$D$5)*(1-'NG Inputs'!$B$4)+IF($D$5=1,(1-IF(OR($D$5=2,MOD(A44,2)=1),1,0))*D43*'NG Inputs'!$B$10*(1-'NG Inputs'!$B$4)/2,0)-IF(MOD(A44,2)=0,INDEX($B$11:$D$25,B44,2)*(1-'NG Inputs'!$B$4),0)</f>
        <v/>
      </c>
      <c r="E44" s="53">
        <f>E43+IF(OR($D$5=2,MOD(A44,2)=1),1,0)*(MIN('NG Inputs'!$B$12*E43/$C$5,'NG Inputs'!$B$9)*($B$5-'NG Inputs'!$B$5-'NG Inputs'!$B$6-2*'NG Inputs'!$B$7*SQRT(MIN('NG Inputs'!$B$12*E43/$C$5,'NG Inputs'!$B$9)/'NG Inputs'!$B$8))+MAX(E43-MIN('NG Inputs'!$B$12*E43/$C$5,'NG Inputs'!$B$9)*$C$5,0)*'NG Inputs'!$B$10/$D$5)*(1-'NG Inputs'!$B$4)+IF($D$5=1,(1-IF(OR($D$5=2,MOD(A44,2)=1),1,0))*E43*'NG Inputs'!$B$10*(1-'NG Inputs'!$B$4)/2,0)-IF(MOD(A44,2)=0,INDEX($B$11:$D$25,B44,3)*(1-'NG Inputs'!$B$4),0)</f>
        <v/>
      </c>
      <c r="F44" s="53">
        <f>F43+IF(OR($D$6=2,MOD(A44,2)=1),1,0)*(MIN('NG Inputs'!$B$12*F43/$C$6,'NG Inputs'!$B$9)*($B$6-'NG Inputs'!$B$5-'NG Inputs'!$B$6-2*'NG Inputs'!$B$7*SQRT(MIN('NG Inputs'!$B$12*F43/$C$6,'NG Inputs'!$B$9)/'NG Inputs'!$B$8))+MAX(F43-MIN('NG Inputs'!$B$12*F43/$C$6,'NG Inputs'!$B$9)*$C$6,0)*'NG Inputs'!$B$10/$D$6)*(1-'NG Inputs'!$B$4)+IF($D$6=1,(1-IF(OR($D$6=2,MOD(A44,2)=1),1,0))*F43*'NG Inputs'!$B$10*(1-'NG Inputs'!$B$4)/2,0)-IF(MOD(A44,2)=0,INDEX($B$11:$D$25,B44,1)*(1-'NG Inputs'!$B$4),0)</f>
        <v/>
      </c>
      <c r="G44" s="53">
        <f>G43+IF(OR($D$6=2,MOD(A44,2)=1),1,0)*(MIN('NG Inputs'!$B$12*G43/$C$6,'NG Inputs'!$B$9)*($B$6-'NG Inputs'!$B$5-'NG Inputs'!$B$6-2*'NG Inputs'!$B$7*SQRT(MIN('NG Inputs'!$B$12*G43/$C$6,'NG Inputs'!$B$9)/'NG Inputs'!$B$8))+MAX(G43-MIN('NG Inputs'!$B$12*G43/$C$6,'NG Inputs'!$B$9)*$C$6,0)*'NG Inputs'!$B$10/$D$6)*(1-'NG Inputs'!$B$4)+IF($D$6=1,(1-IF(OR($D$6=2,MOD(A44,2)=1),1,0))*G43*'NG Inputs'!$B$10*(1-'NG Inputs'!$B$4)/2,0)-IF(MOD(A44,2)=0,INDEX($B$11:$D$25,B44,2)*(1-'NG Inputs'!$B$4),0)</f>
        <v/>
      </c>
      <c r="H44" s="53">
        <f>H43+IF(OR($D$6=2,MOD(A44,2)=1),1,0)*(MIN('NG Inputs'!$B$12*H43/$C$6,'NG Inputs'!$B$9)*($B$6-'NG Inputs'!$B$5-'NG Inputs'!$B$6-2*'NG Inputs'!$B$7*SQRT(MIN('NG Inputs'!$B$12*H43/$C$6,'NG Inputs'!$B$9)/'NG Inputs'!$B$8))+MAX(H43-MIN('NG Inputs'!$B$12*H43/$C$6,'NG Inputs'!$B$9)*$C$6,0)*'NG Inputs'!$B$10/$D$6)*(1-'NG Inputs'!$B$4)+IF($D$6=1,(1-IF(OR($D$6=2,MOD(A44,2)=1),1,0))*H43*'NG Inputs'!$B$10*(1-'NG Inputs'!$B$4)/2,0)-IF(MOD(A44,2)=0,INDEX($B$11:$D$25,B44,3)*(1-'NG Inputs'!$B$4),0)</f>
        <v/>
      </c>
      <c r="I44" s="51">
        <f>I43+IF(OR($D$7=2,MOD(A44,2)=1),1,0)*(MIN('NG Inputs'!$B$12*I43/$C$7,'NG Inputs'!$B$9)*($B$7-'NG Inputs'!$B$5-'NG Inputs'!$B$6-2*'NG Inputs'!$B$7*SQRT(MIN('NG Inputs'!$B$12*I43/$C$7,'NG Inputs'!$B$9)/'NG Inputs'!$B$8))+MAX(I43-MIN('NG Inputs'!$B$12*I43/$C$7,'NG Inputs'!$B$9)*$C$7,0)*'NG Inputs'!$B$10/$D$7)*(1-'NG Inputs'!$B$4)+IF($D$7=1,(1-IF(OR($D$7=2,MOD(A44,2)=1),1,0))*I43*'NG Inputs'!$B$10*(1-'NG Inputs'!$B$4)/2,0)-IF(MOD(A44,2)=0,INDEX($B$11:$D$25,B44,1)*(1-'NG Inputs'!$B$4),0)</f>
        <v/>
      </c>
      <c r="J44" s="51">
        <f>J43+IF(OR($D$7=2,MOD(A44,2)=1),1,0)*(MIN('NG Inputs'!$B$12*J43/$C$7,'NG Inputs'!$B$9)*($B$7-'NG Inputs'!$B$5-'NG Inputs'!$B$6-2*'NG Inputs'!$B$7*SQRT(MIN('NG Inputs'!$B$12*J43/$C$7,'NG Inputs'!$B$9)/'NG Inputs'!$B$8))+MAX(J43-MIN('NG Inputs'!$B$12*J43/$C$7,'NG Inputs'!$B$9)*$C$7,0)*'NG Inputs'!$B$10/$D$7)*(1-'NG Inputs'!$B$4)+IF($D$7=1,(1-IF(OR($D$7=2,MOD(A44,2)=1),1,0))*J43*'NG Inputs'!$B$10*(1-'NG Inputs'!$B$4)/2,0)-IF(MOD(A44,2)=0,INDEX($B$11:$D$25,B44,2)*(1-'NG Inputs'!$B$4),0)</f>
        <v/>
      </c>
      <c r="K44" s="51">
        <f>K43+IF(OR($D$7=2,MOD(A44,2)=1),1,0)*(MIN('NG Inputs'!$B$12*K43/$C$7,'NG Inputs'!$B$9)*($B$7-'NG Inputs'!$B$5-'NG Inputs'!$B$6-2*'NG Inputs'!$B$7*SQRT(MIN('NG Inputs'!$B$12*K43/$C$7,'NG Inputs'!$B$9)/'NG Inputs'!$B$8))+MAX(K43-MIN('NG Inputs'!$B$12*K43/$C$7,'NG Inputs'!$B$9)*$C$7,0)*'NG Inputs'!$B$10/$D$7)*(1-'NG Inputs'!$B$4)+IF($D$7=1,(1-IF(OR($D$7=2,MOD(A44,2)=1),1,0))*K43*'NG Inputs'!$B$10*(1-'NG Inputs'!$B$4)/2,0)-IF(MOD(A44,2)=0,INDEX($B$11:$D$25,B44,3)*(1-'NG Inputs'!$B$4),0)</f>
        <v/>
      </c>
    </row>
    <row r="45" ht="13.5" customHeight="1">
      <c r="A45" s="10" t="n">
        <v>17</v>
      </c>
      <c r="B45" s="48">
        <f>ROUNDUP(A45/2,0)</f>
        <v/>
      </c>
      <c r="C45" s="52">
        <f>C44+IF(OR($D$5=2,MOD(A45,2)=1),1,0)*(MIN('NG Inputs'!$B$12*C44/$C$5,'NG Inputs'!$B$9)*($B$5-'NG Inputs'!$B$5-'NG Inputs'!$B$6-2*'NG Inputs'!$B$7*SQRT(MIN('NG Inputs'!$B$12*C44/$C$5,'NG Inputs'!$B$9)/'NG Inputs'!$B$8))+MAX(C44-MIN('NG Inputs'!$B$12*C44/$C$5,'NG Inputs'!$B$9)*$C$5,0)*'NG Inputs'!$B$10/$D$5)*(1-'NG Inputs'!$B$4)+IF($D$5=1,(1-IF(OR($D$5=2,MOD(A45,2)=1),1,0))*C44*'NG Inputs'!$B$10*(1-'NG Inputs'!$B$4)/2,0)-IF(MOD(A45,2)=0,INDEX($B$11:$D$25,B45,1)*(1-'NG Inputs'!$B$4),0)</f>
        <v/>
      </c>
      <c r="D45" s="52">
        <f>D44+IF(OR($D$5=2,MOD(A45,2)=1),1,0)*(MIN('NG Inputs'!$B$12*D44/$C$5,'NG Inputs'!$B$9)*($B$5-'NG Inputs'!$B$5-'NG Inputs'!$B$6-2*'NG Inputs'!$B$7*SQRT(MIN('NG Inputs'!$B$12*D44/$C$5,'NG Inputs'!$B$9)/'NG Inputs'!$B$8))+MAX(D44-MIN('NG Inputs'!$B$12*D44/$C$5,'NG Inputs'!$B$9)*$C$5,0)*'NG Inputs'!$B$10/$D$5)*(1-'NG Inputs'!$B$4)+IF($D$5=1,(1-IF(OR($D$5=2,MOD(A45,2)=1),1,0))*D44*'NG Inputs'!$B$10*(1-'NG Inputs'!$B$4)/2,0)-IF(MOD(A45,2)=0,INDEX($B$11:$D$25,B45,2)*(1-'NG Inputs'!$B$4),0)</f>
        <v/>
      </c>
      <c r="E45" s="52">
        <f>E44+IF(OR($D$5=2,MOD(A45,2)=1),1,0)*(MIN('NG Inputs'!$B$12*E44/$C$5,'NG Inputs'!$B$9)*($B$5-'NG Inputs'!$B$5-'NG Inputs'!$B$6-2*'NG Inputs'!$B$7*SQRT(MIN('NG Inputs'!$B$12*E44/$C$5,'NG Inputs'!$B$9)/'NG Inputs'!$B$8))+MAX(E44-MIN('NG Inputs'!$B$12*E44/$C$5,'NG Inputs'!$B$9)*$C$5,0)*'NG Inputs'!$B$10/$D$5)*(1-'NG Inputs'!$B$4)+IF($D$5=1,(1-IF(OR($D$5=2,MOD(A45,2)=1),1,0))*E44*'NG Inputs'!$B$10*(1-'NG Inputs'!$B$4)/2,0)-IF(MOD(A45,2)=0,INDEX($B$11:$D$25,B45,3)*(1-'NG Inputs'!$B$4),0)</f>
        <v/>
      </c>
      <c r="F45" s="52">
        <f>F44+IF(OR($D$6=2,MOD(A45,2)=1),1,0)*(MIN('NG Inputs'!$B$12*F44/$C$6,'NG Inputs'!$B$9)*($B$6-'NG Inputs'!$B$5-'NG Inputs'!$B$6-2*'NG Inputs'!$B$7*SQRT(MIN('NG Inputs'!$B$12*F44/$C$6,'NG Inputs'!$B$9)/'NG Inputs'!$B$8))+MAX(F44-MIN('NG Inputs'!$B$12*F44/$C$6,'NG Inputs'!$B$9)*$C$6,0)*'NG Inputs'!$B$10/$D$6)*(1-'NG Inputs'!$B$4)+IF($D$6=1,(1-IF(OR($D$6=2,MOD(A45,2)=1),1,0))*F44*'NG Inputs'!$B$10*(1-'NG Inputs'!$B$4)/2,0)-IF(MOD(A45,2)=0,INDEX($B$11:$D$25,B45,1)*(1-'NG Inputs'!$B$4),0)</f>
        <v/>
      </c>
      <c r="G45" s="52">
        <f>G44+IF(OR($D$6=2,MOD(A45,2)=1),1,0)*(MIN('NG Inputs'!$B$12*G44/$C$6,'NG Inputs'!$B$9)*($B$6-'NG Inputs'!$B$5-'NG Inputs'!$B$6-2*'NG Inputs'!$B$7*SQRT(MIN('NG Inputs'!$B$12*G44/$C$6,'NG Inputs'!$B$9)/'NG Inputs'!$B$8))+MAX(G44-MIN('NG Inputs'!$B$12*G44/$C$6,'NG Inputs'!$B$9)*$C$6,0)*'NG Inputs'!$B$10/$D$6)*(1-'NG Inputs'!$B$4)+IF($D$6=1,(1-IF(OR($D$6=2,MOD(A45,2)=1),1,0))*G44*'NG Inputs'!$B$10*(1-'NG Inputs'!$B$4)/2,0)-IF(MOD(A45,2)=0,INDEX($B$11:$D$25,B45,2)*(1-'NG Inputs'!$B$4),0)</f>
        <v/>
      </c>
      <c r="H45" s="52">
        <f>H44+IF(OR($D$6=2,MOD(A45,2)=1),1,0)*(MIN('NG Inputs'!$B$12*H44/$C$6,'NG Inputs'!$B$9)*($B$6-'NG Inputs'!$B$5-'NG Inputs'!$B$6-2*'NG Inputs'!$B$7*SQRT(MIN('NG Inputs'!$B$12*H44/$C$6,'NG Inputs'!$B$9)/'NG Inputs'!$B$8))+MAX(H44-MIN('NG Inputs'!$B$12*H44/$C$6,'NG Inputs'!$B$9)*$C$6,0)*'NG Inputs'!$B$10/$D$6)*(1-'NG Inputs'!$B$4)+IF($D$6=1,(1-IF(OR($D$6=2,MOD(A45,2)=1),1,0))*H44*'NG Inputs'!$B$10*(1-'NG Inputs'!$B$4)/2,0)-IF(MOD(A45,2)=0,INDEX($B$11:$D$25,B45,3)*(1-'NG Inputs'!$B$4),0)</f>
        <v/>
      </c>
      <c r="I45" s="49">
        <f>I44+IF(OR($D$7=2,MOD(A45,2)=1),1,0)*(MIN('NG Inputs'!$B$12*I44/$C$7,'NG Inputs'!$B$9)*($B$7-'NG Inputs'!$B$5-'NG Inputs'!$B$6-2*'NG Inputs'!$B$7*SQRT(MIN('NG Inputs'!$B$12*I44/$C$7,'NG Inputs'!$B$9)/'NG Inputs'!$B$8))+MAX(I44-MIN('NG Inputs'!$B$12*I44/$C$7,'NG Inputs'!$B$9)*$C$7,0)*'NG Inputs'!$B$10/$D$7)*(1-'NG Inputs'!$B$4)+IF($D$7=1,(1-IF(OR($D$7=2,MOD(A45,2)=1),1,0))*I44*'NG Inputs'!$B$10*(1-'NG Inputs'!$B$4)/2,0)-IF(MOD(A45,2)=0,INDEX($B$11:$D$25,B45,1)*(1-'NG Inputs'!$B$4),0)</f>
        <v/>
      </c>
      <c r="J45" s="49">
        <f>J44+IF(OR($D$7=2,MOD(A45,2)=1),1,0)*(MIN('NG Inputs'!$B$12*J44/$C$7,'NG Inputs'!$B$9)*($B$7-'NG Inputs'!$B$5-'NG Inputs'!$B$6-2*'NG Inputs'!$B$7*SQRT(MIN('NG Inputs'!$B$12*J44/$C$7,'NG Inputs'!$B$9)/'NG Inputs'!$B$8))+MAX(J44-MIN('NG Inputs'!$B$12*J44/$C$7,'NG Inputs'!$B$9)*$C$7,0)*'NG Inputs'!$B$10/$D$7)*(1-'NG Inputs'!$B$4)+IF($D$7=1,(1-IF(OR($D$7=2,MOD(A45,2)=1),1,0))*J44*'NG Inputs'!$B$10*(1-'NG Inputs'!$B$4)/2,0)-IF(MOD(A45,2)=0,INDEX($B$11:$D$25,B45,2)*(1-'NG Inputs'!$B$4),0)</f>
        <v/>
      </c>
      <c r="K45" s="49">
        <f>K44+IF(OR($D$7=2,MOD(A45,2)=1),1,0)*(MIN('NG Inputs'!$B$12*K44/$C$7,'NG Inputs'!$B$9)*($B$7-'NG Inputs'!$B$5-'NG Inputs'!$B$6-2*'NG Inputs'!$B$7*SQRT(MIN('NG Inputs'!$B$12*K44/$C$7,'NG Inputs'!$B$9)/'NG Inputs'!$B$8))+MAX(K44-MIN('NG Inputs'!$B$12*K44/$C$7,'NG Inputs'!$B$9)*$C$7,0)*'NG Inputs'!$B$10/$D$7)*(1-'NG Inputs'!$B$4)+IF($D$7=1,(1-IF(OR($D$7=2,MOD(A45,2)=1),1,0))*K44*'NG Inputs'!$B$10*(1-'NG Inputs'!$B$4)/2,0)-IF(MOD(A45,2)=0,INDEX($B$11:$D$25,B45,3)*(1-'NG Inputs'!$B$4),0)</f>
        <v/>
      </c>
    </row>
    <row r="46" ht="13.5" customHeight="1">
      <c r="A46" s="13" t="n">
        <v>18</v>
      </c>
      <c r="B46" s="50">
        <f>ROUNDUP(A46/2,0)</f>
        <v/>
      </c>
      <c r="C46" s="53">
        <f>C45+IF(OR($D$5=2,MOD(A46,2)=1),1,0)*(MIN('NG Inputs'!$B$12*C45/$C$5,'NG Inputs'!$B$9)*($B$5-'NG Inputs'!$B$5-'NG Inputs'!$B$6-2*'NG Inputs'!$B$7*SQRT(MIN('NG Inputs'!$B$12*C45/$C$5,'NG Inputs'!$B$9)/'NG Inputs'!$B$8))+MAX(C45-MIN('NG Inputs'!$B$12*C45/$C$5,'NG Inputs'!$B$9)*$C$5,0)*'NG Inputs'!$B$10/$D$5)*(1-'NG Inputs'!$B$4)+IF($D$5=1,(1-IF(OR($D$5=2,MOD(A46,2)=1),1,0))*C45*'NG Inputs'!$B$10*(1-'NG Inputs'!$B$4)/2,0)-IF(MOD(A46,2)=0,INDEX($B$11:$D$25,B46,1)*(1-'NG Inputs'!$B$4),0)</f>
        <v/>
      </c>
      <c r="D46" s="53">
        <f>D45+IF(OR($D$5=2,MOD(A46,2)=1),1,0)*(MIN('NG Inputs'!$B$12*D45/$C$5,'NG Inputs'!$B$9)*($B$5-'NG Inputs'!$B$5-'NG Inputs'!$B$6-2*'NG Inputs'!$B$7*SQRT(MIN('NG Inputs'!$B$12*D45/$C$5,'NG Inputs'!$B$9)/'NG Inputs'!$B$8))+MAX(D45-MIN('NG Inputs'!$B$12*D45/$C$5,'NG Inputs'!$B$9)*$C$5,0)*'NG Inputs'!$B$10/$D$5)*(1-'NG Inputs'!$B$4)+IF($D$5=1,(1-IF(OR($D$5=2,MOD(A46,2)=1),1,0))*D45*'NG Inputs'!$B$10*(1-'NG Inputs'!$B$4)/2,0)-IF(MOD(A46,2)=0,INDEX($B$11:$D$25,B46,2)*(1-'NG Inputs'!$B$4),0)</f>
        <v/>
      </c>
      <c r="E46" s="53">
        <f>E45+IF(OR($D$5=2,MOD(A46,2)=1),1,0)*(MIN('NG Inputs'!$B$12*E45/$C$5,'NG Inputs'!$B$9)*($B$5-'NG Inputs'!$B$5-'NG Inputs'!$B$6-2*'NG Inputs'!$B$7*SQRT(MIN('NG Inputs'!$B$12*E45/$C$5,'NG Inputs'!$B$9)/'NG Inputs'!$B$8))+MAX(E45-MIN('NG Inputs'!$B$12*E45/$C$5,'NG Inputs'!$B$9)*$C$5,0)*'NG Inputs'!$B$10/$D$5)*(1-'NG Inputs'!$B$4)+IF($D$5=1,(1-IF(OR($D$5=2,MOD(A46,2)=1),1,0))*E45*'NG Inputs'!$B$10*(1-'NG Inputs'!$B$4)/2,0)-IF(MOD(A46,2)=0,INDEX($B$11:$D$25,B46,3)*(1-'NG Inputs'!$B$4),0)</f>
        <v/>
      </c>
      <c r="F46" s="53">
        <f>F45+IF(OR($D$6=2,MOD(A46,2)=1),1,0)*(MIN('NG Inputs'!$B$12*F45/$C$6,'NG Inputs'!$B$9)*($B$6-'NG Inputs'!$B$5-'NG Inputs'!$B$6-2*'NG Inputs'!$B$7*SQRT(MIN('NG Inputs'!$B$12*F45/$C$6,'NG Inputs'!$B$9)/'NG Inputs'!$B$8))+MAX(F45-MIN('NG Inputs'!$B$12*F45/$C$6,'NG Inputs'!$B$9)*$C$6,0)*'NG Inputs'!$B$10/$D$6)*(1-'NG Inputs'!$B$4)+IF($D$6=1,(1-IF(OR($D$6=2,MOD(A46,2)=1),1,0))*F45*'NG Inputs'!$B$10*(1-'NG Inputs'!$B$4)/2,0)-IF(MOD(A46,2)=0,INDEX($B$11:$D$25,B46,1)*(1-'NG Inputs'!$B$4),0)</f>
        <v/>
      </c>
      <c r="G46" s="53">
        <f>G45+IF(OR($D$6=2,MOD(A46,2)=1),1,0)*(MIN('NG Inputs'!$B$12*G45/$C$6,'NG Inputs'!$B$9)*($B$6-'NG Inputs'!$B$5-'NG Inputs'!$B$6-2*'NG Inputs'!$B$7*SQRT(MIN('NG Inputs'!$B$12*G45/$C$6,'NG Inputs'!$B$9)/'NG Inputs'!$B$8))+MAX(G45-MIN('NG Inputs'!$B$12*G45/$C$6,'NG Inputs'!$B$9)*$C$6,0)*'NG Inputs'!$B$10/$D$6)*(1-'NG Inputs'!$B$4)+IF($D$6=1,(1-IF(OR($D$6=2,MOD(A46,2)=1),1,0))*G45*'NG Inputs'!$B$10*(1-'NG Inputs'!$B$4)/2,0)-IF(MOD(A46,2)=0,INDEX($B$11:$D$25,B46,2)*(1-'NG Inputs'!$B$4),0)</f>
        <v/>
      </c>
      <c r="H46" s="53">
        <f>H45+IF(OR($D$6=2,MOD(A46,2)=1),1,0)*(MIN('NG Inputs'!$B$12*H45/$C$6,'NG Inputs'!$B$9)*($B$6-'NG Inputs'!$B$5-'NG Inputs'!$B$6-2*'NG Inputs'!$B$7*SQRT(MIN('NG Inputs'!$B$12*H45/$C$6,'NG Inputs'!$B$9)/'NG Inputs'!$B$8))+MAX(H45-MIN('NG Inputs'!$B$12*H45/$C$6,'NG Inputs'!$B$9)*$C$6,0)*'NG Inputs'!$B$10/$D$6)*(1-'NG Inputs'!$B$4)+IF($D$6=1,(1-IF(OR($D$6=2,MOD(A46,2)=1),1,0))*H45*'NG Inputs'!$B$10*(1-'NG Inputs'!$B$4)/2,0)-IF(MOD(A46,2)=0,INDEX($B$11:$D$25,B46,3)*(1-'NG Inputs'!$B$4),0)</f>
        <v/>
      </c>
      <c r="I46" s="51">
        <f>I45+IF(OR($D$7=2,MOD(A46,2)=1),1,0)*(MIN('NG Inputs'!$B$12*I45/$C$7,'NG Inputs'!$B$9)*($B$7-'NG Inputs'!$B$5-'NG Inputs'!$B$6-2*'NG Inputs'!$B$7*SQRT(MIN('NG Inputs'!$B$12*I45/$C$7,'NG Inputs'!$B$9)/'NG Inputs'!$B$8))+MAX(I45-MIN('NG Inputs'!$B$12*I45/$C$7,'NG Inputs'!$B$9)*$C$7,0)*'NG Inputs'!$B$10/$D$7)*(1-'NG Inputs'!$B$4)+IF($D$7=1,(1-IF(OR($D$7=2,MOD(A46,2)=1),1,0))*I45*'NG Inputs'!$B$10*(1-'NG Inputs'!$B$4)/2,0)-IF(MOD(A46,2)=0,INDEX($B$11:$D$25,B46,1)*(1-'NG Inputs'!$B$4),0)</f>
        <v/>
      </c>
      <c r="J46" s="51">
        <f>J45+IF(OR($D$7=2,MOD(A46,2)=1),1,0)*(MIN('NG Inputs'!$B$12*J45/$C$7,'NG Inputs'!$B$9)*($B$7-'NG Inputs'!$B$5-'NG Inputs'!$B$6-2*'NG Inputs'!$B$7*SQRT(MIN('NG Inputs'!$B$12*J45/$C$7,'NG Inputs'!$B$9)/'NG Inputs'!$B$8))+MAX(J45-MIN('NG Inputs'!$B$12*J45/$C$7,'NG Inputs'!$B$9)*$C$7,0)*'NG Inputs'!$B$10/$D$7)*(1-'NG Inputs'!$B$4)+IF($D$7=1,(1-IF(OR($D$7=2,MOD(A46,2)=1),1,0))*J45*'NG Inputs'!$B$10*(1-'NG Inputs'!$B$4)/2,0)-IF(MOD(A46,2)=0,INDEX($B$11:$D$25,B46,2)*(1-'NG Inputs'!$B$4),0)</f>
        <v/>
      </c>
      <c r="K46" s="51">
        <f>K45+IF(OR($D$7=2,MOD(A46,2)=1),1,0)*(MIN('NG Inputs'!$B$12*K45/$C$7,'NG Inputs'!$B$9)*($B$7-'NG Inputs'!$B$5-'NG Inputs'!$B$6-2*'NG Inputs'!$B$7*SQRT(MIN('NG Inputs'!$B$12*K45/$C$7,'NG Inputs'!$B$9)/'NG Inputs'!$B$8))+MAX(K45-MIN('NG Inputs'!$B$12*K45/$C$7,'NG Inputs'!$B$9)*$C$7,0)*'NG Inputs'!$B$10/$D$7)*(1-'NG Inputs'!$B$4)+IF($D$7=1,(1-IF(OR($D$7=2,MOD(A46,2)=1),1,0))*K45*'NG Inputs'!$B$10*(1-'NG Inputs'!$B$4)/2,0)-IF(MOD(A46,2)=0,INDEX($B$11:$D$25,B46,3)*(1-'NG Inputs'!$B$4),0)</f>
        <v/>
      </c>
    </row>
    <row r="47" ht="13.5" customHeight="1">
      <c r="A47" s="10" t="n">
        <v>19</v>
      </c>
      <c r="B47" s="48">
        <f>ROUNDUP(A47/2,0)</f>
        <v/>
      </c>
      <c r="C47" s="52">
        <f>C46+IF(OR($D$5=2,MOD(A47,2)=1),1,0)*(MIN('NG Inputs'!$B$12*C46/$C$5,'NG Inputs'!$B$9)*($B$5-'NG Inputs'!$B$5-'NG Inputs'!$B$6-2*'NG Inputs'!$B$7*SQRT(MIN('NG Inputs'!$B$12*C46/$C$5,'NG Inputs'!$B$9)/'NG Inputs'!$B$8))+MAX(C46-MIN('NG Inputs'!$B$12*C46/$C$5,'NG Inputs'!$B$9)*$C$5,0)*'NG Inputs'!$B$10/$D$5)*(1-'NG Inputs'!$B$4)+IF($D$5=1,(1-IF(OR($D$5=2,MOD(A47,2)=1),1,0))*C46*'NG Inputs'!$B$10*(1-'NG Inputs'!$B$4)/2,0)-IF(MOD(A47,2)=0,INDEX($B$11:$D$25,B47,1)*(1-'NG Inputs'!$B$4),0)</f>
        <v/>
      </c>
      <c r="D47" s="52">
        <f>D46+IF(OR($D$5=2,MOD(A47,2)=1),1,0)*(MIN('NG Inputs'!$B$12*D46/$C$5,'NG Inputs'!$B$9)*($B$5-'NG Inputs'!$B$5-'NG Inputs'!$B$6-2*'NG Inputs'!$B$7*SQRT(MIN('NG Inputs'!$B$12*D46/$C$5,'NG Inputs'!$B$9)/'NG Inputs'!$B$8))+MAX(D46-MIN('NG Inputs'!$B$12*D46/$C$5,'NG Inputs'!$B$9)*$C$5,0)*'NG Inputs'!$B$10/$D$5)*(1-'NG Inputs'!$B$4)+IF($D$5=1,(1-IF(OR($D$5=2,MOD(A47,2)=1),1,0))*D46*'NG Inputs'!$B$10*(1-'NG Inputs'!$B$4)/2,0)-IF(MOD(A47,2)=0,INDEX($B$11:$D$25,B47,2)*(1-'NG Inputs'!$B$4),0)</f>
        <v/>
      </c>
      <c r="E47" s="52">
        <f>E46+IF(OR($D$5=2,MOD(A47,2)=1),1,0)*(MIN('NG Inputs'!$B$12*E46/$C$5,'NG Inputs'!$B$9)*($B$5-'NG Inputs'!$B$5-'NG Inputs'!$B$6-2*'NG Inputs'!$B$7*SQRT(MIN('NG Inputs'!$B$12*E46/$C$5,'NG Inputs'!$B$9)/'NG Inputs'!$B$8))+MAX(E46-MIN('NG Inputs'!$B$12*E46/$C$5,'NG Inputs'!$B$9)*$C$5,0)*'NG Inputs'!$B$10/$D$5)*(1-'NG Inputs'!$B$4)+IF($D$5=1,(1-IF(OR($D$5=2,MOD(A47,2)=1),1,0))*E46*'NG Inputs'!$B$10*(1-'NG Inputs'!$B$4)/2,0)-IF(MOD(A47,2)=0,INDEX($B$11:$D$25,B47,3)*(1-'NG Inputs'!$B$4),0)</f>
        <v/>
      </c>
      <c r="F47" s="52">
        <f>F46+IF(OR($D$6=2,MOD(A47,2)=1),1,0)*(MIN('NG Inputs'!$B$12*F46/$C$6,'NG Inputs'!$B$9)*($B$6-'NG Inputs'!$B$5-'NG Inputs'!$B$6-2*'NG Inputs'!$B$7*SQRT(MIN('NG Inputs'!$B$12*F46/$C$6,'NG Inputs'!$B$9)/'NG Inputs'!$B$8))+MAX(F46-MIN('NG Inputs'!$B$12*F46/$C$6,'NG Inputs'!$B$9)*$C$6,0)*'NG Inputs'!$B$10/$D$6)*(1-'NG Inputs'!$B$4)+IF($D$6=1,(1-IF(OR($D$6=2,MOD(A47,2)=1),1,0))*F46*'NG Inputs'!$B$10*(1-'NG Inputs'!$B$4)/2,0)-IF(MOD(A47,2)=0,INDEX($B$11:$D$25,B47,1)*(1-'NG Inputs'!$B$4),0)</f>
        <v/>
      </c>
      <c r="G47" s="52">
        <f>G46+IF(OR($D$6=2,MOD(A47,2)=1),1,0)*(MIN('NG Inputs'!$B$12*G46/$C$6,'NG Inputs'!$B$9)*($B$6-'NG Inputs'!$B$5-'NG Inputs'!$B$6-2*'NG Inputs'!$B$7*SQRT(MIN('NG Inputs'!$B$12*G46/$C$6,'NG Inputs'!$B$9)/'NG Inputs'!$B$8))+MAX(G46-MIN('NG Inputs'!$B$12*G46/$C$6,'NG Inputs'!$B$9)*$C$6,0)*'NG Inputs'!$B$10/$D$6)*(1-'NG Inputs'!$B$4)+IF($D$6=1,(1-IF(OR($D$6=2,MOD(A47,2)=1),1,0))*G46*'NG Inputs'!$B$10*(1-'NG Inputs'!$B$4)/2,0)-IF(MOD(A47,2)=0,INDEX($B$11:$D$25,B47,2)*(1-'NG Inputs'!$B$4),0)</f>
        <v/>
      </c>
      <c r="H47" s="52">
        <f>H46+IF(OR($D$6=2,MOD(A47,2)=1),1,0)*(MIN('NG Inputs'!$B$12*H46/$C$6,'NG Inputs'!$B$9)*($B$6-'NG Inputs'!$B$5-'NG Inputs'!$B$6-2*'NG Inputs'!$B$7*SQRT(MIN('NG Inputs'!$B$12*H46/$C$6,'NG Inputs'!$B$9)/'NG Inputs'!$B$8))+MAX(H46-MIN('NG Inputs'!$B$12*H46/$C$6,'NG Inputs'!$B$9)*$C$6,0)*'NG Inputs'!$B$10/$D$6)*(1-'NG Inputs'!$B$4)+IF($D$6=1,(1-IF(OR($D$6=2,MOD(A47,2)=1),1,0))*H46*'NG Inputs'!$B$10*(1-'NG Inputs'!$B$4)/2,0)-IF(MOD(A47,2)=0,INDEX($B$11:$D$25,B47,3)*(1-'NG Inputs'!$B$4),0)</f>
        <v/>
      </c>
      <c r="I47" s="49">
        <f>I46+IF(OR($D$7=2,MOD(A47,2)=1),1,0)*(MIN('NG Inputs'!$B$12*I46/$C$7,'NG Inputs'!$B$9)*($B$7-'NG Inputs'!$B$5-'NG Inputs'!$B$6-2*'NG Inputs'!$B$7*SQRT(MIN('NG Inputs'!$B$12*I46/$C$7,'NG Inputs'!$B$9)/'NG Inputs'!$B$8))+MAX(I46-MIN('NG Inputs'!$B$12*I46/$C$7,'NG Inputs'!$B$9)*$C$7,0)*'NG Inputs'!$B$10/$D$7)*(1-'NG Inputs'!$B$4)+IF($D$7=1,(1-IF(OR($D$7=2,MOD(A47,2)=1),1,0))*I46*'NG Inputs'!$B$10*(1-'NG Inputs'!$B$4)/2,0)-IF(MOD(A47,2)=0,INDEX($B$11:$D$25,B47,1)*(1-'NG Inputs'!$B$4),0)</f>
        <v/>
      </c>
      <c r="J47" s="49">
        <f>J46+IF(OR($D$7=2,MOD(A47,2)=1),1,0)*(MIN('NG Inputs'!$B$12*J46/$C$7,'NG Inputs'!$B$9)*($B$7-'NG Inputs'!$B$5-'NG Inputs'!$B$6-2*'NG Inputs'!$B$7*SQRT(MIN('NG Inputs'!$B$12*J46/$C$7,'NG Inputs'!$B$9)/'NG Inputs'!$B$8))+MAX(J46-MIN('NG Inputs'!$B$12*J46/$C$7,'NG Inputs'!$B$9)*$C$7,0)*'NG Inputs'!$B$10/$D$7)*(1-'NG Inputs'!$B$4)+IF($D$7=1,(1-IF(OR($D$7=2,MOD(A47,2)=1),1,0))*J46*'NG Inputs'!$B$10*(1-'NG Inputs'!$B$4)/2,0)-IF(MOD(A47,2)=0,INDEX($B$11:$D$25,B47,2)*(1-'NG Inputs'!$B$4),0)</f>
        <v/>
      </c>
      <c r="K47" s="49">
        <f>K46+IF(OR($D$7=2,MOD(A47,2)=1),1,0)*(MIN('NG Inputs'!$B$12*K46/$C$7,'NG Inputs'!$B$9)*($B$7-'NG Inputs'!$B$5-'NG Inputs'!$B$6-2*'NG Inputs'!$B$7*SQRT(MIN('NG Inputs'!$B$12*K46/$C$7,'NG Inputs'!$B$9)/'NG Inputs'!$B$8))+MAX(K46-MIN('NG Inputs'!$B$12*K46/$C$7,'NG Inputs'!$B$9)*$C$7,0)*'NG Inputs'!$B$10/$D$7)*(1-'NG Inputs'!$B$4)+IF($D$7=1,(1-IF(OR($D$7=2,MOD(A47,2)=1),1,0))*K46*'NG Inputs'!$B$10*(1-'NG Inputs'!$B$4)/2,0)-IF(MOD(A47,2)=0,INDEX($B$11:$D$25,B47,3)*(1-'NG Inputs'!$B$4),0)</f>
        <v/>
      </c>
    </row>
    <row r="48" ht="13.5" customHeight="1">
      <c r="A48" s="13" t="n">
        <v>20</v>
      </c>
      <c r="B48" s="50">
        <f>ROUNDUP(A48/2,0)</f>
        <v/>
      </c>
      <c r="C48" s="53">
        <f>C47+IF(OR($D$5=2,MOD(A48,2)=1),1,0)*(MIN('NG Inputs'!$B$12*C47/$C$5,'NG Inputs'!$B$9)*($B$5-'NG Inputs'!$B$5-'NG Inputs'!$B$6-2*'NG Inputs'!$B$7*SQRT(MIN('NG Inputs'!$B$12*C47/$C$5,'NG Inputs'!$B$9)/'NG Inputs'!$B$8))+MAX(C47-MIN('NG Inputs'!$B$12*C47/$C$5,'NG Inputs'!$B$9)*$C$5,0)*'NG Inputs'!$B$10/$D$5)*(1-'NG Inputs'!$B$4)+IF($D$5=1,(1-IF(OR($D$5=2,MOD(A48,2)=1),1,0))*C47*'NG Inputs'!$B$10*(1-'NG Inputs'!$B$4)/2,0)-IF(MOD(A48,2)=0,INDEX($B$11:$D$25,B48,1)*(1-'NG Inputs'!$B$4),0)</f>
        <v/>
      </c>
      <c r="D48" s="53">
        <f>D47+IF(OR($D$5=2,MOD(A48,2)=1),1,0)*(MIN('NG Inputs'!$B$12*D47/$C$5,'NG Inputs'!$B$9)*($B$5-'NG Inputs'!$B$5-'NG Inputs'!$B$6-2*'NG Inputs'!$B$7*SQRT(MIN('NG Inputs'!$B$12*D47/$C$5,'NG Inputs'!$B$9)/'NG Inputs'!$B$8))+MAX(D47-MIN('NG Inputs'!$B$12*D47/$C$5,'NG Inputs'!$B$9)*$C$5,0)*'NG Inputs'!$B$10/$D$5)*(1-'NG Inputs'!$B$4)+IF($D$5=1,(1-IF(OR($D$5=2,MOD(A48,2)=1),1,0))*D47*'NG Inputs'!$B$10*(1-'NG Inputs'!$B$4)/2,0)-IF(MOD(A48,2)=0,INDEX($B$11:$D$25,B48,2)*(1-'NG Inputs'!$B$4),0)</f>
        <v/>
      </c>
      <c r="E48" s="53">
        <f>E47+IF(OR($D$5=2,MOD(A48,2)=1),1,0)*(MIN('NG Inputs'!$B$12*E47/$C$5,'NG Inputs'!$B$9)*($B$5-'NG Inputs'!$B$5-'NG Inputs'!$B$6-2*'NG Inputs'!$B$7*SQRT(MIN('NG Inputs'!$B$12*E47/$C$5,'NG Inputs'!$B$9)/'NG Inputs'!$B$8))+MAX(E47-MIN('NG Inputs'!$B$12*E47/$C$5,'NG Inputs'!$B$9)*$C$5,0)*'NG Inputs'!$B$10/$D$5)*(1-'NG Inputs'!$B$4)+IF($D$5=1,(1-IF(OR($D$5=2,MOD(A48,2)=1),1,0))*E47*'NG Inputs'!$B$10*(1-'NG Inputs'!$B$4)/2,0)-IF(MOD(A48,2)=0,INDEX($B$11:$D$25,B48,3)*(1-'NG Inputs'!$B$4),0)</f>
        <v/>
      </c>
      <c r="F48" s="53">
        <f>F47+IF(OR($D$6=2,MOD(A48,2)=1),1,0)*(MIN('NG Inputs'!$B$12*F47/$C$6,'NG Inputs'!$B$9)*($B$6-'NG Inputs'!$B$5-'NG Inputs'!$B$6-2*'NG Inputs'!$B$7*SQRT(MIN('NG Inputs'!$B$12*F47/$C$6,'NG Inputs'!$B$9)/'NG Inputs'!$B$8))+MAX(F47-MIN('NG Inputs'!$B$12*F47/$C$6,'NG Inputs'!$B$9)*$C$6,0)*'NG Inputs'!$B$10/$D$6)*(1-'NG Inputs'!$B$4)+IF($D$6=1,(1-IF(OR($D$6=2,MOD(A48,2)=1),1,0))*F47*'NG Inputs'!$B$10*(1-'NG Inputs'!$B$4)/2,0)-IF(MOD(A48,2)=0,INDEX($B$11:$D$25,B48,1)*(1-'NG Inputs'!$B$4),0)</f>
        <v/>
      </c>
      <c r="G48" s="53">
        <f>G47+IF(OR($D$6=2,MOD(A48,2)=1),1,0)*(MIN('NG Inputs'!$B$12*G47/$C$6,'NG Inputs'!$B$9)*($B$6-'NG Inputs'!$B$5-'NG Inputs'!$B$6-2*'NG Inputs'!$B$7*SQRT(MIN('NG Inputs'!$B$12*G47/$C$6,'NG Inputs'!$B$9)/'NG Inputs'!$B$8))+MAX(G47-MIN('NG Inputs'!$B$12*G47/$C$6,'NG Inputs'!$B$9)*$C$6,0)*'NG Inputs'!$B$10/$D$6)*(1-'NG Inputs'!$B$4)+IF($D$6=1,(1-IF(OR($D$6=2,MOD(A48,2)=1),1,0))*G47*'NG Inputs'!$B$10*(1-'NG Inputs'!$B$4)/2,0)-IF(MOD(A48,2)=0,INDEX($B$11:$D$25,B48,2)*(1-'NG Inputs'!$B$4),0)</f>
        <v/>
      </c>
      <c r="H48" s="53">
        <f>H47+IF(OR($D$6=2,MOD(A48,2)=1),1,0)*(MIN('NG Inputs'!$B$12*H47/$C$6,'NG Inputs'!$B$9)*($B$6-'NG Inputs'!$B$5-'NG Inputs'!$B$6-2*'NG Inputs'!$B$7*SQRT(MIN('NG Inputs'!$B$12*H47/$C$6,'NG Inputs'!$B$9)/'NG Inputs'!$B$8))+MAX(H47-MIN('NG Inputs'!$B$12*H47/$C$6,'NG Inputs'!$B$9)*$C$6,0)*'NG Inputs'!$B$10/$D$6)*(1-'NG Inputs'!$B$4)+IF($D$6=1,(1-IF(OR($D$6=2,MOD(A48,2)=1),1,0))*H47*'NG Inputs'!$B$10*(1-'NG Inputs'!$B$4)/2,0)-IF(MOD(A48,2)=0,INDEX($B$11:$D$25,B48,3)*(1-'NG Inputs'!$B$4),0)</f>
        <v/>
      </c>
      <c r="I48" s="51">
        <f>I47+IF(OR($D$7=2,MOD(A48,2)=1),1,0)*(MIN('NG Inputs'!$B$12*I47/$C$7,'NG Inputs'!$B$9)*($B$7-'NG Inputs'!$B$5-'NG Inputs'!$B$6-2*'NG Inputs'!$B$7*SQRT(MIN('NG Inputs'!$B$12*I47/$C$7,'NG Inputs'!$B$9)/'NG Inputs'!$B$8))+MAX(I47-MIN('NG Inputs'!$B$12*I47/$C$7,'NG Inputs'!$B$9)*$C$7,0)*'NG Inputs'!$B$10/$D$7)*(1-'NG Inputs'!$B$4)+IF($D$7=1,(1-IF(OR($D$7=2,MOD(A48,2)=1),1,0))*I47*'NG Inputs'!$B$10*(1-'NG Inputs'!$B$4)/2,0)-IF(MOD(A48,2)=0,INDEX($B$11:$D$25,B48,1)*(1-'NG Inputs'!$B$4),0)</f>
        <v/>
      </c>
      <c r="J48" s="51">
        <f>J47+IF(OR($D$7=2,MOD(A48,2)=1),1,0)*(MIN('NG Inputs'!$B$12*J47/$C$7,'NG Inputs'!$B$9)*($B$7-'NG Inputs'!$B$5-'NG Inputs'!$B$6-2*'NG Inputs'!$B$7*SQRT(MIN('NG Inputs'!$B$12*J47/$C$7,'NG Inputs'!$B$9)/'NG Inputs'!$B$8))+MAX(J47-MIN('NG Inputs'!$B$12*J47/$C$7,'NG Inputs'!$B$9)*$C$7,0)*'NG Inputs'!$B$10/$D$7)*(1-'NG Inputs'!$B$4)+IF($D$7=1,(1-IF(OR($D$7=2,MOD(A48,2)=1),1,0))*J47*'NG Inputs'!$B$10*(1-'NG Inputs'!$B$4)/2,0)-IF(MOD(A48,2)=0,INDEX($B$11:$D$25,B48,2)*(1-'NG Inputs'!$B$4),0)</f>
        <v/>
      </c>
      <c r="K48" s="51">
        <f>K47+IF(OR($D$7=2,MOD(A48,2)=1),1,0)*(MIN('NG Inputs'!$B$12*K47/$C$7,'NG Inputs'!$B$9)*($B$7-'NG Inputs'!$B$5-'NG Inputs'!$B$6-2*'NG Inputs'!$B$7*SQRT(MIN('NG Inputs'!$B$12*K47/$C$7,'NG Inputs'!$B$9)/'NG Inputs'!$B$8))+MAX(K47-MIN('NG Inputs'!$B$12*K47/$C$7,'NG Inputs'!$B$9)*$C$7,0)*'NG Inputs'!$B$10/$D$7)*(1-'NG Inputs'!$B$4)+IF($D$7=1,(1-IF(OR($D$7=2,MOD(A48,2)=1),1,0))*K47*'NG Inputs'!$B$10*(1-'NG Inputs'!$B$4)/2,0)-IF(MOD(A48,2)=0,INDEX($B$11:$D$25,B48,3)*(1-'NG Inputs'!$B$4),0)</f>
        <v/>
      </c>
    </row>
    <row r="49" ht="13.5" customHeight="1">
      <c r="A49" s="10" t="n">
        <v>21</v>
      </c>
      <c r="B49" s="48">
        <f>ROUNDUP(A49/2,0)</f>
        <v/>
      </c>
      <c r="C49" s="52">
        <f>C48+IF(OR($D$5=2,MOD(A49,2)=1),1,0)*(MIN('NG Inputs'!$B$12*C48/$C$5,'NG Inputs'!$B$9)*($B$5-'NG Inputs'!$B$5-'NG Inputs'!$B$6-2*'NG Inputs'!$B$7*SQRT(MIN('NG Inputs'!$B$12*C48/$C$5,'NG Inputs'!$B$9)/'NG Inputs'!$B$8))+MAX(C48-MIN('NG Inputs'!$B$12*C48/$C$5,'NG Inputs'!$B$9)*$C$5,0)*'NG Inputs'!$B$10/$D$5)*(1-'NG Inputs'!$B$4)+IF($D$5=1,(1-IF(OR($D$5=2,MOD(A49,2)=1),1,0))*C48*'NG Inputs'!$B$10*(1-'NG Inputs'!$B$4)/2,0)-IF(MOD(A49,2)=0,INDEX($B$11:$D$25,B49,1)*(1-'NG Inputs'!$B$4),0)</f>
        <v/>
      </c>
      <c r="D49" s="52">
        <f>D48+IF(OR($D$5=2,MOD(A49,2)=1),1,0)*(MIN('NG Inputs'!$B$12*D48/$C$5,'NG Inputs'!$B$9)*($B$5-'NG Inputs'!$B$5-'NG Inputs'!$B$6-2*'NG Inputs'!$B$7*SQRT(MIN('NG Inputs'!$B$12*D48/$C$5,'NG Inputs'!$B$9)/'NG Inputs'!$B$8))+MAX(D48-MIN('NG Inputs'!$B$12*D48/$C$5,'NG Inputs'!$B$9)*$C$5,0)*'NG Inputs'!$B$10/$D$5)*(1-'NG Inputs'!$B$4)+IF($D$5=1,(1-IF(OR($D$5=2,MOD(A49,2)=1),1,0))*D48*'NG Inputs'!$B$10*(1-'NG Inputs'!$B$4)/2,0)-IF(MOD(A49,2)=0,INDEX($B$11:$D$25,B49,2)*(1-'NG Inputs'!$B$4),0)</f>
        <v/>
      </c>
      <c r="E49" s="52">
        <f>E48+IF(OR($D$5=2,MOD(A49,2)=1),1,0)*(MIN('NG Inputs'!$B$12*E48/$C$5,'NG Inputs'!$B$9)*($B$5-'NG Inputs'!$B$5-'NG Inputs'!$B$6-2*'NG Inputs'!$B$7*SQRT(MIN('NG Inputs'!$B$12*E48/$C$5,'NG Inputs'!$B$9)/'NG Inputs'!$B$8))+MAX(E48-MIN('NG Inputs'!$B$12*E48/$C$5,'NG Inputs'!$B$9)*$C$5,0)*'NG Inputs'!$B$10/$D$5)*(1-'NG Inputs'!$B$4)+IF($D$5=1,(1-IF(OR($D$5=2,MOD(A49,2)=1),1,0))*E48*'NG Inputs'!$B$10*(1-'NG Inputs'!$B$4)/2,0)-IF(MOD(A49,2)=0,INDEX($B$11:$D$25,B49,3)*(1-'NG Inputs'!$B$4),0)</f>
        <v/>
      </c>
      <c r="F49" s="52">
        <f>F48+IF(OR($D$6=2,MOD(A49,2)=1),1,0)*(MIN('NG Inputs'!$B$12*F48/$C$6,'NG Inputs'!$B$9)*($B$6-'NG Inputs'!$B$5-'NG Inputs'!$B$6-2*'NG Inputs'!$B$7*SQRT(MIN('NG Inputs'!$B$12*F48/$C$6,'NG Inputs'!$B$9)/'NG Inputs'!$B$8))+MAX(F48-MIN('NG Inputs'!$B$12*F48/$C$6,'NG Inputs'!$B$9)*$C$6,0)*'NG Inputs'!$B$10/$D$6)*(1-'NG Inputs'!$B$4)+IF($D$6=1,(1-IF(OR($D$6=2,MOD(A49,2)=1),1,0))*F48*'NG Inputs'!$B$10*(1-'NG Inputs'!$B$4)/2,0)-IF(MOD(A49,2)=0,INDEX($B$11:$D$25,B49,1)*(1-'NG Inputs'!$B$4),0)</f>
        <v/>
      </c>
      <c r="G49" s="52">
        <f>G48+IF(OR($D$6=2,MOD(A49,2)=1),1,0)*(MIN('NG Inputs'!$B$12*G48/$C$6,'NG Inputs'!$B$9)*($B$6-'NG Inputs'!$B$5-'NG Inputs'!$B$6-2*'NG Inputs'!$B$7*SQRT(MIN('NG Inputs'!$B$12*G48/$C$6,'NG Inputs'!$B$9)/'NG Inputs'!$B$8))+MAX(G48-MIN('NG Inputs'!$B$12*G48/$C$6,'NG Inputs'!$B$9)*$C$6,0)*'NG Inputs'!$B$10/$D$6)*(1-'NG Inputs'!$B$4)+IF($D$6=1,(1-IF(OR($D$6=2,MOD(A49,2)=1),1,0))*G48*'NG Inputs'!$B$10*(1-'NG Inputs'!$B$4)/2,0)-IF(MOD(A49,2)=0,INDEX($B$11:$D$25,B49,2)*(1-'NG Inputs'!$B$4),0)</f>
        <v/>
      </c>
      <c r="H49" s="52">
        <f>H48+IF(OR($D$6=2,MOD(A49,2)=1),1,0)*(MIN('NG Inputs'!$B$12*H48/$C$6,'NG Inputs'!$B$9)*($B$6-'NG Inputs'!$B$5-'NG Inputs'!$B$6-2*'NG Inputs'!$B$7*SQRT(MIN('NG Inputs'!$B$12*H48/$C$6,'NG Inputs'!$B$9)/'NG Inputs'!$B$8))+MAX(H48-MIN('NG Inputs'!$B$12*H48/$C$6,'NG Inputs'!$B$9)*$C$6,0)*'NG Inputs'!$B$10/$D$6)*(1-'NG Inputs'!$B$4)+IF($D$6=1,(1-IF(OR($D$6=2,MOD(A49,2)=1),1,0))*H48*'NG Inputs'!$B$10*(1-'NG Inputs'!$B$4)/2,0)-IF(MOD(A49,2)=0,INDEX($B$11:$D$25,B49,3)*(1-'NG Inputs'!$B$4),0)</f>
        <v/>
      </c>
      <c r="I49" s="49">
        <f>I48+IF(OR($D$7=2,MOD(A49,2)=1),1,0)*(MIN('NG Inputs'!$B$12*I48/$C$7,'NG Inputs'!$B$9)*($B$7-'NG Inputs'!$B$5-'NG Inputs'!$B$6-2*'NG Inputs'!$B$7*SQRT(MIN('NG Inputs'!$B$12*I48/$C$7,'NG Inputs'!$B$9)/'NG Inputs'!$B$8))+MAX(I48-MIN('NG Inputs'!$B$12*I48/$C$7,'NG Inputs'!$B$9)*$C$7,0)*'NG Inputs'!$B$10/$D$7)*(1-'NG Inputs'!$B$4)+IF($D$7=1,(1-IF(OR($D$7=2,MOD(A49,2)=1),1,0))*I48*'NG Inputs'!$B$10*(1-'NG Inputs'!$B$4)/2,0)-IF(MOD(A49,2)=0,INDEX($B$11:$D$25,B49,1)*(1-'NG Inputs'!$B$4),0)</f>
        <v/>
      </c>
      <c r="J49" s="49">
        <f>J48+IF(OR($D$7=2,MOD(A49,2)=1),1,0)*(MIN('NG Inputs'!$B$12*J48/$C$7,'NG Inputs'!$B$9)*($B$7-'NG Inputs'!$B$5-'NG Inputs'!$B$6-2*'NG Inputs'!$B$7*SQRT(MIN('NG Inputs'!$B$12*J48/$C$7,'NG Inputs'!$B$9)/'NG Inputs'!$B$8))+MAX(J48-MIN('NG Inputs'!$B$12*J48/$C$7,'NG Inputs'!$B$9)*$C$7,0)*'NG Inputs'!$B$10/$D$7)*(1-'NG Inputs'!$B$4)+IF($D$7=1,(1-IF(OR($D$7=2,MOD(A49,2)=1),1,0))*J48*'NG Inputs'!$B$10*(1-'NG Inputs'!$B$4)/2,0)-IF(MOD(A49,2)=0,INDEX($B$11:$D$25,B49,2)*(1-'NG Inputs'!$B$4),0)</f>
        <v/>
      </c>
      <c r="K49" s="49">
        <f>K48+IF(OR($D$7=2,MOD(A49,2)=1),1,0)*(MIN('NG Inputs'!$B$12*K48/$C$7,'NG Inputs'!$B$9)*($B$7-'NG Inputs'!$B$5-'NG Inputs'!$B$6-2*'NG Inputs'!$B$7*SQRT(MIN('NG Inputs'!$B$12*K48/$C$7,'NG Inputs'!$B$9)/'NG Inputs'!$B$8))+MAX(K48-MIN('NG Inputs'!$B$12*K48/$C$7,'NG Inputs'!$B$9)*$C$7,0)*'NG Inputs'!$B$10/$D$7)*(1-'NG Inputs'!$B$4)+IF($D$7=1,(1-IF(OR($D$7=2,MOD(A49,2)=1),1,0))*K48*'NG Inputs'!$B$10*(1-'NG Inputs'!$B$4)/2,0)-IF(MOD(A49,2)=0,INDEX($B$11:$D$25,B49,3)*(1-'NG Inputs'!$B$4),0)</f>
        <v/>
      </c>
    </row>
    <row r="50" ht="13.5" customHeight="1">
      <c r="A50" s="13" t="n">
        <v>22</v>
      </c>
      <c r="B50" s="50">
        <f>ROUNDUP(A50/2,0)</f>
        <v/>
      </c>
      <c r="C50" s="53">
        <f>C49+IF(OR($D$5=2,MOD(A50,2)=1),1,0)*(MIN('NG Inputs'!$B$12*C49/$C$5,'NG Inputs'!$B$9)*($B$5-'NG Inputs'!$B$5-'NG Inputs'!$B$6-2*'NG Inputs'!$B$7*SQRT(MIN('NG Inputs'!$B$12*C49/$C$5,'NG Inputs'!$B$9)/'NG Inputs'!$B$8))+MAX(C49-MIN('NG Inputs'!$B$12*C49/$C$5,'NG Inputs'!$B$9)*$C$5,0)*'NG Inputs'!$B$10/$D$5)*(1-'NG Inputs'!$B$4)+IF($D$5=1,(1-IF(OR($D$5=2,MOD(A50,2)=1),1,0))*C49*'NG Inputs'!$B$10*(1-'NG Inputs'!$B$4)/2,0)-IF(MOD(A50,2)=0,INDEX($B$11:$D$25,B50,1)*(1-'NG Inputs'!$B$4),0)</f>
        <v/>
      </c>
      <c r="D50" s="53">
        <f>D49+IF(OR($D$5=2,MOD(A50,2)=1),1,0)*(MIN('NG Inputs'!$B$12*D49/$C$5,'NG Inputs'!$B$9)*($B$5-'NG Inputs'!$B$5-'NG Inputs'!$B$6-2*'NG Inputs'!$B$7*SQRT(MIN('NG Inputs'!$B$12*D49/$C$5,'NG Inputs'!$B$9)/'NG Inputs'!$B$8))+MAX(D49-MIN('NG Inputs'!$B$12*D49/$C$5,'NG Inputs'!$B$9)*$C$5,0)*'NG Inputs'!$B$10/$D$5)*(1-'NG Inputs'!$B$4)+IF($D$5=1,(1-IF(OR($D$5=2,MOD(A50,2)=1),1,0))*D49*'NG Inputs'!$B$10*(1-'NG Inputs'!$B$4)/2,0)-IF(MOD(A50,2)=0,INDEX($B$11:$D$25,B50,2)*(1-'NG Inputs'!$B$4),0)</f>
        <v/>
      </c>
      <c r="E50" s="53">
        <f>E49+IF(OR($D$5=2,MOD(A50,2)=1),1,0)*(MIN('NG Inputs'!$B$12*E49/$C$5,'NG Inputs'!$B$9)*($B$5-'NG Inputs'!$B$5-'NG Inputs'!$B$6-2*'NG Inputs'!$B$7*SQRT(MIN('NG Inputs'!$B$12*E49/$C$5,'NG Inputs'!$B$9)/'NG Inputs'!$B$8))+MAX(E49-MIN('NG Inputs'!$B$12*E49/$C$5,'NG Inputs'!$B$9)*$C$5,0)*'NG Inputs'!$B$10/$D$5)*(1-'NG Inputs'!$B$4)+IF($D$5=1,(1-IF(OR($D$5=2,MOD(A50,2)=1),1,0))*E49*'NG Inputs'!$B$10*(1-'NG Inputs'!$B$4)/2,0)-IF(MOD(A50,2)=0,INDEX($B$11:$D$25,B50,3)*(1-'NG Inputs'!$B$4),0)</f>
        <v/>
      </c>
      <c r="F50" s="53">
        <f>F49+IF(OR($D$6=2,MOD(A50,2)=1),1,0)*(MIN('NG Inputs'!$B$12*F49/$C$6,'NG Inputs'!$B$9)*($B$6-'NG Inputs'!$B$5-'NG Inputs'!$B$6-2*'NG Inputs'!$B$7*SQRT(MIN('NG Inputs'!$B$12*F49/$C$6,'NG Inputs'!$B$9)/'NG Inputs'!$B$8))+MAX(F49-MIN('NG Inputs'!$B$12*F49/$C$6,'NG Inputs'!$B$9)*$C$6,0)*'NG Inputs'!$B$10/$D$6)*(1-'NG Inputs'!$B$4)+IF($D$6=1,(1-IF(OR($D$6=2,MOD(A50,2)=1),1,0))*F49*'NG Inputs'!$B$10*(1-'NG Inputs'!$B$4)/2,0)-IF(MOD(A50,2)=0,INDEX($B$11:$D$25,B50,1)*(1-'NG Inputs'!$B$4),0)</f>
        <v/>
      </c>
      <c r="G50" s="53">
        <f>G49+IF(OR($D$6=2,MOD(A50,2)=1),1,0)*(MIN('NG Inputs'!$B$12*G49/$C$6,'NG Inputs'!$B$9)*($B$6-'NG Inputs'!$B$5-'NG Inputs'!$B$6-2*'NG Inputs'!$B$7*SQRT(MIN('NG Inputs'!$B$12*G49/$C$6,'NG Inputs'!$B$9)/'NG Inputs'!$B$8))+MAX(G49-MIN('NG Inputs'!$B$12*G49/$C$6,'NG Inputs'!$B$9)*$C$6,0)*'NG Inputs'!$B$10/$D$6)*(1-'NG Inputs'!$B$4)+IF($D$6=1,(1-IF(OR($D$6=2,MOD(A50,2)=1),1,0))*G49*'NG Inputs'!$B$10*(1-'NG Inputs'!$B$4)/2,0)-IF(MOD(A50,2)=0,INDEX($B$11:$D$25,B50,2)*(1-'NG Inputs'!$B$4),0)</f>
        <v/>
      </c>
      <c r="H50" s="53">
        <f>H49+IF(OR($D$6=2,MOD(A50,2)=1),1,0)*(MIN('NG Inputs'!$B$12*H49/$C$6,'NG Inputs'!$B$9)*($B$6-'NG Inputs'!$B$5-'NG Inputs'!$B$6-2*'NG Inputs'!$B$7*SQRT(MIN('NG Inputs'!$B$12*H49/$C$6,'NG Inputs'!$B$9)/'NG Inputs'!$B$8))+MAX(H49-MIN('NG Inputs'!$B$12*H49/$C$6,'NG Inputs'!$B$9)*$C$6,0)*'NG Inputs'!$B$10/$D$6)*(1-'NG Inputs'!$B$4)+IF($D$6=1,(1-IF(OR($D$6=2,MOD(A50,2)=1),1,0))*H49*'NG Inputs'!$B$10*(1-'NG Inputs'!$B$4)/2,0)-IF(MOD(A50,2)=0,INDEX($B$11:$D$25,B50,3)*(1-'NG Inputs'!$B$4),0)</f>
        <v/>
      </c>
      <c r="I50" s="51">
        <f>I49+IF(OR($D$7=2,MOD(A50,2)=1),1,0)*(MIN('NG Inputs'!$B$12*I49/$C$7,'NG Inputs'!$B$9)*($B$7-'NG Inputs'!$B$5-'NG Inputs'!$B$6-2*'NG Inputs'!$B$7*SQRT(MIN('NG Inputs'!$B$12*I49/$C$7,'NG Inputs'!$B$9)/'NG Inputs'!$B$8))+MAX(I49-MIN('NG Inputs'!$B$12*I49/$C$7,'NG Inputs'!$B$9)*$C$7,0)*'NG Inputs'!$B$10/$D$7)*(1-'NG Inputs'!$B$4)+IF($D$7=1,(1-IF(OR($D$7=2,MOD(A50,2)=1),1,0))*I49*'NG Inputs'!$B$10*(1-'NG Inputs'!$B$4)/2,0)-IF(MOD(A50,2)=0,INDEX($B$11:$D$25,B50,1)*(1-'NG Inputs'!$B$4),0)</f>
        <v/>
      </c>
      <c r="J50" s="51">
        <f>J49+IF(OR($D$7=2,MOD(A50,2)=1),1,0)*(MIN('NG Inputs'!$B$12*J49/$C$7,'NG Inputs'!$B$9)*($B$7-'NG Inputs'!$B$5-'NG Inputs'!$B$6-2*'NG Inputs'!$B$7*SQRT(MIN('NG Inputs'!$B$12*J49/$C$7,'NG Inputs'!$B$9)/'NG Inputs'!$B$8))+MAX(J49-MIN('NG Inputs'!$B$12*J49/$C$7,'NG Inputs'!$B$9)*$C$7,0)*'NG Inputs'!$B$10/$D$7)*(1-'NG Inputs'!$B$4)+IF($D$7=1,(1-IF(OR($D$7=2,MOD(A50,2)=1),1,0))*J49*'NG Inputs'!$B$10*(1-'NG Inputs'!$B$4)/2,0)-IF(MOD(A50,2)=0,INDEX($B$11:$D$25,B50,2)*(1-'NG Inputs'!$B$4),0)</f>
        <v/>
      </c>
      <c r="K50" s="51">
        <f>K49+IF(OR($D$7=2,MOD(A50,2)=1),1,0)*(MIN('NG Inputs'!$B$12*K49/$C$7,'NG Inputs'!$B$9)*($B$7-'NG Inputs'!$B$5-'NG Inputs'!$B$6-2*'NG Inputs'!$B$7*SQRT(MIN('NG Inputs'!$B$12*K49/$C$7,'NG Inputs'!$B$9)/'NG Inputs'!$B$8))+MAX(K49-MIN('NG Inputs'!$B$12*K49/$C$7,'NG Inputs'!$B$9)*$C$7,0)*'NG Inputs'!$B$10/$D$7)*(1-'NG Inputs'!$B$4)+IF($D$7=1,(1-IF(OR($D$7=2,MOD(A50,2)=1),1,0))*K49*'NG Inputs'!$B$10*(1-'NG Inputs'!$B$4)/2,0)-IF(MOD(A50,2)=0,INDEX($B$11:$D$25,B50,3)*(1-'NG Inputs'!$B$4),0)</f>
        <v/>
      </c>
    </row>
    <row r="51" ht="13.5" customHeight="1">
      <c r="A51" s="10" t="n">
        <v>23</v>
      </c>
      <c r="B51" s="48">
        <f>ROUNDUP(A51/2,0)</f>
        <v/>
      </c>
      <c r="C51" s="52">
        <f>C50+IF(OR($D$5=2,MOD(A51,2)=1),1,0)*(MIN('NG Inputs'!$B$12*C50/$C$5,'NG Inputs'!$B$9)*($B$5-'NG Inputs'!$B$5-'NG Inputs'!$B$6-2*'NG Inputs'!$B$7*SQRT(MIN('NG Inputs'!$B$12*C50/$C$5,'NG Inputs'!$B$9)/'NG Inputs'!$B$8))+MAX(C50-MIN('NG Inputs'!$B$12*C50/$C$5,'NG Inputs'!$B$9)*$C$5,0)*'NG Inputs'!$B$10/$D$5)*(1-'NG Inputs'!$B$4)+IF($D$5=1,(1-IF(OR($D$5=2,MOD(A51,2)=1),1,0))*C50*'NG Inputs'!$B$10*(1-'NG Inputs'!$B$4)/2,0)-IF(MOD(A51,2)=0,INDEX($B$11:$D$25,B51,1)*(1-'NG Inputs'!$B$4),0)</f>
        <v/>
      </c>
      <c r="D51" s="52">
        <f>D50+IF(OR($D$5=2,MOD(A51,2)=1),1,0)*(MIN('NG Inputs'!$B$12*D50/$C$5,'NG Inputs'!$B$9)*($B$5-'NG Inputs'!$B$5-'NG Inputs'!$B$6-2*'NG Inputs'!$B$7*SQRT(MIN('NG Inputs'!$B$12*D50/$C$5,'NG Inputs'!$B$9)/'NG Inputs'!$B$8))+MAX(D50-MIN('NG Inputs'!$B$12*D50/$C$5,'NG Inputs'!$B$9)*$C$5,0)*'NG Inputs'!$B$10/$D$5)*(1-'NG Inputs'!$B$4)+IF($D$5=1,(1-IF(OR($D$5=2,MOD(A51,2)=1),1,0))*D50*'NG Inputs'!$B$10*(1-'NG Inputs'!$B$4)/2,0)-IF(MOD(A51,2)=0,INDEX($B$11:$D$25,B51,2)*(1-'NG Inputs'!$B$4),0)</f>
        <v/>
      </c>
      <c r="E51" s="52">
        <f>E50+IF(OR($D$5=2,MOD(A51,2)=1),1,0)*(MIN('NG Inputs'!$B$12*E50/$C$5,'NG Inputs'!$B$9)*($B$5-'NG Inputs'!$B$5-'NG Inputs'!$B$6-2*'NG Inputs'!$B$7*SQRT(MIN('NG Inputs'!$B$12*E50/$C$5,'NG Inputs'!$B$9)/'NG Inputs'!$B$8))+MAX(E50-MIN('NG Inputs'!$B$12*E50/$C$5,'NG Inputs'!$B$9)*$C$5,0)*'NG Inputs'!$B$10/$D$5)*(1-'NG Inputs'!$B$4)+IF($D$5=1,(1-IF(OR($D$5=2,MOD(A51,2)=1),1,0))*E50*'NG Inputs'!$B$10*(1-'NG Inputs'!$B$4)/2,0)-IF(MOD(A51,2)=0,INDEX($B$11:$D$25,B51,3)*(1-'NG Inputs'!$B$4),0)</f>
        <v/>
      </c>
      <c r="F51" s="52">
        <f>F50+IF(OR($D$6=2,MOD(A51,2)=1),1,0)*(MIN('NG Inputs'!$B$12*F50/$C$6,'NG Inputs'!$B$9)*($B$6-'NG Inputs'!$B$5-'NG Inputs'!$B$6-2*'NG Inputs'!$B$7*SQRT(MIN('NG Inputs'!$B$12*F50/$C$6,'NG Inputs'!$B$9)/'NG Inputs'!$B$8))+MAX(F50-MIN('NG Inputs'!$B$12*F50/$C$6,'NG Inputs'!$B$9)*$C$6,0)*'NG Inputs'!$B$10/$D$6)*(1-'NG Inputs'!$B$4)+IF($D$6=1,(1-IF(OR($D$6=2,MOD(A51,2)=1),1,0))*F50*'NG Inputs'!$B$10*(1-'NG Inputs'!$B$4)/2,0)-IF(MOD(A51,2)=0,INDEX($B$11:$D$25,B51,1)*(1-'NG Inputs'!$B$4),0)</f>
        <v/>
      </c>
      <c r="G51" s="52">
        <f>G50+IF(OR($D$6=2,MOD(A51,2)=1),1,0)*(MIN('NG Inputs'!$B$12*G50/$C$6,'NG Inputs'!$B$9)*($B$6-'NG Inputs'!$B$5-'NG Inputs'!$B$6-2*'NG Inputs'!$B$7*SQRT(MIN('NG Inputs'!$B$12*G50/$C$6,'NG Inputs'!$B$9)/'NG Inputs'!$B$8))+MAX(G50-MIN('NG Inputs'!$B$12*G50/$C$6,'NG Inputs'!$B$9)*$C$6,0)*'NG Inputs'!$B$10/$D$6)*(1-'NG Inputs'!$B$4)+IF($D$6=1,(1-IF(OR($D$6=2,MOD(A51,2)=1),1,0))*G50*'NG Inputs'!$B$10*(1-'NG Inputs'!$B$4)/2,0)-IF(MOD(A51,2)=0,INDEX($B$11:$D$25,B51,2)*(1-'NG Inputs'!$B$4),0)</f>
        <v/>
      </c>
      <c r="H51" s="52">
        <f>H50+IF(OR($D$6=2,MOD(A51,2)=1),1,0)*(MIN('NG Inputs'!$B$12*H50/$C$6,'NG Inputs'!$B$9)*($B$6-'NG Inputs'!$B$5-'NG Inputs'!$B$6-2*'NG Inputs'!$B$7*SQRT(MIN('NG Inputs'!$B$12*H50/$C$6,'NG Inputs'!$B$9)/'NG Inputs'!$B$8))+MAX(H50-MIN('NG Inputs'!$B$12*H50/$C$6,'NG Inputs'!$B$9)*$C$6,0)*'NG Inputs'!$B$10/$D$6)*(1-'NG Inputs'!$B$4)+IF($D$6=1,(1-IF(OR($D$6=2,MOD(A51,2)=1),1,0))*H50*'NG Inputs'!$B$10*(1-'NG Inputs'!$B$4)/2,0)-IF(MOD(A51,2)=0,INDEX($B$11:$D$25,B51,3)*(1-'NG Inputs'!$B$4),0)</f>
        <v/>
      </c>
      <c r="I51" s="49">
        <f>I50+IF(OR($D$7=2,MOD(A51,2)=1),1,0)*(MIN('NG Inputs'!$B$12*I50/$C$7,'NG Inputs'!$B$9)*($B$7-'NG Inputs'!$B$5-'NG Inputs'!$B$6-2*'NG Inputs'!$B$7*SQRT(MIN('NG Inputs'!$B$12*I50/$C$7,'NG Inputs'!$B$9)/'NG Inputs'!$B$8))+MAX(I50-MIN('NG Inputs'!$B$12*I50/$C$7,'NG Inputs'!$B$9)*$C$7,0)*'NG Inputs'!$B$10/$D$7)*(1-'NG Inputs'!$B$4)+IF($D$7=1,(1-IF(OR($D$7=2,MOD(A51,2)=1),1,0))*I50*'NG Inputs'!$B$10*(1-'NG Inputs'!$B$4)/2,0)-IF(MOD(A51,2)=0,INDEX($B$11:$D$25,B51,1)*(1-'NG Inputs'!$B$4),0)</f>
        <v/>
      </c>
      <c r="J51" s="49">
        <f>J50+IF(OR($D$7=2,MOD(A51,2)=1),1,0)*(MIN('NG Inputs'!$B$12*J50/$C$7,'NG Inputs'!$B$9)*($B$7-'NG Inputs'!$B$5-'NG Inputs'!$B$6-2*'NG Inputs'!$B$7*SQRT(MIN('NG Inputs'!$B$12*J50/$C$7,'NG Inputs'!$B$9)/'NG Inputs'!$B$8))+MAX(J50-MIN('NG Inputs'!$B$12*J50/$C$7,'NG Inputs'!$B$9)*$C$7,0)*'NG Inputs'!$B$10/$D$7)*(1-'NG Inputs'!$B$4)+IF($D$7=1,(1-IF(OR($D$7=2,MOD(A51,2)=1),1,0))*J50*'NG Inputs'!$B$10*(1-'NG Inputs'!$B$4)/2,0)-IF(MOD(A51,2)=0,INDEX($B$11:$D$25,B51,2)*(1-'NG Inputs'!$B$4),0)</f>
        <v/>
      </c>
      <c r="K51" s="52">
        <f>K50+IF(OR($D$7=2,MOD(A51,2)=1),1,0)*(MIN('NG Inputs'!$B$12*K50/$C$7,'NG Inputs'!$B$9)*($B$7-'NG Inputs'!$B$5-'NG Inputs'!$B$6-2*'NG Inputs'!$B$7*SQRT(MIN('NG Inputs'!$B$12*K50/$C$7,'NG Inputs'!$B$9)/'NG Inputs'!$B$8))+MAX(K50-MIN('NG Inputs'!$B$12*K50/$C$7,'NG Inputs'!$B$9)*$C$7,0)*'NG Inputs'!$B$10/$D$7)*(1-'NG Inputs'!$B$4)+IF($D$7=1,(1-IF(OR($D$7=2,MOD(A51,2)=1),1,0))*K50*'NG Inputs'!$B$10*(1-'NG Inputs'!$B$4)/2,0)-IF(MOD(A51,2)=0,INDEX($B$11:$D$25,B51,3)*(1-'NG Inputs'!$B$4),0)</f>
        <v/>
      </c>
    </row>
    <row r="52" ht="13.5" customHeight="1">
      <c r="A52" s="13" t="n">
        <v>24</v>
      </c>
      <c r="B52" s="50">
        <f>ROUNDUP(A52/2,0)</f>
        <v/>
      </c>
      <c r="C52" s="53">
        <f>C51+IF(OR($D$5=2,MOD(A52,2)=1),1,0)*(MIN('NG Inputs'!$B$12*C51/$C$5,'NG Inputs'!$B$9)*($B$5-'NG Inputs'!$B$5-'NG Inputs'!$B$6-2*'NG Inputs'!$B$7*SQRT(MIN('NG Inputs'!$B$12*C51/$C$5,'NG Inputs'!$B$9)/'NG Inputs'!$B$8))+MAX(C51-MIN('NG Inputs'!$B$12*C51/$C$5,'NG Inputs'!$B$9)*$C$5,0)*'NG Inputs'!$B$10/$D$5)*(1-'NG Inputs'!$B$4)+IF($D$5=1,(1-IF(OR($D$5=2,MOD(A52,2)=1),1,0))*C51*'NG Inputs'!$B$10*(1-'NG Inputs'!$B$4)/2,0)-IF(MOD(A52,2)=0,INDEX($B$11:$D$25,B52,1)*(1-'NG Inputs'!$B$4),0)</f>
        <v/>
      </c>
      <c r="D52" s="53">
        <f>D51+IF(OR($D$5=2,MOD(A52,2)=1),1,0)*(MIN('NG Inputs'!$B$12*D51/$C$5,'NG Inputs'!$B$9)*($B$5-'NG Inputs'!$B$5-'NG Inputs'!$B$6-2*'NG Inputs'!$B$7*SQRT(MIN('NG Inputs'!$B$12*D51/$C$5,'NG Inputs'!$B$9)/'NG Inputs'!$B$8))+MAX(D51-MIN('NG Inputs'!$B$12*D51/$C$5,'NG Inputs'!$B$9)*$C$5,0)*'NG Inputs'!$B$10/$D$5)*(1-'NG Inputs'!$B$4)+IF($D$5=1,(1-IF(OR($D$5=2,MOD(A52,2)=1),1,0))*D51*'NG Inputs'!$B$10*(1-'NG Inputs'!$B$4)/2,0)-IF(MOD(A52,2)=0,INDEX($B$11:$D$25,B52,2)*(1-'NG Inputs'!$B$4),0)</f>
        <v/>
      </c>
      <c r="E52" s="53">
        <f>E51+IF(OR($D$5=2,MOD(A52,2)=1),1,0)*(MIN('NG Inputs'!$B$12*E51/$C$5,'NG Inputs'!$B$9)*($B$5-'NG Inputs'!$B$5-'NG Inputs'!$B$6-2*'NG Inputs'!$B$7*SQRT(MIN('NG Inputs'!$B$12*E51/$C$5,'NG Inputs'!$B$9)/'NG Inputs'!$B$8))+MAX(E51-MIN('NG Inputs'!$B$12*E51/$C$5,'NG Inputs'!$B$9)*$C$5,0)*'NG Inputs'!$B$10/$D$5)*(1-'NG Inputs'!$B$4)+IF($D$5=1,(1-IF(OR($D$5=2,MOD(A52,2)=1),1,0))*E51*'NG Inputs'!$B$10*(1-'NG Inputs'!$B$4)/2,0)-IF(MOD(A52,2)=0,INDEX($B$11:$D$25,B52,3)*(1-'NG Inputs'!$B$4),0)</f>
        <v/>
      </c>
      <c r="F52" s="53">
        <f>F51+IF(OR($D$6=2,MOD(A52,2)=1),1,0)*(MIN('NG Inputs'!$B$12*F51/$C$6,'NG Inputs'!$B$9)*($B$6-'NG Inputs'!$B$5-'NG Inputs'!$B$6-2*'NG Inputs'!$B$7*SQRT(MIN('NG Inputs'!$B$12*F51/$C$6,'NG Inputs'!$B$9)/'NG Inputs'!$B$8))+MAX(F51-MIN('NG Inputs'!$B$12*F51/$C$6,'NG Inputs'!$B$9)*$C$6,0)*'NG Inputs'!$B$10/$D$6)*(1-'NG Inputs'!$B$4)+IF($D$6=1,(1-IF(OR($D$6=2,MOD(A52,2)=1),1,0))*F51*'NG Inputs'!$B$10*(1-'NG Inputs'!$B$4)/2,0)-IF(MOD(A52,2)=0,INDEX($B$11:$D$25,B52,1)*(1-'NG Inputs'!$B$4),0)</f>
        <v/>
      </c>
      <c r="G52" s="53">
        <f>G51+IF(OR($D$6=2,MOD(A52,2)=1),1,0)*(MIN('NG Inputs'!$B$12*G51/$C$6,'NG Inputs'!$B$9)*($B$6-'NG Inputs'!$B$5-'NG Inputs'!$B$6-2*'NG Inputs'!$B$7*SQRT(MIN('NG Inputs'!$B$12*G51/$C$6,'NG Inputs'!$B$9)/'NG Inputs'!$B$8))+MAX(G51-MIN('NG Inputs'!$B$12*G51/$C$6,'NG Inputs'!$B$9)*$C$6,0)*'NG Inputs'!$B$10/$D$6)*(1-'NG Inputs'!$B$4)+IF($D$6=1,(1-IF(OR($D$6=2,MOD(A52,2)=1),1,0))*G51*'NG Inputs'!$B$10*(1-'NG Inputs'!$B$4)/2,0)-IF(MOD(A52,2)=0,INDEX($B$11:$D$25,B52,2)*(1-'NG Inputs'!$B$4),0)</f>
        <v/>
      </c>
      <c r="H52" s="53">
        <f>H51+IF(OR($D$6=2,MOD(A52,2)=1),1,0)*(MIN('NG Inputs'!$B$12*H51/$C$6,'NG Inputs'!$B$9)*($B$6-'NG Inputs'!$B$5-'NG Inputs'!$B$6-2*'NG Inputs'!$B$7*SQRT(MIN('NG Inputs'!$B$12*H51/$C$6,'NG Inputs'!$B$9)/'NG Inputs'!$B$8))+MAX(H51-MIN('NG Inputs'!$B$12*H51/$C$6,'NG Inputs'!$B$9)*$C$6,0)*'NG Inputs'!$B$10/$D$6)*(1-'NG Inputs'!$B$4)+IF($D$6=1,(1-IF(OR($D$6=2,MOD(A52,2)=1),1,0))*H51*'NG Inputs'!$B$10*(1-'NG Inputs'!$B$4)/2,0)-IF(MOD(A52,2)=0,INDEX($B$11:$D$25,B52,3)*(1-'NG Inputs'!$B$4),0)</f>
        <v/>
      </c>
      <c r="I52" s="51">
        <f>I51+IF(OR($D$7=2,MOD(A52,2)=1),1,0)*(MIN('NG Inputs'!$B$12*I51/$C$7,'NG Inputs'!$B$9)*($B$7-'NG Inputs'!$B$5-'NG Inputs'!$B$6-2*'NG Inputs'!$B$7*SQRT(MIN('NG Inputs'!$B$12*I51/$C$7,'NG Inputs'!$B$9)/'NG Inputs'!$B$8))+MAX(I51-MIN('NG Inputs'!$B$12*I51/$C$7,'NG Inputs'!$B$9)*$C$7,0)*'NG Inputs'!$B$10/$D$7)*(1-'NG Inputs'!$B$4)+IF($D$7=1,(1-IF(OR($D$7=2,MOD(A52,2)=1),1,0))*I51*'NG Inputs'!$B$10*(1-'NG Inputs'!$B$4)/2,0)-IF(MOD(A52,2)=0,INDEX($B$11:$D$25,B52,1)*(1-'NG Inputs'!$B$4),0)</f>
        <v/>
      </c>
      <c r="J52" s="51">
        <f>J51+IF(OR($D$7=2,MOD(A52,2)=1),1,0)*(MIN('NG Inputs'!$B$12*J51/$C$7,'NG Inputs'!$B$9)*($B$7-'NG Inputs'!$B$5-'NG Inputs'!$B$6-2*'NG Inputs'!$B$7*SQRT(MIN('NG Inputs'!$B$12*J51/$C$7,'NG Inputs'!$B$9)/'NG Inputs'!$B$8))+MAX(J51-MIN('NG Inputs'!$B$12*J51/$C$7,'NG Inputs'!$B$9)*$C$7,0)*'NG Inputs'!$B$10/$D$7)*(1-'NG Inputs'!$B$4)+IF($D$7=1,(1-IF(OR($D$7=2,MOD(A52,2)=1),1,0))*J51*'NG Inputs'!$B$10*(1-'NG Inputs'!$B$4)/2,0)-IF(MOD(A52,2)=0,INDEX($B$11:$D$25,B52,2)*(1-'NG Inputs'!$B$4),0)</f>
        <v/>
      </c>
      <c r="K52" s="53">
        <f>K51+IF(OR($D$7=2,MOD(A52,2)=1),1,0)*(MIN('NG Inputs'!$B$12*K51/$C$7,'NG Inputs'!$B$9)*($B$7-'NG Inputs'!$B$5-'NG Inputs'!$B$6-2*'NG Inputs'!$B$7*SQRT(MIN('NG Inputs'!$B$12*K51/$C$7,'NG Inputs'!$B$9)/'NG Inputs'!$B$8))+MAX(K51-MIN('NG Inputs'!$B$12*K51/$C$7,'NG Inputs'!$B$9)*$C$7,0)*'NG Inputs'!$B$10/$D$7)*(1-'NG Inputs'!$B$4)+IF($D$7=1,(1-IF(OR($D$7=2,MOD(A52,2)=1),1,0))*K51*'NG Inputs'!$B$10*(1-'NG Inputs'!$B$4)/2,0)-IF(MOD(A52,2)=0,INDEX($B$11:$D$25,B52,3)*(1-'NG Inputs'!$B$4),0)</f>
        <v/>
      </c>
    </row>
    <row r="53" ht="13.5" customHeight="1">
      <c r="A53" s="10" t="n">
        <v>25</v>
      </c>
      <c r="B53" s="48">
        <f>ROUNDUP(A53/2,0)</f>
        <v/>
      </c>
      <c r="C53" s="52">
        <f>C52+IF(OR($D$5=2,MOD(A53,2)=1),1,0)*(MIN('NG Inputs'!$B$12*C52/$C$5,'NG Inputs'!$B$9)*($B$5-'NG Inputs'!$B$5-'NG Inputs'!$B$6-2*'NG Inputs'!$B$7*SQRT(MIN('NG Inputs'!$B$12*C52/$C$5,'NG Inputs'!$B$9)/'NG Inputs'!$B$8))+MAX(C52-MIN('NG Inputs'!$B$12*C52/$C$5,'NG Inputs'!$B$9)*$C$5,0)*'NG Inputs'!$B$10/$D$5)*(1-'NG Inputs'!$B$4)+IF($D$5=1,(1-IF(OR($D$5=2,MOD(A53,2)=1),1,0))*C52*'NG Inputs'!$B$10*(1-'NG Inputs'!$B$4)/2,0)-IF(MOD(A53,2)=0,INDEX($B$11:$D$25,B53,1)*(1-'NG Inputs'!$B$4),0)</f>
        <v/>
      </c>
      <c r="D53" s="52">
        <f>D52+IF(OR($D$5=2,MOD(A53,2)=1),1,0)*(MIN('NG Inputs'!$B$12*D52/$C$5,'NG Inputs'!$B$9)*($B$5-'NG Inputs'!$B$5-'NG Inputs'!$B$6-2*'NG Inputs'!$B$7*SQRT(MIN('NG Inputs'!$B$12*D52/$C$5,'NG Inputs'!$B$9)/'NG Inputs'!$B$8))+MAX(D52-MIN('NG Inputs'!$B$12*D52/$C$5,'NG Inputs'!$B$9)*$C$5,0)*'NG Inputs'!$B$10/$D$5)*(1-'NG Inputs'!$B$4)+IF($D$5=1,(1-IF(OR($D$5=2,MOD(A53,2)=1),1,0))*D52*'NG Inputs'!$B$10*(1-'NG Inputs'!$B$4)/2,0)-IF(MOD(A53,2)=0,INDEX($B$11:$D$25,B53,2)*(1-'NG Inputs'!$B$4),0)</f>
        <v/>
      </c>
      <c r="E53" s="52">
        <f>E52+IF(OR($D$5=2,MOD(A53,2)=1),1,0)*(MIN('NG Inputs'!$B$12*E52/$C$5,'NG Inputs'!$B$9)*($B$5-'NG Inputs'!$B$5-'NG Inputs'!$B$6-2*'NG Inputs'!$B$7*SQRT(MIN('NG Inputs'!$B$12*E52/$C$5,'NG Inputs'!$B$9)/'NG Inputs'!$B$8))+MAX(E52-MIN('NG Inputs'!$B$12*E52/$C$5,'NG Inputs'!$B$9)*$C$5,0)*'NG Inputs'!$B$10/$D$5)*(1-'NG Inputs'!$B$4)+IF($D$5=1,(1-IF(OR($D$5=2,MOD(A53,2)=1),1,0))*E52*'NG Inputs'!$B$10*(1-'NG Inputs'!$B$4)/2,0)-IF(MOD(A53,2)=0,INDEX($B$11:$D$25,B53,3)*(1-'NG Inputs'!$B$4),0)</f>
        <v/>
      </c>
      <c r="F53" s="52">
        <f>F52+IF(OR($D$6=2,MOD(A53,2)=1),1,0)*(MIN('NG Inputs'!$B$12*F52/$C$6,'NG Inputs'!$B$9)*($B$6-'NG Inputs'!$B$5-'NG Inputs'!$B$6-2*'NG Inputs'!$B$7*SQRT(MIN('NG Inputs'!$B$12*F52/$C$6,'NG Inputs'!$B$9)/'NG Inputs'!$B$8))+MAX(F52-MIN('NG Inputs'!$B$12*F52/$C$6,'NG Inputs'!$B$9)*$C$6,0)*'NG Inputs'!$B$10/$D$6)*(1-'NG Inputs'!$B$4)+IF($D$6=1,(1-IF(OR($D$6=2,MOD(A53,2)=1),1,0))*F52*'NG Inputs'!$B$10*(1-'NG Inputs'!$B$4)/2,0)-IF(MOD(A53,2)=0,INDEX($B$11:$D$25,B53,1)*(1-'NG Inputs'!$B$4),0)</f>
        <v/>
      </c>
      <c r="G53" s="52">
        <f>G52+IF(OR($D$6=2,MOD(A53,2)=1),1,0)*(MIN('NG Inputs'!$B$12*G52/$C$6,'NG Inputs'!$B$9)*($B$6-'NG Inputs'!$B$5-'NG Inputs'!$B$6-2*'NG Inputs'!$B$7*SQRT(MIN('NG Inputs'!$B$12*G52/$C$6,'NG Inputs'!$B$9)/'NG Inputs'!$B$8))+MAX(G52-MIN('NG Inputs'!$B$12*G52/$C$6,'NG Inputs'!$B$9)*$C$6,0)*'NG Inputs'!$B$10/$D$6)*(1-'NG Inputs'!$B$4)+IF($D$6=1,(1-IF(OR($D$6=2,MOD(A53,2)=1),1,0))*G52*'NG Inputs'!$B$10*(1-'NG Inputs'!$B$4)/2,0)-IF(MOD(A53,2)=0,INDEX($B$11:$D$25,B53,2)*(1-'NG Inputs'!$B$4),0)</f>
        <v/>
      </c>
      <c r="H53" s="52">
        <f>H52+IF(OR($D$6=2,MOD(A53,2)=1),1,0)*(MIN('NG Inputs'!$B$12*H52/$C$6,'NG Inputs'!$B$9)*($B$6-'NG Inputs'!$B$5-'NG Inputs'!$B$6-2*'NG Inputs'!$B$7*SQRT(MIN('NG Inputs'!$B$12*H52/$C$6,'NG Inputs'!$B$9)/'NG Inputs'!$B$8))+MAX(H52-MIN('NG Inputs'!$B$12*H52/$C$6,'NG Inputs'!$B$9)*$C$6,0)*'NG Inputs'!$B$10/$D$6)*(1-'NG Inputs'!$B$4)+IF($D$6=1,(1-IF(OR($D$6=2,MOD(A53,2)=1),1,0))*H52*'NG Inputs'!$B$10*(1-'NG Inputs'!$B$4)/2,0)-IF(MOD(A53,2)=0,INDEX($B$11:$D$25,B53,3)*(1-'NG Inputs'!$B$4),0)</f>
        <v/>
      </c>
      <c r="I53" s="49">
        <f>I52+IF(OR($D$7=2,MOD(A53,2)=1),1,0)*(MIN('NG Inputs'!$B$12*I52/$C$7,'NG Inputs'!$B$9)*($B$7-'NG Inputs'!$B$5-'NG Inputs'!$B$6-2*'NG Inputs'!$B$7*SQRT(MIN('NG Inputs'!$B$12*I52/$C$7,'NG Inputs'!$B$9)/'NG Inputs'!$B$8))+MAX(I52-MIN('NG Inputs'!$B$12*I52/$C$7,'NG Inputs'!$B$9)*$C$7,0)*'NG Inputs'!$B$10/$D$7)*(1-'NG Inputs'!$B$4)+IF($D$7=1,(1-IF(OR($D$7=2,MOD(A53,2)=1),1,0))*I52*'NG Inputs'!$B$10*(1-'NG Inputs'!$B$4)/2,0)-IF(MOD(A53,2)=0,INDEX($B$11:$D$25,B53,1)*(1-'NG Inputs'!$B$4),0)</f>
        <v/>
      </c>
      <c r="J53" s="49">
        <f>J52+IF(OR($D$7=2,MOD(A53,2)=1),1,0)*(MIN('NG Inputs'!$B$12*J52/$C$7,'NG Inputs'!$B$9)*($B$7-'NG Inputs'!$B$5-'NG Inputs'!$B$6-2*'NG Inputs'!$B$7*SQRT(MIN('NG Inputs'!$B$12*J52/$C$7,'NG Inputs'!$B$9)/'NG Inputs'!$B$8))+MAX(J52-MIN('NG Inputs'!$B$12*J52/$C$7,'NG Inputs'!$B$9)*$C$7,0)*'NG Inputs'!$B$10/$D$7)*(1-'NG Inputs'!$B$4)+IF($D$7=1,(1-IF(OR($D$7=2,MOD(A53,2)=1),1,0))*J52*'NG Inputs'!$B$10*(1-'NG Inputs'!$B$4)/2,0)-IF(MOD(A53,2)=0,INDEX($B$11:$D$25,B53,2)*(1-'NG Inputs'!$B$4),0)</f>
        <v/>
      </c>
      <c r="K53" s="52">
        <f>K52+IF(OR($D$7=2,MOD(A53,2)=1),1,0)*(MIN('NG Inputs'!$B$12*K52/$C$7,'NG Inputs'!$B$9)*($B$7-'NG Inputs'!$B$5-'NG Inputs'!$B$6-2*'NG Inputs'!$B$7*SQRT(MIN('NG Inputs'!$B$12*K52/$C$7,'NG Inputs'!$B$9)/'NG Inputs'!$B$8))+MAX(K52-MIN('NG Inputs'!$B$12*K52/$C$7,'NG Inputs'!$B$9)*$C$7,0)*'NG Inputs'!$B$10/$D$7)*(1-'NG Inputs'!$B$4)+IF($D$7=1,(1-IF(OR($D$7=2,MOD(A53,2)=1),1,0))*K52*'NG Inputs'!$B$10*(1-'NG Inputs'!$B$4)/2,0)-IF(MOD(A53,2)=0,INDEX($B$11:$D$25,B53,3)*(1-'NG Inputs'!$B$4),0)</f>
        <v/>
      </c>
    </row>
    <row r="54" ht="13.5" customHeight="1">
      <c r="A54" s="13" t="n">
        <v>26</v>
      </c>
      <c r="B54" s="50">
        <f>ROUNDUP(A54/2,0)</f>
        <v/>
      </c>
      <c r="C54" s="53">
        <f>C53+IF(OR($D$5=2,MOD(A54,2)=1),1,0)*(MIN('NG Inputs'!$B$12*C53/$C$5,'NG Inputs'!$B$9)*($B$5-'NG Inputs'!$B$5-'NG Inputs'!$B$6-2*'NG Inputs'!$B$7*SQRT(MIN('NG Inputs'!$B$12*C53/$C$5,'NG Inputs'!$B$9)/'NG Inputs'!$B$8))+MAX(C53-MIN('NG Inputs'!$B$12*C53/$C$5,'NG Inputs'!$B$9)*$C$5,0)*'NG Inputs'!$B$10/$D$5)*(1-'NG Inputs'!$B$4)+IF($D$5=1,(1-IF(OR($D$5=2,MOD(A54,2)=1),1,0))*C53*'NG Inputs'!$B$10*(1-'NG Inputs'!$B$4)/2,0)-IF(MOD(A54,2)=0,INDEX($B$11:$D$25,B54,1)*(1-'NG Inputs'!$B$4),0)</f>
        <v/>
      </c>
      <c r="D54" s="53">
        <f>D53+IF(OR($D$5=2,MOD(A54,2)=1),1,0)*(MIN('NG Inputs'!$B$12*D53/$C$5,'NG Inputs'!$B$9)*($B$5-'NG Inputs'!$B$5-'NG Inputs'!$B$6-2*'NG Inputs'!$B$7*SQRT(MIN('NG Inputs'!$B$12*D53/$C$5,'NG Inputs'!$B$9)/'NG Inputs'!$B$8))+MAX(D53-MIN('NG Inputs'!$B$12*D53/$C$5,'NG Inputs'!$B$9)*$C$5,0)*'NG Inputs'!$B$10/$D$5)*(1-'NG Inputs'!$B$4)+IF($D$5=1,(1-IF(OR($D$5=2,MOD(A54,2)=1),1,0))*D53*'NG Inputs'!$B$10*(1-'NG Inputs'!$B$4)/2,0)-IF(MOD(A54,2)=0,INDEX($B$11:$D$25,B54,2)*(1-'NG Inputs'!$B$4),0)</f>
        <v/>
      </c>
      <c r="E54" s="53">
        <f>E53+IF(OR($D$5=2,MOD(A54,2)=1),1,0)*(MIN('NG Inputs'!$B$12*E53/$C$5,'NG Inputs'!$B$9)*($B$5-'NG Inputs'!$B$5-'NG Inputs'!$B$6-2*'NG Inputs'!$B$7*SQRT(MIN('NG Inputs'!$B$12*E53/$C$5,'NG Inputs'!$B$9)/'NG Inputs'!$B$8))+MAX(E53-MIN('NG Inputs'!$B$12*E53/$C$5,'NG Inputs'!$B$9)*$C$5,0)*'NG Inputs'!$B$10/$D$5)*(1-'NG Inputs'!$B$4)+IF($D$5=1,(1-IF(OR($D$5=2,MOD(A54,2)=1),1,0))*E53*'NG Inputs'!$B$10*(1-'NG Inputs'!$B$4)/2,0)-IF(MOD(A54,2)=0,INDEX($B$11:$D$25,B54,3)*(1-'NG Inputs'!$B$4),0)</f>
        <v/>
      </c>
      <c r="F54" s="53">
        <f>F53+IF(OR($D$6=2,MOD(A54,2)=1),1,0)*(MIN('NG Inputs'!$B$12*F53/$C$6,'NG Inputs'!$B$9)*($B$6-'NG Inputs'!$B$5-'NG Inputs'!$B$6-2*'NG Inputs'!$B$7*SQRT(MIN('NG Inputs'!$B$12*F53/$C$6,'NG Inputs'!$B$9)/'NG Inputs'!$B$8))+MAX(F53-MIN('NG Inputs'!$B$12*F53/$C$6,'NG Inputs'!$B$9)*$C$6,0)*'NG Inputs'!$B$10/$D$6)*(1-'NG Inputs'!$B$4)+IF($D$6=1,(1-IF(OR($D$6=2,MOD(A54,2)=1),1,0))*F53*'NG Inputs'!$B$10*(1-'NG Inputs'!$B$4)/2,0)-IF(MOD(A54,2)=0,INDEX($B$11:$D$25,B54,1)*(1-'NG Inputs'!$B$4),0)</f>
        <v/>
      </c>
      <c r="G54" s="53">
        <f>G53+IF(OR($D$6=2,MOD(A54,2)=1),1,0)*(MIN('NG Inputs'!$B$12*G53/$C$6,'NG Inputs'!$B$9)*($B$6-'NG Inputs'!$B$5-'NG Inputs'!$B$6-2*'NG Inputs'!$B$7*SQRT(MIN('NG Inputs'!$B$12*G53/$C$6,'NG Inputs'!$B$9)/'NG Inputs'!$B$8))+MAX(G53-MIN('NG Inputs'!$B$12*G53/$C$6,'NG Inputs'!$B$9)*$C$6,0)*'NG Inputs'!$B$10/$D$6)*(1-'NG Inputs'!$B$4)+IF($D$6=1,(1-IF(OR($D$6=2,MOD(A54,2)=1),1,0))*G53*'NG Inputs'!$B$10*(1-'NG Inputs'!$B$4)/2,0)-IF(MOD(A54,2)=0,INDEX($B$11:$D$25,B54,2)*(1-'NG Inputs'!$B$4),0)</f>
        <v/>
      </c>
      <c r="H54" s="53">
        <f>H53+IF(OR($D$6=2,MOD(A54,2)=1),1,0)*(MIN('NG Inputs'!$B$12*H53/$C$6,'NG Inputs'!$B$9)*($B$6-'NG Inputs'!$B$5-'NG Inputs'!$B$6-2*'NG Inputs'!$B$7*SQRT(MIN('NG Inputs'!$B$12*H53/$C$6,'NG Inputs'!$B$9)/'NG Inputs'!$B$8))+MAX(H53-MIN('NG Inputs'!$B$12*H53/$C$6,'NG Inputs'!$B$9)*$C$6,0)*'NG Inputs'!$B$10/$D$6)*(1-'NG Inputs'!$B$4)+IF($D$6=1,(1-IF(OR($D$6=2,MOD(A54,2)=1),1,0))*H53*'NG Inputs'!$B$10*(1-'NG Inputs'!$B$4)/2,0)-IF(MOD(A54,2)=0,INDEX($B$11:$D$25,B54,3)*(1-'NG Inputs'!$B$4),0)</f>
        <v/>
      </c>
      <c r="I54" s="51">
        <f>I53+IF(OR($D$7=2,MOD(A54,2)=1),1,0)*(MIN('NG Inputs'!$B$12*I53/$C$7,'NG Inputs'!$B$9)*($B$7-'NG Inputs'!$B$5-'NG Inputs'!$B$6-2*'NG Inputs'!$B$7*SQRT(MIN('NG Inputs'!$B$12*I53/$C$7,'NG Inputs'!$B$9)/'NG Inputs'!$B$8))+MAX(I53-MIN('NG Inputs'!$B$12*I53/$C$7,'NG Inputs'!$B$9)*$C$7,0)*'NG Inputs'!$B$10/$D$7)*(1-'NG Inputs'!$B$4)+IF($D$7=1,(1-IF(OR($D$7=2,MOD(A54,2)=1),1,0))*I53*'NG Inputs'!$B$10*(1-'NG Inputs'!$B$4)/2,0)-IF(MOD(A54,2)=0,INDEX($B$11:$D$25,B54,1)*(1-'NG Inputs'!$B$4),0)</f>
        <v/>
      </c>
      <c r="J54" s="51">
        <f>J53+IF(OR($D$7=2,MOD(A54,2)=1),1,0)*(MIN('NG Inputs'!$B$12*J53/$C$7,'NG Inputs'!$B$9)*($B$7-'NG Inputs'!$B$5-'NG Inputs'!$B$6-2*'NG Inputs'!$B$7*SQRT(MIN('NG Inputs'!$B$12*J53/$C$7,'NG Inputs'!$B$9)/'NG Inputs'!$B$8))+MAX(J53-MIN('NG Inputs'!$B$12*J53/$C$7,'NG Inputs'!$B$9)*$C$7,0)*'NG Inputs'!$B$10/$D$7)*(1-'NG Inputs'!$B$4)+IF($D$7=1,(1-IF(OR($D$7=2,MOD(A54,2)=1),1,0))*J53*'NG Inputs'!$B$10*(1-'NG Inputs'!$B$4)/2,0)-IF(MOD(A54,2)=0,INDEX($B$11:$D$25,B54,2)*(1-'NG Inputs'!$B$4),0)</f>
        <v/>
      </c>
      <c r="K54" s="53">
        <f>K53+IF(OR($D$7=2,MOD(A54,2)=1),1,0)*(MIN('NG Inputs'!$B$12*K53/$C$7,'NG Inputs'!$B$9)*($B$7-'NG Inputs'!$B$5-'NG Inputs'!$B$6-2*'NG Inputs'!$B$7*SQRT(MIN('NG Inputs'!$B$12*K53/$C$7,'NG Inputs'!$B$9)/'NG Inputs'!$B$8))+MAX(K53-MIN('NG Inputs'!$B$12*K53/$C$7,'NG Inputs'!$B$9)*$C$7,0)*'NG Inputs'!$B$10/$D$7)*(1-'NG Inputs'!$B$4)+IF($D$7=1,(1-IF(OR($D$7=2,MOD(A54,2)=1),1,0))*K53*'NG Inputs'!$B$10*(1-'NG Inputs'!$B$4)/2,0)-IF(MOD(A54,2)=0,INDEX($B$11:$D$25,B54,3)*(1-'NG Inputs'!$B$4),0)</f>
        <v/>
      </c>
    </row>
    <row r="55" ht="13.5" customHeight="1">
      <c r="A55" s="10" t="n">
        <v>27</v>
      </c>
      <c r="B55" s="48">
        <f>ROUNDUP(A55/2,0)</f>
        <v/>
      </c>
      <c r="C55" s="52">
        <f>C54+IF(OR($D$5=2,MOD(A55,2)=1),1,0)*(MIN('NG Inputs'!$B$12*C54/$C$5,'NG Inputs'!$B$9)*($B$5-'NG Inputs'!$B$5-'NG Inputs'!$B$6-2*'NG Inputs'!$B$7*SQRT(MIN('NG Inputs'!$B$12*C54/$C$5,'NG Inputs'!$B$9)/'NG Inputs'!$B$8))+MAX(C54-MIN('NG Inputs'!$B$12*C54/$C$5,'NG Inputs'!$B$9)*$C$5,0)*'NG Inputs'!$B$10/$D$5)*(1-'NG Inputs'!$B$4)+IF($D$5=1,(1-IF(OR($D$5=2,MOD(A55,2)=1),1,0))*C54*'NG Inputs'!$B$10*(1-'NG Inputs'!$B$4)/2,0)-IF(MOD(A55,2)=0,INDEX($B$11:$D$25,B55,1)*(1-'NG Inputs'!$B$4),0)</f>
        <v/>
      </c>
      <c r="D55" s="52">
        <f>D54+IF(OR($D$5=2,MOD(A55,2)=1),1,0)*(MIN('NG Inputs'!$B$12*D54/$C$5,'NG Inputs'!$B$9)*($B$5-'NG Inputs'!$B$5-'NG Inputs'!$B$6-2*'NG Inputs'!$B$7*SQRT(MIN('NG Inputs'!$B$12*D54/$C$5,'NG Inputs'!$B$9)/'NG Inputs'!$B$8))+MAX(D54-MIN('NG Inputs'!$B$12*D54/$C$5,'NG Inputs'!$B$9)*$C$5,0)*'NG Inputs'!$B$10/$D$5)*(1-'NG Inputs'!$B$4)+IF($D$5=1,(1-IF(OR($D$5=2,MOD(A55,2)=1),1,0))*D54*'NG Inputs'!$B$10*(1-'NG Inputs'!$B$4)/2,0)-IF(MOD(A55,2)=0,INDEX($B$11:$D$25,B55,2)*(1-'NG Inputs'!$B$4),0)</f>
        <v/>
      </c>
      <c r="E55" s="52">
        <f>E54+IF(OR($D$5=2,MOD(A55,2)=1),1,0)*(MIN('NG Inputs'!$B$12*E54/$C$5,'NG Inputs'!$B$9)*($B$5-'NG Inputs'!$B$5-'NG Inputs'!$B$6-2*'NG Inputs'!$B$7*SQRT(MIN('NG Inputs'!$B$12*E54/$C$5,'NG Inputs'!$B$9)/'NG Inputs'!$B$8))+MAX(E54-MIN('NG Inputs'!$B$12*E54/$C$5,'NG Inputs'!$B$9)*$C$5,0)*'NG Inputs'!$B$10/$D$5)*(1-'NG Inputs'!$B$4)+IF($D$5=1,(1-IF(OR($D$5=2,MOD(A55,2)=1),1,0))*E54*'NG Inputs'!$B$10*(1-'NG Inputs'!$B$4)/2,0)-IF(MOD(A55,2)=0,INDEX($B$11:$D$25,B55,3)*(1-'NG Inputs'!$B$4),0)</f>
        <v/>
      </c>
      <c r="F55" s="52">
        <f>F54+IF(OR($D$6=2,MOD(A55,2)=1),1,0)*(MIN('NG Inputs'!$B$12*F54/$C$6,'NG Inputs'!$B$9)*($B$6-'NG Inputs'!$B$5-'NG Inputs'!$B$6-2*'NG Inputs'!$B$7*SQRT(MIN('NG Inputs'!$B$12*F54/$C$6,'NG Inputs'!$B$9)/'NG Inputs'!$B$8))+MAX(F54-MIN('NG Inputs'!$B$12*F54/$C$6,'NG Inputs'!$B$9)*$C$6,0)*'NG Inputs'!$B$10/$D$6)*(1-'NG Inputs'!$B$4)+IF($D$6=1,(1-IF(OR($D$6=2,MOD(A55,2)=1),1,0))*F54*'NG Inputs'!$B$10*(1-'NG Inputs'!$B$4)/2,0)-IF(MOD(A55,2)=0,INDEX($B$11:$D$25,B55,1)*(1-'NG Inputs'!$B$4),0)</f>
        <v/>
      </c>
      <c r="G55" s="52">
        <f>G54+IF(OR($D$6=2,MOD(A55,2)=1),1,0)*(MIN('NG Inputs'!$B$12*G54/$C$6,'NG Inputs'!$B$9)*($B$6-'NG Inputs'!$B$5-'NG Inputs'!$B$6-2*'NG Inputs'!$B$7*SQRT(MIN('NG Inputs'!$B$12*G54/$C$6,'NG Inputs'!$B$9)/'NG Inputs'!$B$8))+MAX(G54-MIN('NG Inputs'!$B$12*G54/$C$6,'NG Inputs'!$B$9)*$C$6,0)*'NG Inputs'!$B$10/$D$6)*(1-'NG Inputs'!$B$4)+IF($D$6=1,(1-IF(OR($D$6=2,MOD(A55,2)=1),1,0))*G54*'NG Inputs'!$B$10*(1-'NG Inputs'!$B$4)/2,0)-IF(MOD(A55,2)=0,INDEX($B$11:$D$25,B55,2)*(1-'NG Inputs'!$B$4),0)</f>
        <v/>
      </c>
      <c r="H55" s="52">
        <f>H54+IF(OR($D$6=2,MOD(A55,2)=1),1,0)*(MIN('NG Inputs'!$B$12*H54/$C$6,'NG Inputs'!$B$9)*($B$6-'NG Inputs'!$B$5-'NG Inputs'!$B$6-2*'NG Inputs'!$B$7*SQRT(MIN('NG Inputs'!$B$12*H54/$C$6,'NG Inputs'!$B$9)/'NG Inputs'!$B$8))+MAX(H54-MIN('NG Inputs'!$B$12*H54/$C$6,'NG Inputs'!$B$9)*$C$6,0)*'NG Inputs'!$B$10/$D$6)*(1-'NG Inputs'!$B$4)+IF($D$6=1,(1-IF(OR($D$6=2,MOD(A55,2)=1),1,0))*H54*'NG Inputs'!$B$10*(1-'NG Inputs'!$B$4)/2,0)-IF(MOD(A55,2)=0,INDEX($B$11:$D$25,B55,3)*(1-'NG Inputs'!$B$4),0)</f>
        <v/>
      </c>
      <c r="I55" s="49">
        <f>I54+IF(OR($D$7=2,MOD(A55,2)=1),1,0)*(MIN('NG Inputs'!$B$12*I54/$C$7,'NG Inputs'!$B$9)*($B$7-'NG Inputs'!$B$5-'NG Inputs'!$B$6-2*'NG Inputs'!$B$7*SQRT(MIN('NG Inputs'!$B$12*I54/$C$7,'NG Inputs'!$B$9)/'NG Inputs'!$B$8))+MAX(I54-MIN('NG Inputs'!$B$12*I54/$C$7,'NG Inputs'!$B$9)*$C$7,0)*'NG Inputs'!$B$10/$D$7)*(1-'NG Inputs'!$B$4)+IF($D$7=1,(1-IF(OR($D$7=2,MOD(A55,2)=1),1,0))*I54*'NG Inputs'!$B$10*(1-'NG Inputs'!$B$4)/2,0)-IF(MOD(A55,2)=0,INDEX($B$11:$D$25,B55,1)*(1-'NG Inputs'!$B$4),0)</f>
        <v/>
      </c>
      <c r="J55" s="49">
        <f>J54+IF(OR($D$7=2,MOD(A55,2)=1),1,0)*(MIN('NG Inputs'!$B$12*J54/$C$7,'NG Inputs'!$B$9)*($B$7-'NG Inputs'!$B$5-'NG Inputs'!$B$6-2*'NG Inputs'!$B$7*SQRT(MIN('NG Inputs'!$B$12*J54/$C$7,'NG Inputs'!$B$9)/'NG Inputs'!$B$8))+MAX(J54-MIN('NG Inputs'!$B$12*J54/$C$7,'NG Inputs'!$B$9)*$C$7,0)*'NG Inputs'!$B$10/$D$7)*(1-'NG Inputs'!$B$4)+IF($D$7=1,(1-IF(OR($D$7=2,MOD(A55,2)=1),1,0))*J54*'NG Inputs'!$B$10*(1-'NG Inputs'!$B$4)/2,0)-IF(MOD(A55,2)=0,INDEX($B$11:$D$25,B55,2)*(1-'NG Inputs'!$B$4),0)</f>
        <v/>
      </c>
      <c r="K55" s="52">
        <f>K54+IF(OR($D$7=2,MOD(A55,2)=1),1,0)*(MIN('NG Inputs'!$B$12*K54/$C$7,'NG Inputs'!$B$9)*($B$7-'NG Inputs'!$B$5-'NG Inputs'!$B$6-2*'NG Inputs'!$B$7*SQRT(MIN('NG Inputs'!$B$12*K54/$C$7,'NG Inputs'!$B$9)/'NG Inputs'!$B$8))+MAX(K54-MIN('NG Inputs'!$B$12*K54/$C$7,'NG Inputs'!$B$9)*$C$7,0)*'NG Inputs'!$B$10/$D$7)*(1-'NG Inputs'!$B$4)+IF($D$7=1,(1-IF(OR($D$7=2,MOD(A55,2)=1),1,0))*K54*'NG Inputs'!$B$10*(1-'NG Inputs'!$B$4)/2,0)-IF(MOD(A55,2)=0,INDEX($B$11:$D$25,B55,3)*(1-'NG Inputs'!$B$4),0)</f>
        <v/>
      </c>
    </row>
    <row r="56" ht="13.5" customHeight="1">
      <c r="A56" s="13" t="n">
        <v>28</v>
      </c>
      <c r="B56" s="50">
        <f>ROUNDUP(A56/2,0)</f>
        <v/>
      </c>
      <c r="C56" s="53">
        <f>C55+IF(OR($D$5=2,MOD(A56,2)=1),1,0)*(MIN('NG Inputs'!$B$12*C55/$C$5,'NG Inputs'!$B$9)*($B$5-'NG Inputs'!$B$5-'NG Inputs'!$B$6-2*'NG Inputs'!$B$7*SQRT(MIN('NG Inputs'!$B$12*C55/$C$5,'NG Inputs'!$B$9)/'NG Inputs'!$B$8))+MAX(C55-MIN('NG Inputs'!$B$12*C55/$C$5,'NG Inputs'!$B$9)*$C$5,0)*'NG Inputs'!$B$10/$D$5)*(1-'NG Inputs'!$B$4)+IF($D$5=1,(1-IF(OR($D$5=2,MOD(A56,2)=1),1,0))*C55*'NG Inputs'!$B$10*(1-'NG Inputs'!$B$4)/2,0)-IF(MOD(A56,2)=0,INDEX($B$11:$D$25,B56,1)*(1-'NG Inputs'!$B$4),0)</f>
        <v/>
      </c>
      <c r="D56" s="53">
        <f>D55+IF(OR($D$5=2,MOD(A56,2)=1),1,0)*(MIN('NG Inputs'!$B$12*D55/$C$5,'NG Inputs'!$B$9)*($B$5-'NG Inputs'!$B$5-'NG Inputs'!$B$6-2*'NG Inputs'!$B$7*SQRT(MIN('NG Inputs'!$B$12*D55/$C$5,'NG Inputs'!$B$9)/'NG Inputs'!$B$8))+MAX(D55-MIN('NG Inputs'!$B$12*D55/$C$5,'NG Inputs'!$B$9)*$C$5,0)*'NG Inputs'!$B$10/$D$5)*(1-'NG Inputs'!$B$4)+IF($D$5=1,(1-IF(OR($D$5=2,MOD(A56,2)=1),1,0))*D55*'NG Inputs'!$B$10*(1-'NG Inputs'!$B$4)/2,0)-IF(MOD(A56,2)=0,INDEX($B$11:$D$25,B56,2)*(1-'NG Inputs'!$B$4),0)</f>
        <v/>
      </c>
      <c r="E56" s="53">
        <f>E55+IF(OR($D$5=2,MOD(A56,2)=1),1,0)*(MIN('NG Inputs'!$B$12*E55/$C$5,'NG Inputs'!$B$9)*($B$5-'NG Inputs'!$B$5-'NG Inputs'!$B$6-2*'NG Inputs'!$B$7*SQRT(MIN('NG Inputs'!$B$12*E55/$C$5,'NG Inputs'!$B$9)/'NG Inputs'!$B$8))+MAX(E55-MIN('NG Inputs'!$B$12*E55/$C$5,'NG Inputs'!$B$9)*$C$5,0)*'NG Inputs'!$B$10/$D$5)*(1-'NG Inputs'!$B$4)+IF($D$5=1,(1-IF(OR($D$5=2,MOD(A56,2)=1),1,0))*E55*'NG Inputs'!$B$10*(1-'NG Inputs'!$B$4)/2,0)-IF(MOD(A56,2)=0,INDEX($B$11:$D$25,B56,3)*(1-'NG Inputs'!$B$4),0)</f>
        <v/>
      </c>
      <c r="F56" s="53">
        <f>F55+IF(OR($D$6=2,MOD(A56,2)=1),1,0)*(MIN('NG Inputs'!$B$12*F55/$C$6,'NG Inputs'!$B$9)*($B$6-'NG Inputs'!$B$5-'NG Inputs'!$B$6-2*'NG Inputs'!$B$7*SQRT(MIN('NG Inputs'!$B$12*F55/$C$6,'NG Inputs'!$B$9)/'NG Inputs'!$B$8))+MAX(F55-MIN('NG Inputs'!$B$12*F55/$C$6,'NG Inputs'!$B$9)*$C$6,0)*'NG Inputs'!$B$10/$D$6)*(1-'NG Inputs'!$B$4)+IF($D$6=1,(1-IF(OR($D$6=2,MOD(A56,2)=1),1,0))*F55*'NG Inputs'!$B$10*(1-'NG Inputs'!$B$4)/2,0)-IF(MOD(A56,2)=0,INDEX($B$11:$D$25,B56,1)*(1-'NG Inputs'!$B$4),0)</f>
        <v/>
      </c>
      <c r="G56" s="53">
        <f>G55+IF(OR($D$6=2,MOD(A56,2)=1),1,0)*(MIN('NG Inputs'!$B$12*G55/$C$6,'NG Inputs'!$B$9)*($B$6-'NG Inputs'!$B$5-'NG Inputs'!$B$6-2*'NG Inputs'!$B$7*SQRT(MIN('NG Inputs'!$B$12*G55/$C$6,'NG Inputs'!$B$9)/'NG Inputs'!$B$8))+MAX(G55-MIN('NG Inputs'!$B$12*G55/$C$6,'NG Inputs'!$B$9)*$C$6,0)*'NG Inputs'!$B$10/$D$6)*(1-'NG Inputs'!$B$4)+IF($D$6=1,(1-IF(OR($D$6=2,MOD(A56,2)=1),1,0))*G55*'NG Inputs'!$B$10*(1-'NG Inputs'!$B$4)/2,0)-IF(MOD(A56,2)=0,INDEX($B$11:$D$25,B56,2)*(1-'NG Inputs'!$B$4),0)</f>
        <v/>
      </c>
      <c r="H56" s="53">
        <f>H55+IF(OR($D$6=2,MOD(A56,2)=1),1,0)*(MIN('NG Inputs'!$B$12*H55/$C$6,'NG Inputs'!$B$9)*($B$6-'NG Inputs'!$B$5-'NG Inputs'!$B$6-2*'NG Inputs'!$B$7*SQRT(MIN('NG Inputs'!$B$12*H55/$C$6,'NG Inputs'!$B$9)/'NG Inputs'!$B$8))+MAX(H55-MIN('NG Inputs'!$B$12*H55/$C$6,'NG Inputs'!$B$9)*$C$6,0)*'NG Inputs'!$B$10/$D$6)*(1-'NG Inputs'!$B$4)+IF($D$6=1,(1-IF(OR($D$6=2,MOD(A56,2)=1),1,0))*H55*'NG Inputs'!$B$10*(1-'NG Inputs'!$B$4)/2,0)-IF(MOD(A56,2)=0,INDEX($B$11:$D$25,B56,3)*(1-'NG Inputs'!$B$4),0)</f>
        <v/>
      </c>
      <c r="I56" s="51">
        <f>I55+IF(OR($D$7=2,MOD(A56,2)=1),1,0)*(MIN('NG Inputs'!$B$12*I55/$C$7,'NG Inputs'!$B$9)*($B$7-'NG Inputs'!$B$5-'NG Inputs'!$B$6-2*'NG Inputs'!$B$7*SQRT(MIN('NG Inputs'!$B$12*I55/$C$7,'NG Inputs'!$B$9)/'NG Inputs'!$B$8))+MAX(I55-MIN('NG Inputs'!$B$12*I55/$C$7,'NG Inputs'!$B$9)*$C$7,0)*'NG Inputs'!$B$10/$D$7)*(1-'NG Inputs'!$B$4)+IF($D$7=1,(1-IF(OR($D$7=2,MOD(A56,2)=1),1,0))*I55*'NG Inputs'!$B$10*(1-'NG Inputs'!$B$4)/2,0)-IF(MOD(A56,2)=0,INDEX($B$11:$D$25,B56,1)*(1-'NG Inputs'!$B$4),0)</f>
        <v/>
      </c>
      <c r="J56" s="51">
        <f>J55+IF(OR($D$7=2,MOD(A56,2)=1),1,0)*(MIN('NG Inputs'!$B$12*J55/$C$7,'NG Inputs'!$B$9)*($B$7-'NG Inputs'!$B$5-'NG Inputs'!$B$6-2*'NG Inputs'!$B$7*SQRT(MIN('NG Inputs'!$B$12*J55/$C$7,'NG Inputs'!$B$9)/'NG Inputs'!$B$8))+MAX(J55-MIN('NG Inputs'!$B$12*J55/$C$7,'NG Inputs'!$B$9)*$C$7,0)*'NG Inputs'!$B$10/$D$7)*(1-'NG Inputs'!$B$4)+IF($D$7=1,(1-IF(OR($D$7=2,MOD(A56,2)=1),1,0))*J55*'NG Inputs'!$B$10*(1-'NG Inputs'!$B$4)/2,0)-IF(MOD(A56,2)=0,INDEX($B$11:$D$25,B56,2)*(1-'NG Inputs'!$B$4),0)</f>
        <v/>
      </c>
      <c r="K56" s="53">
        <f>K55+IF(OR($D$7=2,MOD(A56,2)=1),1,0)*(MIN('NG Inputs'!$B$12*K55/$C$7,'NG Inputs'!$B$9)*($B$7-'NG Inputs'!$B$5-'NG Inputs'!$B$6-2*'NG Inputs'!$B$7*SQRT(MIN('NG Inputs'!$B$12*K55/$C$7,'NG Inputs'!$B$9)/'NG Inputs'!$B$8))+MAX(K55-MIN('NG Inputs'!$B$12*K55/$C$7,'NG Inputs'!$B$9)*$C$7,0)*'NG Inputs'!$B$10/$D$7)*(1-'NG Inputs'!$B$4)+IF($D$7=1,(1-IF(OR($D$7=2,MOD(A56,2)=1),1,0))*K55*'NG Inputs'!$B$10*(1-'NG Inputs'!$B$4)/2,0)-IF(MOD(A56,2)=0,INDEX($B$11:$D$25,B56,3)*(1-'NG Inputs'!$B$4),0)</f>
        <v/>
      </c>
    </row>
    <row r="57" ht="13.5" customHeight="1">
      <c r="A57" s="10" t="n">
        <v>29</v>
      </c>
      <c r="B57" s="48">
        <f>ROUNDUP(A57/2,0)</f>
        <v/>
      </c>
      <c r="C57" s="52">
        <f>C56+IF(OR($D$5=2,MOD(A57,2)=1),1,0)*(MIN('NG Inputs'!$B$12*C56/$C$5,'NG Inputs'!$B$9)*($B$5-'NG Inputs'!$B$5-'NG Inputs'!$B$6-2*'NG Inputs'!$B$7*SQRT(MIN('NG Inputs'!$B$12*C56/$C$5,'NG Inputs'!$B$9)/'NG Inputs'!$B$8))+MAX(C56-MIN('NG Inputs'!$B$12*C56/$C$5,'NG Inputs'!$B$9)*$C$5,0)*'NG Inputs'!$B$10/$D$5)*(1-'NG Inputs'!$B$4)+IF($D$5=1,(1-IF(OR($D$5=2,MOD(A57,2)=1),1,0))*C56*'NG Inputs'!$B$10*(1-'NG Inputs'!$B$4)/2,0)-IF(MOD(A57,2)=0,INDEX($B$11:$D$25,B57,1)*(1-'NG Inputs'!$B$4),0)</f>
        <v/>
      </c>
      <c r="D57" s="52">
        <f>D56+IF(OR($D$5=2,MOD(A57,2)=1),1,0)*(MIN('NG Inputs'!$B$12*D56/$C$5,'NG Inputs'!$B$9)*($B$5-'NG Inputs'!$B$5-'NG Inputs'!$B$6-2*'NG Inputs'!$B$7*SQRT(MIN('NG Inputs'!$B$12*D56/$C$5,'NG Inputs'!$B$9)/'NG Inputs'!$B$8))+MAX(D56-MIN('NG Inputs'!$B$12*D56/$C$5,'NG Inputs'!$B$9)*$C$5,0)*'NG Inputs'!$B$10/$D$5)*(1-'NG Inputs'!$B$4)+IF($D$5=1,(1-IF(OR($D$5=2,MOD(A57,2)=1),1,0))*D56*'NG Inputs'!$B$10*(1-'NG Inputs'!$B$4)/2,0)-IF(MOD(A57,2)=0,INDEX($B$11:$D$25,B57,2)*(1-'NG Inputs'!$B$4),0)</f>
        <v/>
      </c>
      <c r="E57" s="52">
        <f>E56+IF(OR($D$5=2,MOD(A57,2)=1),1,0)*(MIN('NG Inputs'!$B$12*E56/$C$5,'NG Inputs'!$B$9)*($B$5-'NG Inputs'!$B$5-'NG Inputs'!$B$6-2*'NG Inputs'!$B$7*SQRT(MIN('NG Inputs'!$B$12*E56/$C$5,'NG Inputs'!$B$9)/'NG Inputs'!$B$8))+MAX(E56-MIN('NG Inputs'!$B$12*E56/$C$5,'NG Inputs'!$B$9)*$C$5,0)*'NG Inputs'!$B$10/$D$5)*(1-'NG Inputs'!$B$4)+IF($D$5=1,(1-IF(OR($D$5=2,MOD(A57,2)=1),1,0))*E56*'NG Inputs'!$B$10*(1-'NG Inputs'!$B$4)/2,0)-IF(MOD(A57,2)=0,INDEX($B$11:$D$25,B57,3)*(1-'NG Inputs'!$B$4),0)</f>
        <v/>
      </c>
      <c r="F57" s="52">
        <f>F56+IF(OR($D$6=2,MOD(A57,2)=1),1,0)*(MIN('NG Inputs'!$B$12*F56/$C$6,'NG Inputs'!$B$9)*($B$6-'NG Inputs'!$B$5-'NG Inputs'!$B$6-2*'NG Inputs'!$B$7*SQRT(MIN('NG Inputs'!$B$12*F56/$C$6,'NG Inputs'!$B$9)/'NG Inputs'!$B$8))+MAX(F56-MIN('NG Inputs'!$B$12*F56/$C$6,'NG Inputs'!$B$9)*$C$6,0)*'NG Inputs'!$B$10/$D$6)*(1-'NG Inputs'!$B$4)+IF($D$6=1,(1-IF(OR($D$6=2,MOD(A57,2)=1),1,0))*F56*'NG Inputs'!$B$10*(1-'NG Inputs'!$B$4)/2,0)-IF(MOD(A57,2)=0,INDEX($B$11:$D$25,B57,1)*(1-'NG Inputs'!$B$4),0)</f>
        <v/>
      </c>
      <c r="G57" s="52">
        <f>G56+IF(OR($D$6=2,MOD(A57,2)=1),1,0)*(MIN('NG Inputs'!$B$12*G56/$C$6,'NG Inputs'!$B$9)*($B$6-'NG Inputs'!$B$5-'NG Inputs'!$B$6-2*'NG Inputs'!$B$7*SQRT(MIN('NG Inputs'!$B$12*G56/$C$6,'NG Inputs'!$B$9)/'NG Inputs'!$B$8))+MAX(G56-MIN('NG Inputs'!$B$12*G56/$C$6,'NG Inputs'!$B$9)*$C$6,0)*'NG Inputs'!$B$10/$D$6)*(1-'NG Inputs'!$B$4)+IF($D$6=1,(1-IF(OR($D$6=2,MOD(A57,2)=1),1,0))*G56*'NG Inputs'!$B$10*(1-'NG Inputs'!$B$4)/2,0)-IF(MOD(A57,2)=0,INDEX($B$11:$D$25,B57,2)*(1-'NG Inputs'!$B$4),0)</f>
        <v/>
      </c>
      <c r="H57" s="52">
        <f>H56+IF(OR($D$6=2,MOD(A57,2)=1),1,0)*(MIN('NG Inputs'!$B$12*H56/$C$6,'NG Inputs'!$B$9)*($B$6-'NG Inputs'!$B$5-'NG Inputs'!$B$6-2*'NG Inputs'!$B$7*SQRT(MIN('NG Inputs'!$B$12*H56/$C$6,'NG Inputs'!$B$9)/'NG Inputs'!$B$8))+MAX(H56-MIN('NG Inputs'!$B$12*H56/$C$6,'NG Inputs'!$B$9)*$C$6,0)*'NG Inputs'!$B$10/$D$6)*(1-'NG Inputs'!$B$4)+IF($D$6=1,(1-IF(OR($D$6=2,MOD(A57,2)=1),1,0))*H56*'NG Inputs'!$B$10*(1-'NG Inputs'!$B$4)/2,0)-IF(MOD(A57,2)=0,INDEX($B$11:$D$25,B57,3)*(1-'NG Inputs'!$B$4),0)</f>
        <v/>
      </c>
      <c r="I57" s="49">
        <f>I56+IF(OR($D$7=2,MOD(A57,2)=1),1,0)*(MIN('NG Inputs'!$B$12*I56/$C$7,'NG Inputs'!$B$9)*($B$7-'NG Inputs'!$B$5-'NG Inputs'!$B$6-2*'NG Inputs'!$B$7*SQRT(MIN('NG Inputs'!$B$12*I56/$C$7,'NG Inputs'!$B$9)/'NG Inputs'!$B$8))+MAX(I56-MIN('NG Inputs'!$B$12*I56/$C$7,'NG Inputs'!$B$9)*$C$7,0)*'NG Inputs'!$B$10/$D$7)*(1-'NG Inputs'!$B$4)+IF($D$7=1,(1-IF(OR($D$7=2,MOD(A57,2)=1),1,0))*I56*'NG Inputs'!$B$10*(1-'NG Inputs'!$B$4)/2,0)-IF(MOD(A57,2)=0,INDEX($B$11:$D$25,B57,1)*(1-'NG Inputs'!$B$4),0)</f>
        <v/>
      </c>
      <c r="J57" s="52">
        <f>J56+IF(OR($D$7=2,MOD(A57,2)=1),1,0)*(MIN('NG Inputs'!$B$12*J56/$C$7,'NG Inputs'!$B$9)*($B$7-'NG Inputs'!$B$5-'NG Inputs'!$B$6-2*'NG Inputs'!$B$7*SQRT(MIN('NG Inputs'!$B$12*J56/$C$7,'NG Inputs'!$B$9)/'NG Inputs'!$B$8))+MAX(J56-MIN('NG Inputs'!$B$12*J56/$C$7,'NG Inputs'!$B$9)*$C$7,0)*'NG Inputs'!$B$10/$D$7)*(1-'NG Inputs'!$B$4)+IF($D$7=1,(1-IF(OR($D$7=2,MOD(A57,2)=1),1,0))*J56*'NG Inputs'!$B$10*(1-'NG Inputs'!$B$4)/2,0)-IF(MOD(A57,2)=0,INDEX($B$11:$D$25,B57,2)*(1-'NG Inputs'!$B$4),0)</f>
        <v/>
      </c>
      <c r="K57" s="52">
        <f>K56+IF(OR($D$7=2,MOD(A57,2)=1),1,0)*(MIN('NG Inputs'!$B$12*K56/$C$7,'NG Inputs'!$B$9)*($B$7-'NG Inputs'!$B$5-'NG Inputs'!$B$6-2*'NG Inputs'!$B$7*SQRT(MIN('NG Inputs'!$B$12*K56/$C$7,'NG Inputs'!$B$9)/'NG Inputs'!$B$8))+MAX(K56-MIN('NG Inputs'!$B$12*K56/$C$7,'NG Inputs'!$B$9)*$C$7,0)*'NG Inputs'!$B$10/$D$7)*(1-'NG Inputs'!$B$4)+IF($D$7=1,(1-IF(OR($D$7=2,MOD(A57,2)=1),1,0))*K56*'NG Inputs'!$B$10*(1-'NG Inputs'!$B$4)/2,0)-IF(MOD(A57,2)=0,INDEX($B$11:$D$25,B57,3)*(1-'NG Inputs'!$B$4),0)</f>
        <v/>
      </c>
    </row>
    <row r="58" ht="13.5" customHeight="1">
      <c r="A58" s="13" t="n">
        <v>30</v>
      </c>
      <c r="B58" s="50">
        <f>ROUNDUP(A58/2,0)</f>
        <v/>
      </c>
      <c r="C58" s="53">
        <f>C57+IF(OR($D$5=2,MOD(A58,2)=1),1,0)*(MIN('NG Inputs'!$B$12*C57/$C$5,'NG Inputs'!$B$9)*($B$5-'NG Inputs'!$B$5-'NG Inputs'!$B$6-2*'NG Inputs'!$B$7*SQRT(MIN('NG Inputs'!$B$12*C57/$C$5,'NG Inputs'!$B$9)/'NG Inputs'!$B$8))+MAX(C57-MIN('NG Inputs'!$B$12*C57/$C$5,'NG Inputs'!$B$9)*$C$5,0)*'NG Inputs'!$B$10/$D$5)*(1-'NG Inputs'!$B$4)+IF($D$5=1,(1-IF(OR($D$5=2,MOD(A58,2)=1),1,0))*C57*'NG Inputs'!$B$10*(1-'NG Inputs'!$B$4)/2,0)-IF(MOD(A58,2)=0,INDEX($B$11:$D$25,B58,1)*(1-'NG Inputs'!$B$4),0)</f>
        <v/>
      </c>
      <c r="D58" s="53">
        <f>D57+IF(OR($D$5=2,MOD(A58,2)=1),1,0)*(MIN('NG Inputs'!$B$12*D57/$C$5,'NG Inputs'!$B$9)*($B$5-'NG Inputs'!$B$5-'NG Inputs'!$B$6-2*'NG Inputs'!$B$7*SQRT(MIN('NG Inputs'!$B$12*D57/$C$5,'NG Inputs'!$B$9)/'NG Inputs'!$B$8))+MAX(D57-MIN('NG Inputs'!$B$12*D57/$C$5,'NG Inputs'!$B$9)*$C$5,0)*'NG Inputs'!$B$10/$D$5)*(1-'NG Inputs'!$B$4)+IF($D$5=1,(1-IF(OR($D$5=2,MOD(A58,2)=1),1,0))*D57*'NG Inputs'!$B$10*(1-'NG Inputs'!$B$4)/2,0)-IF(MOD(A58,2)=0,INDEX($B$11:$D$25,B58,2)*(1-'NG Inputs'!$B$4),0)</f>
        <v/>
      </c>
      <c r="E58" s="53">
        <f>E57+IF(OR($D$5=2,MOD(A58,2)=1),1,0)*(MIN('NG Inputs'!$B$12*E57/$C$5,'NG Inputs'!$B$9)*($B$5-'NG Inputs'!$B$5-'NG Inputs'!$B$6-2*'NG Inputs'!$B$7*SQRT(MIN('NG Inputs'!$B$12*E57/$C$5,'NG Inputs'!$B$9)/'NG Inputs'!$B$8))+MAX(E57-MIN('NG Inputs'!$B$12*E57/$C$5,'NG Inputs'!$B$9)*$C$5,0)*'NG Inputs'!$B$10/$D$5)*(1-'NG Inputs'!$B$4)+IF($D$5=1,(1-IF(OR($D$5=2,MOD(A58,2)=1),1,0))*E57*'NG Inputs'!$B$10*(1-'NG Inputs'!$B$4)/2,0)-IF(MOD(A58,2)=0,INDEX($B$11:$D$25,B58,3)*(1-'NG Inputs'!$B$4),0)</f>
        <v/>
      </c>
      <c r="F58" s="53">
        <f>F57+IF(OR($D$6=2,MOD(A58,2)=1),1,0)*(MIN('NG Inputs'!$B$12*F57/$C$6,'NG Inputs'!$B$9)*($B$6-'NG Inputs'!$B$5-'NG Inputs'!$B$6-2*'NG Inputs'!$B$7*SQRT(MIN('NG Inputs'!$B$12*F57/$C$6,'NG Inputs'!$B$9)/'NG Inputs'!$B$8))+MAX(F57-MIN('NG Inputs'!$B$12*F57/$C$6,'NG Inputs'!$B$9)*$C$6,0)*'NG Inputs'!$B$10/$D$6)*(1-'NG Inputs'!$B$4)+IF($D$6=1,(1-IF(OR($D$6=2,MOD(A58,2)=1),1,0))*F57*'NG Inputs'!$B$10*(1-'NG Inputs'!$B$4)/2,0)-IF(MOD(A58,2)=0,INDEX($B$11:$D$25,B58,1)*(1-'NG Inputs'!$B$4),0)</f>
        <v/>
      </c>
      <c r="G58" s="53">
        <f>G57+IF(OR($D$6=2,MOD(A58,2)=1),1,0)*(MIN('NG Inputs'!$B$12*G57/$C$6,'NG Inputs'!$B$9)*($B$6-'NG Inputs'!$B$5-'NG Inputs'!$B$6-2*'NG Inputs'!$B$7*SQRT(MIN('NG Inputs'!$B$12*G57/$C$6,'NG Inputs'!$B$9)/'NG Inputs'!$B$8))+MAX(G57-MIN('NG Inputs'!$B$12*G57/$C$6,'NG Inputs'!$B$9)*$C$6,0)*'NG Inputs'!$B$10/$D$6)*(1-'NG Inputs'!$B$4)+IF($D$6=1,(1-IF(OR($D$6=2,MOD(A58,2)=1),1,0))*G57*'NG Inputs'!$B$10*(1-'NG Inputs'!$B$4)/2,0)-IF(MOD(A58,2)=0,INDEX($B$11:$D$25,B58,2)*(1-'NG Inputs'!$B$4),0)</f>
        <v/>
      </c>
      <c r="H58" s="53">
        <f>H57+IF(OR($D$6=2,MOD(A58,2)=1),1,0)*(MIN('NG Inputs'!$B$12*H57/$C$6,'NG Inputs'!$B$9)*($B$6-'NG Inputs'!$B$5-'NG Inputs'!$B$6-2*'NG Inputs'!$B$7*SQRT(MIN('NG Inputs'!$B$12*H57/$C$6,'NG Inputs'!$B$9)/'NG Inputs'!$B$8))+MAX(H57-MIN('NG Inputs'!$B$12*H57/$C$6,'NG Inputs'!$B$9)*$C$6,0)*'NG Inputs'!$B$10/$D$6)*(1-'NG Inputs'!$B$4)+IF($D$6=1,(1-IF(OR($D$6=2,MOD(A58,2)=1),1,0))*H57*'NG Inputs'!$B$10*(1-'NG Inputs'!$B$4)/2,0)-IF(MOD(A58,2)=0,INDEX($B$11:$D$25,B58,3)*(1-'NG Inputs'!$B$4),0)</f>
        <v/>
      </c>
      <c r="I58" s="51">
        <f>I57+IF(OR($D$7=2,MOD(A58,2)=1),1,0)*(MIN('NG Inputs'!$B$12*I57/$C$7,'NG Inputs'!$B$9)*($B$7-'NG Inputs'!$B$5-'NG Inputs'!$B$6-2*'NG Inputs'!$B$7*SQRT(MIN('NG Inputs'!$B$12*I57/$C$7,'NG Inputs'!$B$9)/'NG Inputs'!$B$8))+MAX(I57-MIN('NG Inputs'!$B$12*I57/$C$7,'NG Inputs'!$B$9)*$C$7,0)*'NG Inputs'!$B$10/$D$7)*(1-'NG Inputs'!$B$4)+IF($D$7=1,(1-IF(OR($D$7=2,MOD(A58,2)=1),1,0))*I57*'NG Inputs'!$B$10*(1-'NG Inputs'!$B$4)/2,0)-IF(MOD(A58,2)=0,INDEX($B$11:$D$25,B58,1)*(1-'NG Inputs'!$B$4),0)</f>
        <v/>
      </c>
      <c r="J58" s="53">
        <f>J57+IF(OR($D$7=2,MOD(A58,2)=1),1,0)*(MIN('NG Inputs'!$B$12*J57/$C$7,'NG Inputs'!$B$9)*($B$7-'NG Inputs'!$B$5-'NG Inputs'!$B$6-2*'NG Inputs'!$B$7*SQRT(MIN('NG Inputs'!$B$12*J57/$C$7,'NG Inputs'!$B$9)/'NG Inputs'!$B$8))+MAX(J57-MIN('NG Inputs'!$B$12*J57/$C$7,'NG Inputs'!$B$9)*$C$7,0)*'NG Inputs'!$B$10/$D$7)*(1-'NG Inputs'!$B$4)+IF($D$7=1,(1-IF(OR($D$7=2,MOD(A58,2)=1),1,0))*J57*'NG Inputs'!$B$10*(1-'NG Inputs'!$B$4)/2,0)-IF(MOD(A58,2)=0,INDEX($B$11:$D$25,B58,2)*(1-'NG Inputs'!$B$4),0)</f>
        <v/>
      </c>
      <c r="K58" s="53">
        <f>K57+IF(OR($D$7=2,MOD(A58,2)=1),1,0)*(MIN('NG Inputs'!$B$12*K57/$C$7,'NG Inputs'!$B$9)*($B$7-'NG Inputs'!$B$5-'NG Inputs'!$B$6-2*'NG Inputs'!$B$7*SQRT(MIN('NG Inputs'!$B$12*K57/$C$7,'NG Inputs'!$B$9)/'NG Inputs'!$B$8))+MAX(K57-MIN('NG Inputs'!$B$12*K57/$C$7,'NG Inputs'!$B$9)*$C$7,0)*'NG Inputs'!$B$10/$D$7)*(1-'NG Inputs'!$B$4)+IF($D$7=1,(1-IF(OR($D$7=2,MOD(A58,2)=1),1,0))*K57*'NG Inputs'!$B$10*(1-'NG Inputs'!$B$4)/2,0)-IF(MOD(A58,2)=0,INDEX($B$11:$D$25,B58,3)*(1-'NG Inputs'!$B$4),0)</f>
        <v/>
      </c>
    </row>
    <row r="59"/>
    <row r="60" ht="19.5" customHeight="1">
      <c r="A60" s="144" t="inlineStr">
        <is>
          <t>YEAR-END SUMMARY (₹ Cr)</t>
        </is>
      </c>
    </row>
    <row r="61" ht="25.5" customHeight="1">
      <c r="A61" s="2" t="inlineStr">
        <is>
          <t>Year</t>
        </is>
      </c>
      <c r="B61" s="2">
        <f>"BULL "&amp;IF($C$3&gt;=10000000,"₹"&amp;TEXT($C$3/10000000,"0.##")&amp;"Cr","₹"&amp;TEXT($C$3/100000,"0.##")&amp;"L")</f>
        <v/>
      </c>
      <c r="C61" s="2">
        <f>"BULL "&amp;IF($D$3&gt;=10000000,"₹"&amp;TEXT($D$3/10000000,"0.##")&amp;"Cr","₹"&amp;TEXT($D$3/100000,"0.##")&amp;"L")</f>
        <v/>
      </c>
      <c r="D61" s="2">
        <f>"BULL "&amp;IF($E$3&gt;=10000000,"₹"&amp;TEXT($E$3/10000000,"0.##")&amp;"Cr","₹"&amp;TEXT($E$3/100000,"0.##")&amp;"L")</f>
        <v/>
      </c>
      <c r="E61" s="2">
        <f>"BASE "&amp;IF($C$3&gt;=10000000,"₹"&amp;TEXT($C$3/10000000,"0.##")&amp;"Cr","₹"&amp;TEXT($C$3/100000,"0.##")&amp;"L")</f>
        <v/>
      </c>
      <c r="F61" s="2">
        <f>"BASE "&amp;IF($D$3&gt;=10000000,"₹"&amp;TEXT($D$3/10000000,"0.##")&amp;"Cr","₹"&amp;TEXT($D$3/100000,"0.##")&amp;"L")</f>
        <v/>
      </c>
      <c r="G61" s="2">
        <f>"BASE "&amp;IF($E$3&gt;=10000000,"₹"&amp;TEXT($E$3/10000000,"0.##")&amp;"Cr","₹"&amp;TEXT($E$3/100000,"0.##")&amp;"L")</f>
        <v/>
      </c>
      <c r="H61" s="2">
        <f>"BEAR "&amp;IF($C$3&gt;=10000000,"₹"&amp;TEXT($C$3/10000000,"0.##")&amp;"Cr","₹"&amp;TEXT($C$3/100000,"0.##")&amp;"L")</f>
        <v/>
      </c>
      <c r="I61" s="2">
        <f>"BEAR "&amp;IF($D$3&gt;=10000000,"₹"&amp;TEXT($D$3/10000000,"0.##")&amp;"Cr","₹"&amp;TEXT($D$3/100000,"0.##")&amp;"L")</f>
        <v/>
      </c>
      <c r="J61" s="2">
        <f>"BEAR "&amp;IF($E$3&gt;=10000000,"₹"&amp;TEXT($E$3/10000000,"0.##")&amp;"Cr","₹"&amp;TEXT($E$3/100000,"0.##")&amp;"L")</f>
        <v/>
      </c>
    </row>
    <row r="62" ht="13.5" customHeight="1">
      <c r="A62" s="10" t="n">
        <v>1</v>
      </c>
      <c r="B62" s="54">
        <f>C30/10000000</f>
        <v/>
      </c>
      <c r="C62" s="54">
        <f>D30/10000000</f>
        <v/>
      </c>
      <c r="D62" s="54">
        <f>E30/10000000</f>
        <v/>
      </c>
      <c r="E62" s="54">
        <f>F30/10000000</f>
        <v/>
      </c>
      <c r="F62" s="54">
        <f>G30/10000000</f>
        <v/>
      </c>
      <c r="G62" s="54">
        <f>H30/10000000</f>
        <v/>
      </c>
      <c r="H62" s="54">
        <f>I30/10000000</f>
        <v/>
      </c>
      <c r="I62" s="54">
        <f>J30/10000000</f>
        <v/>
      </c>
      <c r="J62" s="54">
        <f>K30/10000000</f>
        <v/>
      </c>
      <c r="K62" s="55" t="n"/>
    </row>
    <row r="63" ht="13.5" customHeight="1">
      <c r="A63" s="13" t="n">
        <v>2</v>
      </c>
      <c r="B63" s="56">
        <f>C32/10000000</f>
        <v/>
      </c>
      <c r="C63" s="56">
        <f>D32/10000000</f>
        <v/>
      </c>
      <c r="D63" s="56">
        <f>E32/10000000</f>
        <v/>
      </c>
      <c r="E63" s="56">
        <f>F32/10000000</f>
        <v/>
      </c>
      <c r="F63" s="56">
        <f>G32/10000000</f>
        <v/>
      </c>
      <c r="G63" s="56">
        <f>H32/10000000</f>
        <v/>
      </c>
      <c r="H63" s="56">
        <f>I32/10000000</f>
        <v/>
      </c>
      <c r="I63" s="56">
        <f>J32/10000000</f>
        <v/>
      </c>
      <c r="J63" s="56">
        <f>K32/10000000</f>
        <v/>
      </c>
      <c r="K63" s="57" t="n"/>
    </row>
    <row r="64" ht="13.5" customHeight="1">
      <c r="A64" s="10" t="n">
        <v>3</v>
      </c>
      <c r="B64" s="54">
        <f>C34/10000000</f>
        <v/>
      </c>
      <c r="C64" s="54">
        <f>D34/10000000</f>
        <v/>
      </c>
      <c r="D64" s="54">
        <f>E34/10000000</f>
        <v/>
      </c>
      <c r="E64" s="54">
        <f>F34/10000000</f>
        <v/>
      </c>
      <c r="F64" s="54">
        <f>G34/10000000</f>
        <v/>
      </c>
      <c r="G64" s="54">
        <f>H34/10000000</f>
        <v/>
      </c>
      <c r="H64" s="54">
        <f>I34/10000000</f>
        <v/>
      </c>
      <c r="I64" s="54">
        <f>J34/10000000</f>
        <v/>
      </c>
      <c r="J64" s="54">
        <f>K34/10000000</f>
        <v/>
      </c>
      <c r="K64" s="55" t="n"/>
    </row>
    <row r="65" ht="13.5" customHeight="1">
      <c r="A65" s="13" t="n">
        <v>4</v>
      </c>
      <c r="B65" s="56">
        <f>C36/10000000</f>
        <v/>
      </c>
      <c r="C65" s="56">
        <f>D36/10000000</f>
        <v/>
      </c>
      <c r="D65" s="56">
        <f>E36/10000000</f>
        <v/>
      </c>
      <c r="E65" s="56">
        <f>F36/10000000</f>
        <v/>
      </c>
      <c r="F65" s="56">
        <f>G36/10000000</f>
        <v/>
      </c>
      <c r="G65" s="56">
        <f>H36/10000000</f>
        <v/>
      </c>
      <c r="H65" s="56">
        <f>I36/10000000</f>
        <v/>
      </c>
      <c r="I65" s="56">
        <f>J36/10000000</f>
        <v/>
      </c>
      <c r="J65" s="56">
        <f>K36/10000000</f>
        <v/>
      </c>
      <c r="K65" s="57" t="n"/>
    </row>
    <row r="66" ht="13.5" customHeight="1">
      <c r="A66" s="10" t="n">
        <v>5</v>
      </c>
      <c r="B66" s="54">
        <f>C38/10000000</f>
        <v/>
      </c>
      <c r="C66" s="54">
        <f>D38/10000000</f>
        <v/>
      </c>
      <c r="D66" s="54">
        <f>E38/10000000</f>
        <v/>
      </c>
      <c r="E66" s="54">
        <f>F38/10000000</f>
        <v/>
      </c>
      <c r="F66" s="54">
        <f>G38/10000000</f>
        <v/>
      </c>
      <c r="G66" s="54">
        <f>H38/10000000</f>
        <v/>
      </c>
      <c r="H66" s="54">
        <f>I38/10000000</f>
        <v/>
      </c>
      <c r="I66" s="54">
        <f>J38/10000000</f>
        <v/>
      </c>
      <c r="J66" s="54">
        <f>K38/10000000</f>
        <v/>
      </c>
      <c r="K66" s="55" t="n"/>
    </row>
    <row r="67" ht="13.5" customHeight="1">
      <c r="A67" s="13" t="n">
        <v>6</v>
      </c>
      <c r="B67" s="56">
        <f>C40/10000000</f>
        <v/>
      </c>
      <c r="C67" s="56">
        <f>D40/10000000</f>
        <v/>
      </c>
      <c r="D67" s="56">
        <f>E40/10000000</f>
        <v/>
      </c>
      <c r="E67" s="56">
        <f>F40/10000000</f>
        <v/>
      </c>
      <c r="F67" s="56">
        <f>G40/10000000</f>
        <v/>
      </c>
      <c r="G67" s="56">
        <f>H40/10000000</f>
        <v/>
      </c>
      <c r="H67" s="56">
        <f>I40/10000000</f>
        <v/>
      </c>
      <c r="I67" s="56">
        <f>J40/10000000</f>
        <v/>
      </c>
      <c r="J67" s="56">
        <f>K40/10000000</f>
        <v/>
      </c>
      <c r="K67" s="57" t="n"/>
    </row>
    <row r="68" ht="13.5" customHeight="1">
      <c r="A68" s="10" t="n">
        <v>7</v>
      </c>
      <c r="B68" s="54">
        <f>C42/10000000</f>
        <v/>
      </c>
      <c r="C68" s="54">
        <f>D42/10000000</f>
        <v/>
      </c>
      <c r="D68" s="54">
        <f>E42/10000000</f>
        <v/>
      </c>
      <c r="E68" s="54">
        <f>F42/10000000</f>
        <v/>
      </c>
      <c r="F68" s="54">
        <f>G42/10000000</f>
        <v/>
      </c>
      <c r="G68" s="54">
        <f>H42/10000000</f>
        <v/>
      </c>
      <c r="H68" s="54">
        <f>I42/10000000</f>
        <v/>
      </c>
      <c r="I68" s="54">
        <f>J42/10000000</f>
        <v/>
      </c>
      <c r="J68" s="54">
        <f>K42/10000000</f>
        <v/>
      </c>
      <c r="K68" s="55" t="n"/>
    </row>
    <row r="69" ht="13.5" customHeight="1">
      <c r="A69" s="13" t="n">
        <v>8</v>
      </c>
      <c r="B69" s="56">
        <f>C44/10000000</f>
        <v/>
      </c>
      <c r="C69" s="56">
        <f>D44/10000000</f>
        <v/>
      </c>
      <c r="D69" s="56">
        <f>E44/10000000</f>
        <v/>
      </c>
      <c r="E69" s="56">
        <f>F44/10000000</f>
        <v/>
      </c>
      <c r="F69" s="56">
        <f>G44/10000000</f>
        <v/>
      </c>
      <c r="G69" s="56">
        <f>H44/10000000</f>
        <v/>
      </c>
      <c r="H69" s="56">
        <f>I44/10000000</f>
        <v/>
      </c>
      <c r="I69" s="56">
        <f>J44/10000000</f>
        <v/>
      </c>
      <c r="J69" s="56">
        <f>K44/10000000</f>
        <v/>
      </c>
      <c r="K69" s="57" t="n"/>
    </row>
    <row r="70" ht="13.5" customHeight="1">
      <c r="A70" s="10" t="n">
        <v>9</v>
      </c>
      <c r="B70" s="54">
        <f>C46/10000000</f>
        <v/>
      </c>
      <c r="C70" s="54">
        <f>D46/10000000</f>
        <v/>
      </c>
      <c r="D70" s="54">
        <f>E46/10000000</f>
        <v/>
      </c>
      <c r="E70" s="54">
        <f>F46/10000000</f>
        <v/>
      </c>
      <c r="F70" s="54">
        <f>G46/10000000</f>
        <v/>
      </c>
      <c r="G70" s="54">
        <f>H46/10000000</f>
        <v/>
      </c>
      <c r="H70" s="54">
        <f>I46/10000000</f>
        <v/>
      </c>
      <c r="I70" s="54">
        <f>J46/10000000</f>
        <v/>
      </c>
      <c r="J70" s="54">
        <f>K46/10000000</f>
        <v/>
      </c>
      <c r="K70" s="55" t="n"/>
    </row>
    <row r="71" ht="13.5" customHeight="1">
      <c r="A71" s="13" t="n">
        <v>10</v>
      </c>
      <c r="B71" s="56">
        <f>C48/10000000</f>
        <v/>
      </c>
      <c r="C71" s="56">
        <f>D48/10000000</f>
        <v/>
      </c>
      <c r="D71" s="56">
        <f>E48/10000000</f>
        <v/>
      </c>
      <c r="E71" s="56">
        <f>F48/10000000</f>
        <v/>
      </c>
      <c r="F71" s="56">
        <f>G48/10000000</f>
        <v/>
      </c>
      <c r="G71" s="56">
        <f>H48/10000000</f>
        <v/>
      </c>
      <c r="H71" s="56">
        <f>I48/10000000</f>
        <v/>
      </c>
      <c r="I71" s="56">
        <f>J48/10000000</f>
        <v/>
      </c>
      <c r="J71" s="56">
        <f>K48/10000000</f>
        <v/>
      </c>
      <c r="K71" s="57" t="n"/>
    </row>
    <row r="72" ht="13.5" customHeight="1">
      <c r="A72" s="10" t="n">
        <v>11</v>
      </c>
      <c r="B72" s="54">
        <f>C50/10000000</f>
        <v/>
      </c>
      <c r="C72" s="54">
        <f>D50/10000000</f>
        <v/>
      </c>
      <c r="D72" s="54">
        <f>E50/10000000</f>
        <v/>
      </c>
      <c r="E72" s="54">
        <f>F50/10000000</f>
        <v/>
      </c>
      <c r="F72" s="54">
        <f>G50/10000000</f>
        <v/>
      </c>
      <c r="G72" s="54">
        <f>H50/10000000</f>
        <v/>
      </c>
      <c r="H72" s="54">
        <f>I50/10000000</f>
        <v/>
      </c>
      <c r="I72" s="54">
        <f>J50/10000000</f>
        <v/>
      </c>
      <c r="J72" s="54">
        <f>K50/10000000</f>
        <v/>
      </c>
      <c r="K72" s="55" t="n"/>
    </row>
    <row r="73" ht="13.5" customHeight="1">
      <c r="A73" s="13" t="n">
        <v>12</v>
      </c>
      <c r="B73" s="56">
        <f>C52/10000000</f>
        <v/>
      </c>
      <c r="C73" s="56">
        <f>D52/10000000</f>
        <v/>
      </c>
      <c r="D73" s="56">
        <f>E52/10000000</f>
        <v/>
      </c>
      <c r="E73" s="56">
        <f>F52/10000000</f>
        <v/>
      </c>
      <c r="F73" s="56">
        <f>G52/10000000</f>
        <v/>
      </c>
      <c r="G73" s="56">
        <f>H52/10000000</f>
        <v/>
      </c>
      <c r="H73" s="56">
        <f>I52/10000000</f>
        <v/>
      </c>
      <c r="I73" s="56">
        <f>J52/10000000</f>
        <v/>
      </c>
      <c r="J73" s="56">
        <f>K52/10000000</f>
        <v/>
      </c>
      <c r="K73" s="57" t="n"/>
    </row>
    <row r="74" ht="13.5" customHeight="1">
      <c r="A74" s="10" t="n">
        <v>13</v>
      </c>
      <c r="B74" s="54">
        <f>C54/10000000</f>
        <v/>
      </c>
      <c r="C74" s="54">
        <f>D54/10000000</f>
        <v/>
      </c>
      <c r="D74" s="54">
        <f>E54/10000000</f>
        <v/>
      </c>
      <c r="E74" s="54">
        <f>F54/10000000</f>
        <v/>
      </c>
      <c r="F74" s="54">
        <f>G54/10000000</f>
        <v/>
      </c>
      <c r="G74" s="54">
        <f>H54/10000000</f>
        <v/>
      </c>
      <c r="H74" s="54">
        <f>I54/10000000</f>
        <v/>
      </c>
      <c r="I74" s="54">
        <f>J54/10000000</f>
        <v/>
      </c>
      <c r="J74" s="54">
        <f>K54/10000000</f>
        <v/>
      </c>
      <c r="K74" s="55" t="n"/>
    </row>
    <row r="75" ht="13.5" customHeight="1">
      <c r="A75" s="13" t="n">
        <v>14</v>
      </c>
      <c r="B75" s="56">
        <f>C56/10000000</f>
        <v/>
      </c>
      <c r="C75" s="56">
        <f>D56/10000000</f>
        <v/>
      </c>
      <c r="D75" s="56">
        <f>E56/10000000</f>
        <v/>
      </c>
      <c r="E75" s="56">
        <f>F56/10000000</f>
        <v/>
      </c>
      <c r="F75" s="56">
        <f>G56/10000000</f>
        <v/>
      </c>
      <c r="G75" s="56">
        <f>H56/10000000</f>
        <v/>
      </c>
      <c r="H75" s="56">
        <f>I56/10000000</f>
        <v/>
      </c>
      <c r="I75" s="56">
        <f>J56/10000000</f>
        <v/>
      </c>
      <c r="J75" s="56">
        <f>K56/10000000</f>
        <v/>
      </c>
      <c r="K75" s="57" t="n"/>
    </row>
    <row r="76" ht="13.5" customHeight="1">
      <c r="A76" s="10" t="n">
        <v>15</v>
      </c>
      <c r="B76" s="54">
        <f>C58/10000000</f>
        <v/>
      </c>
      <c r="C76" s="54">
        <f>D58/10000000</f>
        <v/>
      </c>
      <c r="D76" s="54">
        <f>E58/10000000</f>
        <v/>
      </c>
      <c r="E76" s="54">
        <f>F58/10000000</f>
        <v/>
      </c>
      <c r="F76" s="54">
        <f>G58/10000000</f>
        <v/>
      </c>
      <c r="G76" s="54">
        <f>H58/10000000</f>
        <v/>
      </c>
      <c r="H76" s="54">
        <f>I58/10000000</f>
        <v/>
      </c>
      <c r="I76" s="54">
        <f>J58/10000000</f>
        <v/>
      </c>
      <c r="J76" s="54">
        <f>K58/10000000</f>
        <v/>
      </c>
      <c r="K76" s="55" t="n"/>
    </row>
    <row r="77"/>
    <row r="78" ht="19.5" customHeight="1">
      <c r="A78" s="205" t="inlineStr">
        <is>
          <t>GIFT gateway crossed (capital ≥ ₹20 Cr) in year:</t>
        </is>
      </c>
      <c r="B78" s="206">
        <f>IFERROR(INDEX($A$62:$A$76,MATCH(TRUE,INDEX(B62:B76&gt;='NG Inputs'!$B$11/10000000,0),0)),"not reached")</f>
        <v/>
      </c>
      <c r="C78" s="206">
        <f>IFERROR(INDEX($A$62:$A$76,MATCH(TRUE,INDEX(C62:C76&gt;='NG Inputs'!$B$11/10000000,0),0)),"not reached")</f>
        <v/>
      </c>
      <c r="D78" s="206">
        <f>IFERROR(INDEX($A$62:$A$76,MATCH(TRUE,INDEX(D62:D76&gt;='NG Inputs'!$B$11/10000000,0),0)),"not reached")</f>
        <v/>
      </c>
      <c r="E78" s="206">
        <f>IFERROR(INDEX($A$62:$A$76,MATCH(TRUE,INDEX(E62:E76&gt;='NG Inputs'!$B$11/10000000,0),0)),"not reached")</f>
        <v/>
      </c>
      <c r="F78" s="206">
        <f>IFERROR(INDEX($A$62:$A$76,MATCH(TRUE,INDEX(F62:F76&gt;='NG Inputs'!$B$11/10000000,0),0)),"not reached")</f>
        <v/>
      </c>
      <c r="G78" s="206">
        <f>IFERROR(INDEX($A$62:$A$76,MATCH(TRUE,INDEX(G62:G76&gt;='NG Inputs'!$B$11/10000000,0),0)),"not reached")</f>
        <v/>
      </c>
      <c r="H78" s="206">
        <f>IFERROR(INDEX($A$62:$A$76,MATCH(TRUE,INDEX(H62:H76&gt;='NG Inputs'!$B$11/10000000,0),0)),"not reached")</f>
        <v/>
      </c>
      <c r="I78" s="206">
        <f>IFERROR(INDEX($A$62:$A$76,MATCH(TRUE,INDEX(I62:I76&gt;='NG Inputs'!$B$11/10000000,0),0)),"not reached")</f>
        <v/>
      </c>
      <c r="J78" s="206">
        <f>IFERROR(INDEX($A$62:$A$76,MATCH(TRUE,INDEX(J62:J76&gt;='NG Inputs'!$B$11/10000000,0),0)),"not reached")</f>
        <v/>
      </c>
    </row>
  </sheetData>
  <mergeCells count="5">
    <mergeCell ref="A9:F9"/>
    <mergeCell ref="A2:K2"/>
    <mergeCell ref="A60:K60"/>
    <mergeCell ref="A1:K1"/>
    <mergeCell ref="A27:K27"/>
  </mergeCells>
  <pageMargins left="0.75" right="0.75" top="1" bottom="1" header="0.511811023622047" footer="0.511811023622047"/>
  <pageSetup orientation="landscape" paperSize="9" fitToHeight="0" fitToWidth="1" horizontalDpi="300" verticalDpi="300"/>
</worksheet>
</file>

<file path=xl/worksheets/sheet5.xml><?xml version="1.0" encoding="utf-8"?>
<worksheet xmlns="http://schemas.openxmlformats.org/spreadsheetml/2006/main">
  <sheetPr>
    <tabColor rgb="007F8FA9"/>
    <outlinePr summaryBelow="1" summaryRight="1"/>
    <pageSetUpPr fitToPage="1"/>
  </sheetPr>
  <dimension ref="A1:F32"/>
  <sheetViews>
    <sheetView showGridLines="0" tabSelected="0" zoomScaleNormal="100" workbookViewId="0">
      <selection activeCell="A1" sqref="A1:F1"/>
    </sheetView>
  </sheetViews>
  <sheetFormatPr baseColWidth="8" defaultColWidth="8.6640625" defaultRowHeight="14.4"/>
  <cols>
    <col width="40" customWidth="1" min="1" max="1"/>
    <col width="20" customWidth="1" min="2" max="6"/>
  </cols>
  <sheetData>
    <row r="1" ht="30" customHeight="1">
      <c r="A1" s="142" t="inlineStr">
        <is>
          <t>PHASE-2 BRIDGE  ·  STAY vs SWITCH vs HYBRID</t>
        </is>
      </c>
    </row>
    <row r="2" ht="27.75" customHeight="1">
      <c r="A2" s="145" t="inlineStr">
        <is>
          <t>Cap the MCX sleeve, sweep overflow to GIFT — the hybrid dominates both pure strategies.</t>
        </is>
      </c>
    </row>
    <row r="3"/>
    <row r="4" ht="19.5" customHeight="1">
      <c r="A4" s="144" t="inlineStr">
        <is>
          <t>Inputs</t>
        </is>
      </c>
    </row>
    <row r="5" ht="15" customHeight="1">
      <c r="A5" s="3" t="inlineStr">
        <is>
          <t>MCX sleeve cap (₹)</t>
        </is>
      </c>
      <c r="B5" s="7" t="n">
        <v>1000000000</v>
      </c>
    </row>
    <row r="6" ht="15" customHeight="1">
      <c r="A6" s="3" t="inlineStr">
        <is>
          <t>GIFT gross return / 18-mo cycle</t>
        </is>
      </c>
      <c r="B6" s="61" t="n">
        <v>0.75</v>
      </c>
    </row>
    <row r="7" ht="15" customHeight="1">
      <c r="A7" s="3" t="inlineStr">
        <is>
          <t>GIFT expense per cycle (₹)</t>
        </is>
      </c>
      <c r="B7" s="67" t="n">
        <v>5000000</v>
      </c>
    </row>
    <row r="8" ht="15" customHeight="1">
      <c r="A8" s="3" t="inlineStr">
        <is>
          <t>Tax (115BAA corp)</t>
        </is>
      </c>
      <c r="B8" s="207">
        <f>'NG Inputs'!B4</f>
        <v/>
      </c>
    </row>
    <row r="9" ht="15" customHeight="1">
      <c r="A9" s="3" t="inlineStr">
        <is>
          <t>Move %</t>
        </is>
      </c>
      <c r="B9" s="208">
        <f>'NG Scenarios'!B6</f>
        <v/>
      </c>
    </row>
    <row r="10" ht="15" customHeight="1">
      <c r="A10" s="3" t="inlineStr">
        <is>
          <t>Margin %</t>
        </is>
      </c>
      <c r="B10" s="209">
        <f>'NG Data'!D134</f>
        <v/>
      </c>
    </row>
    <row r="11" ht="15" customHeight="1">
      <c r="A11" s="3" t="inlineStr">
        <is>
          <t>Start capital (₹)</t>
        </is>
      </c>
      <c r="B11" s="67" t="n">
        <v>7500000</v>
      </c>
    </row>
    <row r="12"/>
    <row r="13"/>
    <row r="14" ht="25.5" customHeight="1">
      <c r="A14" s="2" t="inlineStr">
        <is>
          <t>Year</t>
        </is>
      </c>
      <c r="B14" s="2" t="inlineStr">
        <is>
          <t>STAY: MCX only (₹)</t>
        </is>
      </c>
      <c r="C14" s="2" t="inlineStr">
        <is>
          <t>SWITCH: all→GIFT at ₹20Cr (₹)</t>
        </is>
      </c>
      <c r="D14" s="2" t="inlineStr">
        <is>
          <t>HYBRID MCX sleeve (₹)</t>
        </is>
      </c>
      <c r="E14" s="2" t="inlineStr">
        <is>
          <t>HYBRID GIFT sleeve (₹)</t>
        </is>
      </c>
      <c r="F14" s="2" t="inlineStr">
        <is>
          <t>HYBRID total (₹)</t>
        </is>
      </c>
    </row>
    <row r="15" ht="13.5" customHeight="1">
      <c r="A15" s="10" t="n">
        <v>1</v>
      </c>
      <c r="B15" s="49">
        <f>($B$11+(MIN($B$11/$B$10,'NG Inputs'!$B$9)*($B$9-'NG Inputs'!$B$5-'NG Inputs'!$B$6-2*'NG Inputs'!$B$7*SQRT(MIN($B$11/$B$10,'NG Inputs'!$B$9)/'NG Inputs'!$B$8))+MAX($B$11-MIN($B$11/$B$10,'NG Inputs'!$B$9)*$B$10,0)*'NG Inputs'!$B$10/2)*(1-$B$8))+(MIN(($B$11+(MIN($B$11/$B$10,'NG Inputs'!$B$9)*($B$9-'NG Inputs'!$B$5-'NG Inputs'!$B$6-2*'NG Inputs'!$B$7*SQRT(MIN($B$11/$B$10,'NG Inputs'!$B$9)/'NG Inputs'!$B$8))+MAX($B$11-MIN($B$11/$B$10,'NG Inputs'!$B$9)*$B$10,0)*'NG Inputs'!$B$10/2)*(1-$B$8))/$B$10,'NG Inputs'!$B$9)*($B$9-'NG Inputs'!$B$5-'NG Inputs'!$B$6-2*'NG Inputs'!$B$7*SQRT(MIN(($B$11+(MIN($B$11/$B$10,'NG Inputs'!$B$9)*($B$9-'NG Inputs'!$B$5-'NG Inputs'!$B$6-2*'NG Inputs'!$B$7*SQRT(MIN($B$11/$B$10,'NG Inputs'!$B$9)/'NG Inputs'!$B$8))+MAX($B$11-MIN($B$11/$B$10,'NG Inputs'!$B$9)*$B$10,0)*'NG Inputs'!$B$10/2)*(1-$B$8))/$B$10,'NG Inputs'!$B$9)/'NG Inputs'!$B$8))+MAX(($B$11+(MIN($B$11/$B$10,'NG Inputs'!$B$9)*($B$9-'NG Inputs'!$B$5-'NG Inputs'!$B$6-2*'NG Inputs'!$B$7*SQRT(MIN($B$11/$B$10,'NG Inputs'!$B$9)/'NG Inputs'!$B$8))+MAX($B$11-MIN($B$11/$B$10,'NG Inputs'!$B$9)*$B$10,0)*'NG Inputs'!$B$10/2)*(1-$B$8))-MIN(($B$11+(MIN($B$11/$B$10,'NG Inputs'!$B$9)*($B$9-'NG Inputs'!$B$5-'NG Inputs'!$B$6-2*'NG Inputs'!$B$7*SQRT(MIN($B$11/$B$10,'NG Inputs'!$B$9)/'NG Inputs'!$B$8))+MAX($B$11-MIN($B$11/$B$10,'NG Inputs'!$B$9)*$B$10,0)*'NG Inputs'!$B$10/2)*(1-$B$8))/$B$10,'NG Inputs'!$B$9)*$B$10,0)*'NG Inputs'!$B$10/2)*(1-$B$8)-INDEX('NG Scenarios'!$C$11:$C$25,A15)*(1-$B$8)</f>
        <v/>
      </c>
      <c r="C15" s="49">
        <f>IF($B$11&lt;'NG Inputs'!$B$11,($B$11+(MIN($B$11/$B$10,'NG Inputs'!$B$9)*($B$9-'NG Inputs'!$B$5-'NG Inputs'!$B$6-2*'NG Inputs'!$B$7*SQRT(MIN($B$11/$B$10,'NG Inputs'!$B$9)/'NG Inputs'!$B$8))+MAX($B$11-MIN($B$11/$B$10,'NG Inputs'!$B$9)*$B$10,0)*'NG Inputs'!$B$10/2)*(1-$B$8))+(MIN(($B$11+(MIN($B$11/$B$10,'NG Inputs'!$B$9)*($B$9-'NG Inputs'!$B$5-'NG Inputs'!$B$6-2*'NG Inputs'!$B$7*SQRT(MIN($B$11/$B$10,'NG Inputs'!$B$9)/'NG Inputs'!$B$8))+MAX($B$11-MIN($B$11/$B$10,'NG Inputs'!$B$9)*$B$10,0)*'NG Inputs'!$B$10/2)*(1-$B$8))/$B$10,'NG Inputs'!$B$9)*($B$9-'NG Inputs'!$B$5-'NG Inputs'!$B$6-2*'NG Inputs'!$B$7*SQRT(MIN(($B$11+(MIN($B$11/$B$10,'NG Inputs'!$B$9)*($B$9-'NG Inputs'!$B$5-'NG Inputs'!$B$6-2*'NG Inputs'!$B$7*SQRT(MIN($B$11/$B$10,'NG Inputs'!$B$9)/'NG Inputs'!$B$8))+MAX($B$11-MIN($B$11/$B$10,'NG Inputs'!$B$9)*$B$10,0)*'NG Inputs'!$B$10/2)*(1-$B$8))/$B$10,'NG Inputs'!$B$9)/'NG Inputs'!$B$8))+MAX(($B$11+(MIN($B$11/$B$10,'NG Inputs'!$B$9)*($B$9-'NG Inputs'!$B$5-'NG Inputs'!$B$6-2*'NG Inputs'!$B$7*SQRT(MIN($B$11/$B$10,'NG Inputs'!$B$9)/'NG Inputs'!$B$8))+MAX($B$11-MIN($B$11/$B$10,'NG Inputs'!$B$9)*$B$10,0)*'NG Inputs'!$B$10/2)*(1-$B$8))-MIN(($B$11+(MIN($B$11/$B$10,'NG Inputs'!$B$9)*($B$9-'NG Inputs'!$B$5-'NG Inputs'!$B$6-2*'NG Inputs'!$B$7*SQRT(MIN($B$11/$B$10,'NG Inputs'!$B$9)/'NG Inputs'!$B$8))+MAX($B$11-MIN($B$11/$B$10,'NG Inputs'!$B$9)*$B$10,0)*'NG Inputs'!$B$10/2)*(1-$B$8))/$B$10,'NG Inputs'!$B$9)*$B$10,0)*'NG Inputs'!$B$10/2)*(1-$B$8)-INDEX('NG Scenarios'!$C$11:$C$25,A15)*(1-$B$8),$B$11+(($B$6*$B$11-$B$7)*(12/18))*(1-$B$8))</f>
        <v/>
      </c>
      <c r="D15" s="49">
        <f>MIN(($B$11+(MIN($B$11/$B$10,'NG Inputs'!$B$9)*($B$9-'NG Inputs'!$B$5-'NG Inputs'!$B$6-2*'NG Inputs'!$B$7*SQRT(MIN($B$11/$B$10,'NG Inputs'!$B$9)/'NG Inputs'!$B$8))+MAX($B$11-MIN($B$11/$B$10,'NG Inputs'!$B$9)*$B$10,0)*'NG Inputs'!$B$10/2)*(1-$B$8))+(MIN(($B$11+(MIN($B$11/$B$10,'NG Inputs'!$B$9)*($B$9-'NG Inputs'!$B$5-'NG Inputs'!$B$6-2*'NG Inputs'!$B$7*SQRT(MIN($B$11/$B$10,'NG Inputs'!$B$9)/'NG Inputs'!$B$8))+MAX($B$11-MIN($B$11/$B$10,'NG Inputs'!$B$9)*$B$10,0)*'NG Inputs'!$B$10/2)*(1-$B$8))/$B$10,'NG Inputs'!$B$9)*($B$9-'NG Inputs'!$B$5-'NG Inputs'!$B$6-2*'NG Inputs'!$B$7*SQRT(MIN(($B$11+(MIN($B$11/$B$10,'NG Inputs'!$B$9)*($B$9-'NG Inputs'!$B$5-'NG Inputs'!$B$6-2*'NG Inputs'!$B$7*SQRT(MIN($B$11/$B$10,'NG Inputs'!$B$9)/'NG Inputs'!$B$8))+MAX($B$11-MIN($B$11/$B$10,'NG Inputs'!$B$9)*$B$10,0)*'NG Inputs'!$B$10/2)*(1-$B$8))/$B$10,'NG Inputs'!$B$9)/'NG Inputs'!$B$8))+MAX(($B$11+(MIN($B$11/$B$10,'NG Inputs'!$B$9)*($B$9-'NG Inputs'!$B$5-'NG Inputs'!$B$6-2*'NG Inputs'!$B$7*SQRT(MIN($B$11/$B$10,'NG Inputs'!$B$9)/'NG Inputs'!$B$8))+MAX($B$11-MIN($B$11/$B$10,'NG Inputs'!$B$9)*$B$10,0)*'NG Inputs'!$B$10/2)*(1-$B$8))-MIN(($B$11+(MIN($B$11/$B$10,'NG Inputs'!$B$9)*($B$9-'NG Inputs'!$B$5-'NG Inputs'!$B$6-2*'NG Inputs'!$B$7*SQRT(MIN($B$11/$B$10,'NG Inputs'!$B$9)/'NG Inputs'!$B$8))+MAX($B$11-MIN($B$11/$B$10,'NG Inputs'!$B$9)*$B$10,0)*'NG Inputs'!$B$10/2)*(1-$B$8))/$B$10,'NG Inputs'!$B$9)*$B$10,0)*'NG Inputs'!$B$10/2)*(1-$B$8)-INDEX('NG Scenarios'!$C$11:$C$25,A15)*(1-$B$8),$B$5)</f>
        <v/>
      </c>
      <c r="E15" s="49">
        <f>IF(0&gt;0,0+(($B$6*0-$B$7)*(12/18))*(1-$B$8),0)+MAX(($B$11+(MIN($B$11/$B$10,'NG Inputs'!$B$9)*($B$9-'NG Inputs'!$B$5-'NG Inputs'!$B$6-2*'NG Inputs'!$B$7*SQRT(MIN($B$11/$B$10,'NG Inputs'!$B$9)/'NG Inputs'!$B$8))+MAX($B$11-MIN($B$11/$B$10,'NG Inputs'!$B$9)*$B$10,0)*'NG Inputs'!$B$10/2)*(1-$B$8))+(MIN(($B$11+(MIN($B$11/$B$10,'NG Inputs'!$B$9)*($B$9-'NG Inputs'!$B$5-'NG Inputs'!$B$6-2*'NG Inputs'!$B$7*SQRT(MIN($B$11/$B$10,'NG Inputs'!$B$9)/'NG Inputs'!$B$8))+MAX($B$11-MIN($B$11/$B$10,'NG Inputs'!$B$9)*$B$10,0)*'NG Inputs'!$B$10/2)*(1-$B$8))/$B$10,'NG Inputs'!$B$9)*($B$9-'NG Inputs'!$B$5-'NG Inputs'!$B$6-2*'NG Inputs'!$B$7*SQRT(MIN(($B$11+(MIN($B$11/$B$10,'NG Inputs'!$B$9)*($B$9-'NG Inputs'!$B$5-'NG Inputs'!$B$6-2*'NG Inputs'!$B$7*SQRT(MIN($B$11/$B$10,'NG Inputs'!$B$9)/'NG Inputs'!$B$8))+MAX($B$11-MIN($B$11/$B$10,'NG Inputs'!$B$9)*$B$10,0)*'NG Inputs'!$B$10/2)*(1-$B$8))/$B$10,'NG Inputs'!$B$9)/'NG Inputs'!$B$8))+MAX(($B$11+(MIN($B$11/$B$10,'NG Inputs'!$B$9)*($B$9-'NG Inputs'!$B$5-'NG Inputs'!$B$6-2*'NG Inputs'!$B$7*SQRT(MIN($B$11/$B$10,'NG Inputs'!$B$9)/'NG Inputs'!$B$8))+MAX($B$11-MIN($B$11/$B$10,'NG Inputs'!$B$9)*$B$10,0)*'NG Inputs'!$B$10/2)*(1-$B$8))-MIN(($B$11+(MIN($B$11/$B$10,'NG Inputs'!$B$9)*($B$9-'NG Inputs'!$B$5-'NG Inputs'!$B$6-2*'NG Inputs'!$B$7*SQRT(MIN($B$11/$B$10,'NG Inputs'!$B$9)/'NG Inputs'!$B$8))+MAX($B$11-MIN($B$11/$B$10,'NG Inputs'!$B$9)*$B$10,0)*'NG Inputs'!$B$10/2)*(1-$B$8))/$B$10,'NG Inputs'!$B$9)*$B$10,0)*'NG Inputs'!$B$10/2)*(1-$B$8)-INDEX('NG Scenarios'!$C$11:$C$25,A15)*(1-$B$8)-$B$5,0)</f>
        <v/>
      </c>
      <c r="F15" s="49">
        <f>D15+E15</f>
        <v/>
      </c>
    </row>
    <row r="16" ht="13.5" customHeight="1">
      <c r="A16" s="13" t="n">
        <v>2</v>
      </c>
      <c r="B16" s="51">
        <f>(B15+(MIN(B15/$B$10,'NG Inputs'!$B$9)*($B$9-'NG Inputs'!$B$5-'NG Inputs'!$B$6-2*'NG Inputs'!$B$7*SQRT(MIN(B15/$B$10,'NG Inputs'!$B$9)/'NG Inputs'!$B$8))+MAX(B15-MIN(B15/$B$10,'NG Inputs'!$B$9)*$B$10,0)*'NG Inputs'!$B$10/2)*(1-$B$8))+(MIN((B15+(MIN(B15/$B$10,'NG Inputs'!$B$9)*($B$9-'NG Inputs'!$B$5-'NG Inputs'!$B$6-2*'NG Inputs'!$B$7*SQRT(MIN(B15/$B$10,'NG Inputs'!$B$9)/'NG Inputs'!$B$8))+MAX(B15-MIN(B15/$B$10,'NG Inputs'!$B$9)*$B$10,0)*'NG Inputs'!$B$10/2)*(1-$B$8))/$B$10,'NG Inputs'!$B$9)*($B$9-'NG Inputs'!$B$5-'NG Inputs'!$B$6-2*'NG Inputs'!$B$7*SQRT(MIN((B15+(MIN(B15/$B$10,'NG Inputs'!$B$9)*($B$9-'NG Inputs'!$B$5-'NG Inputs'!$B$6-2*'NG Inputs'!$B$7*SQRT(MIN(B15/$B$10,'NG Inputs'!$B$9)/'NG Inputs'!$B$8))+MAX(B15-MIN(B15/$B$10,'NG Inputs'!$B$9)*$B$10,0)*'NG Inputs'!$B$10/2)*(1-$B$8))/$B$10,'NG Inputs'!$B$9)/'NG Inputs'!$B$8))+MAX((B15+(MIN(B15/$B$10,'NG Inputs'!$B$9)*($B$9-'NG Inputs'!$B$5-'NG Inputs'!$B$6-2*'NG Inputs'!$B$7*SQRT(MIN(B15/$B$10,'NG Inputs'!$B$9)/'NG Inputs'!$B$8))+MAX(B15-MIN(B15/$B$10,'NG Inputs'!$B$9)*$B$10,0)*'NG Inputs'!$B$10/2)*(1-$B$8))-MIN((B15+(MIN(B15/$B$10,'NG Inputs'!$B$9)*($B$9-'NG Inputs'!$B$5-'NG Inputs'!$B$6-2*'NG Inputs'!$B$7*SQRT(MIN(B15/$B$10,'NG Inputs'!$B$9)/'NG Inputs'!$B$8))+MAX(B15-MIN(B15/$B$10,'NG Inputs'!$B$9)*$B$10,0)*'NG Inputs'!$B$10/2)*(1-$B$8))/$B$10,'NG Inputs'!$B$9)*$B$10,0)*'NG Inputs'!$B$10/2)*(1-$B$8)-INDEX('NG Scenarios'!$C$11:$C$25,A16)*(1-$B$8)</f>
        <v/>
      </c>
      <c r="C16" s="51">
        <f>IF(C15&lt;'NG Inputs'!$B$11,(C15+(MIN(C15/$B$10,'NG Inputs'!$B$9)*($B$9-'NG Inputs'!$B$5-'NG Inputs'!$B$6-2*'NG Inputs'!$B$7*SQRT(MIN(C15/$B$10,'NG Inputs'!$B$9)/'NG Inputs'!$B$8))+MAX(C15-MIN(C15/$B$10,'NG Inputs'!$B$9)*$B$10,0)*'NG Inputs'!$B$10/2)*(1-$B$8))+(MIN((C15+(MIN(C15/$B$10,'NG Inputs'!$B$9)*($B$9-'NG Inputs'!$B$5-'NG Inputs'!$B$6-2*'NG Inputs'!$B$7*SQRT(MIN(C15/$B$10,'NG Inputs'!$B$9)/'NG Inputs'!$B$8))+MAX(C15-MIN(C15/$B$10,'NG Inputs'!$B$9)*$B$10,0)*'NG Inputs'!$B$10/2)*(1-$B$8))/$B$10,'NG Inputs'!$B$9)*($B$9-'NG Inputs'!$B$5-'NG Inputs'!$B$6-2*'NG Inputs'!$B$7*SQRT(MIN((C15+(MIN(C15/$B$10,'NG Inputs'!$B$9)*($B$9-'NG Inputs'!$B$5-'NG Inputs'!$B$6-2*'NG Inputs'!$B$7*SQRT(MIN(C15/$B$10,'NG Inputs'!$B$9)/'NG Inputs'!$B$8))+MAX(C15-MIN(C15/$B$10,'NG Inputs'!$B$9)*$B$10,0)*'NG Inputs'!$B$10/2)*(1-$B$8))/$B$10,'NG Inputs'!$B$9)/'NG Inputs'!$B$8))+MAX((C15+(MIN(C15/$B$10,'NG Inputs'!$B$9)*($B$9-'NG Inputs'!$B$5-'NG Inputs'!$B$6-2*'NG Inputs'!$B$7*SQRT(MIN(C15/$B$10,'NG Inputs'!$B$9)/'NG Inputs'!$B$8))+MAX(C15-MIN(C15/$B$10,'NG Inputs'!$B$9)*$B$10,0)*'NG Inputs'!$B$10/2)*(1-$B$8))-MIN((C15+(MIN(C15/$B$10,'NG Inputs'!$B$9)*($B$9-'NG Inputs'!$B$5-'NG Inputs'!$B$6-2*'NG Inputs'!$B$7*SQRT(MIN(C15/$B$10,'NG Inputs'!$B$9)/'NG Inputs'!$B$8))+MAX(C15-MIN(C15/$B$10,'NG Inputs'!$B$9)*$B$10,0)*'NG Inputs'!$B$10/2)*(1-$B$8))/$B$10,'NG Inputs'!$B$9)*$B$10,0)*'NG Inputs'!$B$10/2)*(1-$B$8)-INDEX('NG Scenarios'!$C$11:$C$25,A16)*(1-$B$8),C15+(($B$6*C15-$B$7)*(12/18))*(1-$B$8))</f>
        <v/>
      </c>
      <c r="D16" s="51">
        <f>MIN((D15+(MIN(D15/$B$10,'NG Inputs'!$B$9)*($B$9-'NG Inputs'!$B$5-'NG Inputs'!$B$6-2*'NG Inputs'!$B$7*SQRT(MIN(D15/$B$10,'NG Inputs'!$B$9)/'NG Inputs'!$B$8))+MAX(D15-MIN(D15/$B$10,'NG Inputs'!$B$9)*$B$10,0)*'NG Inputs'!$B$10/2)*(1-$B$8))+(MIN((D15+(MIN(D15/$B$10,'NG Inputs'!$B$9)*($B$9-'NG Inputs'!$B$5-'NG Inputs'!$B$6-2*'NG Inputs'!$B$7*SQRT(MIN(D15/$B$10,'NG Inputs'!$B$9)/'NG Inputs'!$B$8))+MAX(D15-MIN(D15/$B$10,'NG Inputs'!$B$9)*$B$10,0)*'NG Inputs'!$B$10/2)*(1-$B$8))/$B$10,'NG Inputs'!$B$9)*($B$9-'NG Inputs'!$B$5-'NG Inputs'!$B$6-2*'NG Inputs'!$B$7*SQRT(MIN((D15+(MIN(D15/$B$10,'NG Inputs'!$B$9)*($B$9-'NG Inputs'!$B$5-'NG Inputs'!$B$6-2*'NG Inputs'!$B$7*SQRT(MIN(D15/$B$10,'NG Inputs'!$B$9)/'NG Inputs'!$B$8))+MAX(D15-MIN(D15/$B$10,'NG Inputs'!$B$9)*$B$10,0)*'NG Inputs'!$B$10/2)*(1-$B$8))/$B$10,'NG Inputs'!$B$9)/'NG Inputs'!$B$8))+MAX((D15+(MIN(D15/$B$10,'NG Inputs'!$B$9)*($B$9-'NG Inputs'!$B$5-'NG Inputs'!$B$6-2*'NG Inputs'!$B$7*SQRT(MIN(D15/$B$10,'NG Inputs'!$B$9)/'NG Inputs'!$B$8))+MAX(D15-MIN(D15/$B$10,'NG Inputs'!$B$9)*$B$10,0)*'NG Inputs'!$B$10/2)*(1-$B$8))-MIN((D15+(MIN(D15/$B$10,'NG Inputs'!$B$9)*($B$9-'NG Inputs'!$B$5-'NG Inputs'!$B$6-2*'NG Inputs'!$B$7*SQRT(MIN(D15/$B$10,'NG Inputs'!$B$9)/'NG Inputs'!$B$8))+MAX(D15-MIN(D15/$B$10,'NG Inputs'!$B$9)*$B$10,0)*'NG Inputs'!$B$10/2)*(1-$B$8))/$B$10,'NG Inputs'!$B$9)*$B$10,0)*'NG Inputs'!$B$10/2)*(1-$B$8)-INDEX('NG Scenarios'!$C$11:$C$25,A16)*(1-$B$8),$B$5)</f>
        <v/>
      </c>
      <c r="E16" s="51">
        <f>IF(E15&gt;0,E15+(($B$6*E15-$B$7)*(12/18))*(1-$B$8),0)+MAX((D15+(MIN(D15/$B$10,'NG Inputs'!$B$9)*($B$9-'NG Inputs'!$B$5-'NG Inputs'!$B$6-2*'NG Inputs'!$B$7*SQRT(MIN(D15/$B$10,'NG Inputs'!$B$9)/'NG Inputs'!$B$8))+MAX(D15-MIN(D15/$B$10,'NG Inputs'!$B$9)*$B$10,0)*'NG Inputs'!$B$10/2)*(1-$B$8))+(MIN((D15+(MIN(D15/$B$10,'NG Inputs'!$B$9)*($B$9-'NG Inputs'!$B$5-'NG Inputs'!$B$6-2*'NG Inputs'!$B$7*SQRT(MIN(D15/$B$10,'NG Inputs'!$B$9)/'NG Inputs'!$B$8))+MAX(D15-MIN(D15/$B$10,'NG Inputs'!$B$9)*$B$10,0)*'NG Inputs'!$B$10/2)*(1-$B$8))/$B$10,'NG Inputs'!$B$9)*($B$9-'NG Inputs'!$B$5-'NG Inputs'!$B$6-2*'NG Inputs'!$B$7*SQRT(MIN((D15+(MIN(D15/$B$10,'NG Inputs'!$B$9)*($B$9-'NG Inputs'!$B$5-'NG Inputs'!$B$6-2*'NG Inputs'!$B$7*SQRT(MIN(D15/$B$10,'NG Inputs'!$B$9)/'NG Inputs'!$B$8))+MAX(D15-MIN(D15/$B$10,'NG Inputs'!$B$9)*$B$10,0)*'NG Inputs'!$B$10/2)*(1-$B$8))/$B$10,'NG Inputs'!$B$9)/'NG Inputs'!$B$8))+MAX((D15+(MIN(D15/$B$10,'NG Inputs'!$B$9)*($B$9-'NG Inputs'!$B$5-'NG Inputs'!$B$6-2*'NG Inputs'!$B$7*SQRT(MIN(D15/$B$10,'NG Inputs'!$B$9)/'NG Inputs'!$B$8))+MAX(D15-MIN(D15/$B$10,'NG Inputs'!$B$9)*$B$10,0)*'NG Inputs'!$B$10/2)*(1-$B$8))-MIN((D15+(MIN(D15/$B$10,'NG Inputs'!$B$9)*($B$9-'NG Inputs'!$B$5-'NG Inputs'!$B$6-2*'NG Inputs'!$B$7*SQRT(MIN(D15/$B$10,'NG Inputs'!$B$9)/'NG Inputs'!$B$8))+MAX(D15-MIN(D15/$B$10,'NG Inputs'!$B$9)*$B$10,0)*'NG Inputs'!$B$10/2)*(1-$B$8))/$B$10,'NG Inputs'!$B$9)*$B$10,0)*'NG Inputs'!$B$10/2)*(1-$B$8)-INDEX('NG Scenarios'!$C$11:$C$25,A16)*(1-$B$8)-$B$5,0)</f>
        <v/>
      </c>
      <c r="F16" s="51">
        <f>D16+E16</f>
        <v/>
      </c>
    </row>
    <row r="17" ht="13.5" customHeight="1">
      <c r="A17" s="10" t="n">
        <v>3</v>
      </c>
      <c r="B17" s="49">
        <f>(B16+(MIN(B16/$B$10,'NG Inputs'!$B$9)*($B$9-'NG Inputs'!$B$5-'NG Inputs'!$B$6-2*'NG Inputs'!$B$7*SQRT(MIN(B16/$B$10,'NG Inputs'!$B$9)/'NG Inputs'!$B$8))+MAX(B16-MIN(B16/$B$10,'NG Inputs'!$B$9)*$B$10,0)*'NG Inputs'!$B$10/2)*(1-$B$8))+(MIN((B16+(MIN(B16/$B$10,'NG Inputs'!$B$9)*($B$9-'NG Inputs'!$B$5-'NG Inputs'!$B$6-2*'NG Inputs'!$B$7*SQRT(MIN(B16/$B$10,'NG Inputs'!$B$9)/'NG Inputs'!$B$8))+MAX(B16-MIN(B16/$B$10,'NG Inputs'!$B$9)*$B$10,0)*'NG Inputs'!$B$10/2)*(1-$B$8))/$B$10,'NG Inputs'!$B$9)*($B$9-'NG Inputs'!$B$5-'NG Inputs'!$B$6-2*'NG Inputs'!$B$7*SQRT(MIN((B16+(MIN(B16/$B$10,'NG Inputs'!$B$9)*($B$9-'NG Inputs'!$B$5-'NG Inputs'!$B$6-2*'NG Inputs'!$B$7*SQRT(MIN(B16/$B$10,'NG Inputs'!$B$9)/'NG Inputs'!$B$8))+MAX(B16-MIN(B16/$B$10,'NG Inputs'!$B$9)*$B$10,0)*'NG Inputs'!$B$10/2)*(1-$B$8))/$B$10,'NG Inputs'!$B$9)/'NG Inputs'!$B$8))+MAX((B16+(MIN(B16/$B$10,'NG Inputs'!$B$9)*($B$9-'NG Inputs'!$B$5-'NG Inputs'!$B$6-2*'NG Inputs'!$B$7*SQRT(MIN(B16/$B$10,'NG Inputs'!$B$9)/'NG Inputs'!$B$8))+MAX(B16-MIN(B16/$B$10,'NG Inputs'!$B$9)*$B$10,0)*'NG Inputs'!$B$10/2)*(1-$B$8))-MIN((B16+(MIN(B16/$B$10,'NG Inputs'!$B$9)*($B$9-'NG Inputs'!$B$5-'NG Inputs'!$B$6-2*'NG Inputs'!$B$7*SQRT(MIN(B16/$B$10,'NG Inputs'!$B$9)/'NG Inputs'!$B$8))+MAX(B16-MIN(B16/$B$10,'NG Inputs'!$B$9)*$B$10,0)*'NG Inputs'!$B$10/2)*(1-$B$8))/$B$10,'NG Inputs'!$B$9)*$B$10,0)*'NG Inputs'!$B$10/2)*(1-$B$8)-INDEX('NG Scenarios'!$C$11:$C$25,A17)*(1-$B$8)</f>
        <v/>
      </c>
      <c r="C17" s="49">
        <f>IF(C16&lt;'NG Inputs'!$B$11,(C16+(MIN(C16/$B$10,'NG Inputs'!$B$9)*($B$9-'NG Inputs'!$B$5-'NG Inputs'!$B$6-2*'NG Inputs'!$B$7*SQRT(MIN(C16/$B$10,'NG Inputs'!$B$9)/'NG Inputs'!$B$8))+MAX(C16-MIN(C16/$B$10,'NG Inputs'!$B$9)*$B$10,0)*'NG Inputs'!$B$10/2)*(1-$B$8))+(MIN((C16+(MIN(C16/$B$10,'NG Inputs'!$B$9)*($B$9-'NG Inputs'!$B$5-'NG Inputs'!$B$6-2*'NG Inputs'!$B$7*SQRT(MIN(C16/$B$10,'NG Inputs'!$B$9)/'NG Inputs'!$B$8))+MAX(C16-MIN(C16/$B$10,'NG Inputs'!$B$9)*$B$10,0)*'NG Inputs'!$B$10/2)*(1-$B$8))/$B$10,'NG Inputs'!$B$9)*($B$9-'NG Inputs'!$B$5-'NG Inputs'!$B$6-2*'NG Inputs'!$B$7*SQRT(MIN((C16+(MIN(C16/$B$10,'NG Inputs'!$B$9)*($B$9-'NG Inputs'!$B$5-'NG Inputs'!$B$6-2*'NG Inputs'!$B$7*SQRT(MIN(C16/$B$10,'NG Inputs'!$B$9)/'NG Inputs'!$B$8))+MAX(C16-MIN(C16/$B$10,'NG Inputs'!$B$9)*$B$10,0)*'NG Inputs'!$B$10/2)*(1-$B$8))/$B$10,'NG Inputs'!$B$9)/'NG Inputs'!$B$8))+MAX((C16+(MIN(C16/$B$10,'NG Inputs'!$B$9)*($B$9-'NG Inputs'!$B$5-'NG Inputs'!$B$6-2*'NG Inputs'!$B$7*SQRT(MIN(C16/$B$10,'NG Inputs'!$B$9)/'NG Inputs'!$B$8))+MAX(C16-MIN(C16/$B$10,'NG Inputs'!$B$9)*$B$10,0)*'NG Inputs'!$B$10/2)*(1-$B$8))-MIN((C16+(MIN(C16/$B$10,'NG Inputs'!$B$9)*($B$9-'NG Inputs'!$B$5-'NG Inputs'!$B$6-2*'NG Inputs'!$B$7*SQRT(MIN(C16/$B$10,'NG Inputs'!$B$9)/'NG Inputs'!$B$8))+MAX(C16-MIN(C16/$B$10,'NG Inputs'!$B$9)*$B$10,0)*'NG Inputs'!$B$10/2)*(1-$B$8))/$B$10,'NG Inputs'!$B$9)*$B$10,0)*'NG Inputs'!$B$10/2)*(1-$B$8)-INDEX('NG Scenarios'!$C$11:$C$25,A17)*(1-$B$8),C16+(($B$6*C16-$B$7)*(12/18))*(1-$B$8))</f>
        <v/>
      </c>
      <c r="D17" s="49">
        <f>MIN((D16+(MIN(D16/$B$10,'NG Inputs'!$B$9)*($B$9-'NG Inputs'!$B$5-'NG Inputs'!$B$6-2*'NG Inputs'!$B$7*SQRT(MIN(D16/$B$10,'NG Inputs'!$B$9)/'NG Inputs'!$B$8))+MAX(D16-MIN(D16/$B$10,'NG Inputs'!$B$9)*$B$10,0)*'NG Inputs'!$B$10/2)*(1-$B$8))+(MIN((D16+(MIN(D16/$B$10,'NG Inputs'!$B$9)*($B$9-'NG Inputs'!$B$5-'NG Inputs'!$B$6-2*'NG Inputs'!$B$7*SQRT(MIN(D16/$B$10,'NG Inputs'!$B$9)/'NG Inputs'!$B$8))+MAX(D16-MIN(D16/$B$10,'NG Inputs'!$B$9)*$B$10,0)*'NG Inputs'!$B$10/2)*(1-$B$8))/$B$10,'NG Inputs'!$B$9)*($B$9-'NG Inputs'!$B$5-'NG Inputs'!$B$6-2*'NG Inputs'!$B$7*SQRT(MIN((D16+(MIN(D16/$B$10,'NG Inputs'!$B$9)*($B$9-'NG Inputs'!$B$5-'NG Inputs'!$B$6-2*'NG Inputs'!$B$7*SQRT(MIN(D16/$B$10,'NG Inputs'!$B$9)/'NG Inputs'!$B$8))+MAX(D16-MIN(D16/$B$10,'NG Inputs'!$B$9)*$B$10,0)*'NG Inputs'!$B$10/2)*(1-$B$8))/$B$10,'NG Inputs'!$B$9)/'NG Inputs'!$B$8))+MAX((D16+(MIN(D16/$B$10,'NG Inputs'!$B$9)*($B$9-'NG Inputs'!$B$5-'NG Inputs'!$B$6-2*'NG Inputs'!$B$7*SQRT(MIN(D16/$B$10,'NG Inputs'!$B$9)/'NG Inputs'!$B$8))+MAX(D16-MIN(D16/$B$10,'NG Inputs'!$B$9)*$B$10,0)*'NG Inputs'!$B$10/2)*(1-$B$8))-MIN((D16+(MIN(D16/$B$10,'NG Inputs'!$B$9)*($B$9-'NG Inputs'!$B$5-'NG Inputs'!$B$6-2*'NG Inputs'!$B$7*SQRT(MIN(D16/$B$10,'NG Inputs'!$B$9)/'NG Inputs'!$B$8))+MAX(D16-MIN(D16/$B$10,'NG Inputs'!$B$9)*$B$10,0)*'NG Inputs'!$B$10/2)*(1-$B$8))/$B$10,'NG Inputs'!$B$9)*$B$10,0)*'NG Inputs'!$B$10/2)*(1-$B$8)-INDEX('NG Scenarios'!$C$11:$C$25,A17)*(1-$B$8),$B$5)</f>
        <v/>
      </c>
      <c r="E17" s="49">
        <f>IF(E16&gt;0,E16+(($B$6*E16-$B$7)*(12/18))*(1-$B$8),0)+MAX((D16+(MIN(D16/$B$10,'NG Inputs'!$B$9)*($B$9-'NG Inputs'!$B$5-'NG Inputs'!$B$6-2*'NG Inputs'!$B$7*SQRT(MIN(D16/$B$10,'NG Inputs'!$B$9)/'NG Inputs'!$B$8))+MAX(D16-MIN(D16/$B$10,'NG Inputs'!$B$9)*$B$10,0)*'NG Inputs'!$B$10/2)*(1-$B$8))+(MIN((D16+(MIN(D16/$B$10,'NG Inputs'!$B$9)*($B$9-'NG Inputs'!$B$5-'NG Inputs'!$B$6-2*'NG Inputs'!$B$7*SQRT(MIN(D16/$B$10,'NG Inputs'!$B$9)/'NG Inputs'!$B$8))+MAX(D16-MIN(D16/$B$10,'NG Inputs'!$B$9)*$B$10,0)*'NG Inputs'!$B$10/2)*(1-$B$8))/$B$10,'NG Inputs'!$B$9)*($B$9-'NG Inputs'!$B$5-'NG Inputs'!$B$6-2*'NG Inputs'!$B$7*SQRT(MIN((D16+(MIN(D16/$B$10,'NG Inputs'!$B$9)*($B$9-'NG Inputs'!$B$5-'NG Inputs'!$B$6-2*'NG Inputs'!$B$7*SQRT(MIN(D16/$B$10,'NG Inputs'!$B$9)/'NG Inputs'!$B$8))+MAX(D16-MIN(D16/$B$10,'NG Inputs'!$B$9)*$B$10,0)*'NG Inputs'!$B$10/2)*(1-$B$8))/$B$10,'NG Inputs'!$B$9)/'NG Inputs'!$B$8))+MAX((D16+(MIN(D16/$B$10,'NG Inputs'!$B$9)*($B$9-'NG Inputs'!$B$5-'NG Inputs'!$B$6-2*'NG Inputs'!$B$7*SQRT(MIN(D16/$B$10,'NG Inputs'!$B$9)/'NG Inputs'!$B$8))+MAX(D16-MIN(D16/$B$10,'NG Inputs'!$B$9)*$B$10,0)*'NG Inputs'!$B$10/2)*(1-$B$8))-MIN((D16+(MIN(D16/$B$10,'NG Inputs'!$B$9)*($B$9-'NG Inputs'!$B$5-'NG Inputs'!$B$6-2*'NG Inputs'!$B$7*SQRT(MIN(D16/$B$10,'NG Inputs'!$B$9)/'NG Inputs'!$B$8))+MAX(D16-MIN(D16/$B$10,'NG Inputs'!$B$9)*$B$10,0)*'NG Inputs'!$B$10/2)*(1-$B$8))/$B$10,'NG Inputs'!$B$9)*$B$10,0)*'NG Inputs'!$B$10/2)*(1-$B$8)-INDEX('NG Scenarios'!$C$11:$C$25,A17)*(1-$B$8)-$B$5,0)</f>
        <v/>
      </c>
      <c r="F17" s="49">
        <f>D17+E17</f>
        <v/>
      </c>
    </row>
    <row r="18" ht="13.5" customHeight="1">
      <c r="A18" s="13" t="n">
        <v>4</v>
      </c>
      <c r="B18" s="51">
        <f>(B17+(MIN(B17/$B$10,'NG Inputs'!$B$9)*($B$9-'NG Inputs'!$B$5-'NG Inputs'!$B$6-2*'NG Inputs'!$B$7*SQRT(MIN(B17/$B$10,'NG Inputs'!$B$9)/'NG Inputs'!$B$8))+MAX(B17-MIN(B17/$B$10,'NG Inputs'!$B$9)*$B$10,0)*'NG Inputs'!$B$10/2)*(1-$B$8))+(MIN((B17+(MIN(B17/$B$10,'NG Inputs'!$B$9)*($B$9-'NG Inputs'!$B$5-'NG Inputs'!$B$6-2*'NG Inputs'!$B$7*SQRT(MIN(B17/$B$10,'NG Inputs'!$B$9)/'NG Inputs'!$B$8))+MAX(B17-MIN(B17/$B$10,'NG Inputs'!$B$9)*$B$10,0)*'NG Inputs'!$B$10/2)*(1-$B$8))/$B$10,'NG Inputs'!$B$9)*($B$9-'NG Inputs'!$B$5-'NG Inputs'!$B$6-2*'NG Inputs'!$B$7*SQRT(MIN((B17+(MIN(B17/$B$10,'NG Inputs'!$B$9)*($B$9-'NG Inputs'!$B$5-'NG Inputs'!$B$6-2*'NG Inputs'!$B$7*SQRT(MIN(B17/$B$10,'NG Inputs'!$B$9)/'NG Inputs'!$B$8))+MAX(B17-MIN(B17/$B$10,'NG Inputs'!$B$9)*$B$10,0)*'NG Inputs'!$B$10/2)*(1-$B$8))/$B$10,'NG Inputs'!$B$9)/'NG Inputs'!$B$8))+MAX((B17+(MIN(B17/$B$10,'NG Inputs'!$B$9)*($B$9-'NG Inputs'!$B$5-'NG Inputs'!$B$6-2*'NG Inputs'!$B$7*SQRT(MIN(B17/$B$10,'NG Inputs'!$B$9)/'NG Inputs'!$B$8))+MAX(B17-MIN(B17/$B$10,'NG Inputs'!$B$9)*$B$10,0)*'NG Inputs'!$B$10/2)*(1-$B$8))-MIN((B17+(MIN(B17/$B$10,'NG Inputs'!$B$9)*($B$9-'NG Inputs'!$B$5-'NG Inputs'!$B$6-2*'NG Inputs'!$B$7*SQRT(MIN(B17/$B$10,'NG Inputs'!$B$9)/'NG Inputs'!$B$8))+MAX(B17-MIN(B17/$B$10,'NG Inputs'!$B$9)*$B$10,0)*'NG Inputs'!$B$10/2)*(1-$B$8))/$B$10,'NG Inputs'!$B$9)*$B$10,0)*'NG Inputs'!$B$10/2)*(1-$B$8)-INDEX('NG Scenarios'!$C$11:$C$25,A18)*(1-$B$8)</f>
        <v/>
      </c>
      <c r="C18" s="51">
        <f>IF(C17&lt;'NG Inputs'!$B$11,(C17+(MIN(C17/$B$10,'NG Inputs'!$B$9)*($B$9-'NG Inputs'!$B$5-'NG Inputs'!$B$6-2*'NG Inputs'!$B$7*SQRT(MIN(C17/$B$10,'NG Inputs'!$B$9)/'NG Inputs'!$B$8))+MAX(C17-MIN(C17/$B$10,'NG Inputs'!$B$9)*$B$10,0)*'NG Inputs'!$B$10/2)*(1-$B$8))+(MIN((C17+(MIN(C17/$B$10,'NG Inputs'!$B$9)*($B$9-'NG Inputs'!$B$5-'NG Inputs'!$B$6-2*'NG Inputs'!$B$7*SQRT(MIN(C17/$B$10,'NG Inputs'!$B$9)/'NG Inputs'!$B$8))+MAX(C17-MIN(C17/$B$10,'NG Inputs'!$B$9)*$B$10,0)*'NG Inputs'!$B$10/2)*(1-$B$8))/$B$10,'NG Inputs'!$B$9)*($B$9-'NG Inputs'!$B$5-'NG Inputs'!$B$6-2*'NG Inputs'!$B$7*SQRT(MIN((C17+(MIN(C17/$B$10,'NG Inputs'!$B$9)*($B$9-'NG Inputs'!$B$5-'NG Inputs'!$B$6-2*'NG Inputs'!$B$7*SQRT(MIN(C17/$B$10,'NG Inputs'!$B$9)/'NG Inputs'!$B$8))+MAX(C17-MIN(C17/$B$10,'NG Inputs'!$B$9)*$B$10,0)*'NG Inputs'!$B$10/2)*(1-$B$8))/$B$10,'NG Inputs'!$B$9)/'NG Inputs'!$B$8))+MAX((C17+(MIN(C17/$B$10,'NG Inputs'!$B$9)*($B$9-'NG Inputs'!$B$5-'NG Inputs'!$B$6-2*'NG Inputs'!$B$7*SQRT(MIN(C17/$B$10,'NG Inputs'!$B$9)/'NG Inputs'!$B$8))+MAX(C17-MIN(C17/$B$10,'NG Inputs'!$B$9)*$B$10,0)*'NG Inputs'!$B$10/2)*(1-$B$8))-MIN((C17+(MIN(C17/$B$10,'NG Inputs'!$B$9)*($B$9-'NG Inputs'!$B$5-'NG Inputs'!$B$6-2*'NG Inputs'!$B$7*SQRT(MIN(C17/$B$10,'NG Inputs'!$B$9)/'NG Inputs'!$B$8))+MAX(C17-MIN(C17/$B$10,'NG Inputs'!$B$9)*$B$10,0)*'NG Inputs'!$B$10/2)*(1-$B$8))/$B$10,'NG Inputs'!$B$9)*$B$10,0)*'NG Inputs'!$B$10/2)*(1-$B$8)-INDEX('NG Scenarios'!$C$11:$C$25,A18)*(1-$B$8),C17+(($B$6*C17-$B$7)*(12/18))*(1-$B$8))</f>
        <v/>
      </c>
      <c r="D18" s="51">
        <f>MIN((D17+(MIN(D17/$B$10,'NG Inputs'!$B$9)*($B$9-'NG Inputs'!$B$5-'NG Inputs'!$B$6-2*'NG Inputs'!$B$7*SQRT(MIN(D17/$B$10,'NG Inputs'!$B$9)/'NG Inputs'!$B$8))+MAX(D17-MIN(D17/$B$10,'NG Inputs'!$B$9)*$B$10,0)*'NG Inputs'!$B$10/2)*(1-$B$8))+(MIN((D17+(MIN(D17/$B$10,'NG Inputs'!$B$9)*($B$9-'NG Inputs'!$B$5-'NG Inputs'!$B$6-2*'NG Inputs'!$B$7*SQRT(MIN(D17/$B$10,'NG Inputs'!$B$9)/'NG Inputs'!$B$8))+MAX(D17-MIN(D17/$B$10,'NG Inputs'!$B$9)*$B$10,0)*'NG Inputs'!$B$10/2)*(1-$B$8))/$B$10,'NG Inputs'!$B$9)*($B$9-'NG Inputs'!$B$5-'NG Inputs'!$B$6-2*'NG Inputs'!$B$7*SQRT(MIN((D17+(MIN(D17/$B$10,'NG Inputs'!$B$9)*($B$9-'NG Inputs'!$B$5-'NG Inputs'!$B$6-2*'NG Inputs'!$B$7*SQRT(MIN(D17/$B$10,'NG Inputs'!$B$9)/'NG Inputs'!$B$8))+MAX(D17-MIN(D17/$B$10,'NG Inputs'!$B$9)*$B$10,0)*'NG Inputs'!$B$10/2)*(1-$B$8))/$B$10,'NG Inputs'!$B$9)/'NG Inputs'!$B$8))+MAX((D17+(MIN(D17/$B$10,'NG Inputs'!$B$9)*($B$9-'NG Inputs'!$B$5-'NG Inputs'!$B$6-2*'NG Inputs'!$B$7*SQRT(MIN(D17/$B$10,'NG Inputs'!$B$9)/'NG Inputs'!$B$8))+MAX(D17-MIN(D17/$B$10,'NG Inputs'!$B$9)*$B$10,0)*'NG Inputs'!$B$10/2)*(1-$B$8))-MIN((D17+(MIN(D17/$B$10,'NG Inputs'!$B$9)*($B$9-'NG Inputs'!$B$5-'NG Inputs'!$B$6-2*'NG Inputs'!$B$7*SQRT(MIN(D17/$B$10,'NG Inputs'!$B$9)/'NG Inputs'!$B$8))+MAX(D17-MIN(D17/$B$10,'NG Inputs'!$B$9)*$B$10,0)*'NG Inputs'!$B$10/2)*(1-$B$8))/$B$10,'NG Inputs'!$B$9)*$B$10,0)*'NG Inputs'!$B$10/2)*(1-$B$8)-INDEX('NG Scenarios'!$C$11:$C$25,A18)*(1-$B$8),$B$5)</f>
        <v/>
      </c>
      <c r="E18" s="51">
        <f>IF(E17&gt;0,E17+(($B$6*E17-$B$7)*(12/18))*(1-$B$8),0)+MAX((D17+(MIN(D17/$B$10,'NG Inputs'!$B$9)*($B$9-'NG Inputs'!$B$5-'NG Inputs'!$B$6-2*'NG Inputs'!$B$7*SQRT(MIN(D17/$B$10,'NG Inputs'!$B$9)/'NG Inputs'!$B$8))+MAX(D17-MIN(D17/$B$10,'NG Inputs'!$B$9)*$B$10,0)*'NG Inputs'!$B$10/2)*(1-$B$8))+(MIN((D17+(MIN(D17/$B$10,'NG Inputs'!$B$9)*($B$9-'NG Inputs'!$B$5-'NG Inputs'!$B$6-2*'NG Inputs'!$B$7*SQRT(MIN(D17/$B$10,'NG Inputs'!$B$9)/'NG Inputs'!$B$8))+MAX(D17-MIN(D17/$B$10,'NG Inputs'!$B$9)*$B$10,0)*'NG Inputs'!$B$10/2)*(1-$B$8))/$B$10,'NG Inputs'!$B$9)*($B$9-'NG Inputs'!$B$5-'NG Inputs'!$B$6-2*'NG Inputs'!$B$7*SQRT(MIN((D17+(MIN(D17/$B$10,'NG Inputs'!$B$9)*($B$9-'NG Inputs'!$B$5-'NG Inputs'!$B$6-2*'NG Inputs'!$B$7*SQRT(MIN(D17/$B$10,'NG Inputs'!$B$9)/'NG Inputs'!$B$8))+MAX(D17-MIN(D17/$B$10,'NG Inputs'!$B$9)*$B$10,0)*'NG Inputs'!$B$10/2)*(1-$B$8))/$B$10,'NG Inputs'!$B$9)/'NG Inputs'!$B$8))+MAX((D17+(MIN(D17/$B$10,'NG Inputs'!$B$9)*($B$9-'NG Inputs'!$B$5-'NG Inputs'!$B$6-2*'NG Inputs'!$B$7*SQRT(MIN(D17/$B$10,'NG Inputs'!$B$9)/'NG Inputs'!$B$8))+MAX(D17-MIN(D17/$B$10,'NG Inputs'!$B$9)*$B$10,0)*'NG Inputs'!$B$10/2)*(1-$B$8))-MIN((D17+(MIN(D17/$B$10,'NG Inputs'!$B$9)*($B$9-'NG Inputs'!$B$5-'NG Inputs'!$B$6-2*'NG Inputs'!$B$7*SQRT(MIN(D17/$B$10,'NG Inputs'!$B$9)/'NG Inputs'!$B$8))+MAX(D17-MIN(D17/$B$10,'NG Inputs'!$B$9)*$B$10,0)*'NG Inputs'!$B$10/2)*(1-$B$8))/$B$10,'NG Inputs'!$B$9)*$B$10,0)*'NG Inputs'!$B$10/2)*(1-$B$8)-INDEX('NG Scenarios'!$C$11:$C$25,A18)*(1-$B$8)-$B$5,0)</f>
        <v/>
      </c>
      <c r="F18" s="51">
        <f>D18+E18</f>
        <v/>
      </c>
    </row>
    <row r="19" ht="13.5" customHeight="1">
      <c r="A19" s="10" t="n">
        <v>5</v>
      </c>
      <c r="B19" s="52">
        <f>(B18+(MIN(B18/$B$10,'NG Inputs'!$B$9)*($B$9-'NG Inputs'!$B$5-'NG Inputs'!$B$6-2*'NG Inputs'!$B$7*SQRT(MIN(B18/$B$10,'NG Inputs'!$B$9)/'NG Inputs'!$B$8))+MAX(B18-MIN(B18/$B$10,'NG Inputs'!$B$9)*$B$10,0)*'NG Inputs'!$B$10/2)*(1-$B$8))+(MIN((B18+(MIN(B18/$B$10,'NG Inputs'!$B$9)*($B$9-'NG Inputs'!$B$5-'NG Inputs'!$B$6-2*'NG Inputs'!$B$7*SQRT(MIN(B18/$B$10,'NG Inputs'!$B$9)/'NG Inputs'!$B$8))+MAX(B18-MIN(B18/$B$10,'NG Inputs'!$B$9)*$B$10,0)*'NG Inputs'!$B$10/2)*(1-$B$8))/$B$10,'NG Inputs'!$B$9)*($B$9-'NG Inputs'!$B$5-'NG Inputs'!$B$6-2*'NG Inputs'!$B$7*SQRT(MIN((B18+(MIN(B18/$B$10,'NG Inputs'!$B$9)*($B$9-'NG Inputs'!$B$5-'NG Inputs'!$B$6-2*'NG Inputs'!$B$7*SQRT(MIN(B18/$B$10,'NG Inputs'!$B$9)/'NG Inputs'!$B$8))+MAX(B18-MIN(B18/$B$10,'NG Inputs'!$B$9)*$B$10,0)*'NG Inputs'!$B$10/2)*(1-$B$8))/$B$10,'NG Inputs'!$B$9)/'NG Inputs'!$B$8))+MAX((B18+(MIN(B18/$B$10,'NG Inputs'!$B$9)*($B$9-'NG Inputs'!$B$5-'NG Inputs'!$B$6-2*'NG Inputs'!$B$7*SQRT(MIN(B18/$B$10,'NG Inputs'!$B$9)/'NG Inputs'!$B$8))+MAX(B18-MIN(B18/$B$10,'NG Inputs'!$B$9)*$B$10,0)*'NG Inputs'!$B$10/2)*(1-$B$8))-MIN((B18+(MIN(B18/$B$10,'NG Inputs'!$B$9)*($B$9-'NG Inputs'!$B$5-'NG Inputs'!$B$6-2*'NG Inputs'!$B$7*SQRT(MIN(B18/$B$10,'NG Inputs'!$B$9)/'NG Inputs'!$B$8))+MAX(B18-MIN(B18/$B$10,'NG Inputs'!$B$9)*$B$10,0)*'NG Inputs'!$B$10/2)*(1-$B$8))/$B$10,'NG Inputs'!$B$9)*$B$10,0)*'NG Inputs'!$B$10/2)*(1-$B$8)-INDEX('NG Scenarios'!$C$11:$C$25,A19)*(1-$B$8)</f>
        <v/>
      </c>
      <c r="C19" s="49">
        <f>IF(C18&lt;'NG Inputs'!$B$11,(C18+(MIN(C18/$B$10,'NG Inputs'!$B$9)*($B$9-'NG Inputs'!$B$5-'NG Inputs'!$B$6-2*'NG Inputs'!$B$7*SQRT(MIN(C18/$B$10,'NG Inputs'!$B$9)/'NG Inputs'!$B$8))+MAX(C18-MIN(C18/$B$10,'NG Inputs'!$B$9)*$B$10,0)*'NG Inputs'!$B$10/2)*(1-$B$8))+(MIN((C18+(MIN(C18/$B$10,'NG Inputs'!$B$9)*($B$9-'NG Inputs'!$B$5-'NG Inputs'!$B$6-2*'NG Inputs'!$B$7*SQRT(MIN(C18/$B$10,'NG Inputs'!$B$9)/'NG Inputs'!$B$8))+MAX(C18-MIN(C18/$B$10,'NG Inputs'!$B$9)*$B$10,0)*'NG Inputs'!$B$10/2)*(1-$B$8))/$B$10,'NG Inputs'!$B$9)*($B$9-'NG Inputs'!$B$5-'NG Inputs'!$B$6-2*'NG Inputs'!$B$7*SQRT(MIN((C18+(MIN(C18/$B$10,'NG Inputs'!$B$9)*($B$9-'NG Inputs'!$B$5-'NG Inputs'!$B$6-2*'NG Inputs'!$B$7*SQRT(MIN(C18/$B$10,'NG Inputs'!$B$9)/'NG Inputs'!$B$8))+MAX(C18-MIN(C18/$B$10,'NG Inputs'!$B$9)*$B$10,0)*'NG Inputs'!$B$10/2)*(1-$B$8))/$B$10,'NG Inputs'!$B$9)/'NG Inputs'!$B$8))+MAX((C18+(MIN(C18/$B$10,'NG Inputs'!$B$9)*($B$9-'NG Inputs'!$B$5-'NG Inputs'!$B$6-2*'NG Inputs'!$B$7*SQRT(MIN(C18/$B$10,'NG Inputs'!$B$9)/'NG Inputs'!$B$8))+MAX(C18-MIN(C18/$B$10,'NG Inputs'!$B$9)*$B$10,0)*'NG Inputs'!$B$10/2)*(1-$B$8))-MIN((C18+(MIN(C18/$B$10,'NG Inputs'!$B$9)*($B$9-'NG Inputs'!$B$5-'NG Inputs'!$B$6-2*'NG Inputs'!$B$7*SQRT(MIN(C18/$B$10,'NG Inputs'!$B$9)/'NG Inputs'!$B$8))+MAX(C18-MIN(C18/$B$10,'NG Inputs'!$B$9)*$B$10,0)*'NG Inputs'!$B$10/2)*(1-$B$8))/$B$10,'NG Inputs'!$B$9)*$B$10,0)*'NG Inputs'!$B$10/2)*(1-$B$8)-INDEX('NG Scenarios'!$C$11:$C$25,A19)*(1-$B$8),C18+(($B$6*C18-$B$7)*(12/18))*(1-$B$8))</f>
        <v/>
      </c>
      <c r="D19" s="52">
        <f>MIN((D18+(MIN(D18/$B$10,'NG Inputs'!$B$9)*($B$9-'NG Inputs'!$B$5-'NG Inputs'!$B$6-2*'NG Inputs'!$B$7*SQRT(MIN(D18/$B$10,'NG Inputs'!$B$9)/'NG Inputs'!$B$8))+MAX(D18-MIN(D18/$B$10,'NG Inputs'!$B$9)*$B$10,0)*'NG Inputs'!$B$10/2)*(1-$B$8))+(MIN((D18+(MIN(D18/$B$10,'NG Inputs'!$B$9)*($B$9-'NG Inputs'!$B$5-'NG Inputs'!$B$6-2*'NG Inputs'!$B$7*SQRT(MIN(D18/$B$10,'NG Inputs'!$B$9)/'NG Inputs'!$B$8))+MAX(D18-MIN(D18/$B$10,'NG Inputs'!$B$9)*$B$10,0)*'NG Inputs'!$B$10/2)*(1-$B$8))/$B$10,'NG Inputs'!$B$9)*($B$9-'NG Inputs'!$B$5-'NG Inputs'!$B$6-2*'NG Inputs'!$B$7*SQRT(MIN((D18+(MIN(D18/$B$10,'NG Inputs'!$B$9)*($B$9-'NG Inputs'!$B$5-'NG Inputs'!$B$6-2*'NG Inputs'!$B$7*SQRT(MIN(D18/$B$10,'NG Inputs'!$B$9)/'NG Inputs'!$B$8))+MAX(D18-MIN(D18/$B$10,'NG Inputs'!$B$9)*$B$10,0)*'NG Inputs'!$B$10/2)*(1-$B$8))/$B$10,'NG Inputs'!$B$9)/'NG Inputs'!$B$8))+MAX((D18+(MIN(D18/$B$10,'NG Inputs'!$B$9)*($B$9-'NG Inputs'!$B$5-'NG Inputs'!$B$6-2*'NG Inputs'!$B$7*SQRT(MIN(D18/$B$10,'NG Inputs'!$B$9)/'NG Inputs'!$B$8))+MAX(D18-MIN(D18/$B$10,'NG Inputs'!$B$9)*$B$10,0)*'NG Inputs'!$B$10/2)*(1-$B$8))-MIN((D18+(MIN(D18/$B$10,'NG Inputs'!$B$9)*($B$9-'NG Inputs'!$B$5-'NG Inputs'!$B$6-2*'NG Inputs'!$B$7*SQRT(MIN(D18/$B$10,'NG Inputs'!$B$9)/'NG Inputs'!$B$8))+MAX(D18-MIN(D18/$B$10,'NG Inputs'!$B$9)*$B$10,0)*'NG Inputs'!$B$10/2)*(1-$B$8))/$B$10,'NG Inputs'!$B$9)*$B$10,0)*'NG Inputs'!$B$10/2)*(1-$B$8)-INDEX('NG Scenarios'!$C$11:$C$25,A19)*(1-$B$8),$B$5)</f>
        <v/>
      </c>
      <c r="E19" s="49">
        <f>IF(E18&gt;0,E18+(($B$6*E18-$B$7)*(12/18))*(1-$B$8),0)+MAX((D18+(MIN(D18/$B$10,'NG Inputs'!$B$9)*($B$9-'NG Inputs'!$B$5-'NG Inputs'!$B$6-2*'NG Inputs'!$B$7*SQRT(MIN(D18/$B$10,'NG Inputs'!$B$9)/'NG Inputs'!$B$8))+MAX(D18-MIN(D18/$B$10,'NG Inputs'!$B$9)*$B$10,0)*'NG Inputs'!$B$10/2)*(1-$B$8))+(MIN((D18+(MIN(D18/$B$10,'NG Inputs'!$B$9)*($B$9-'NG Inputs'!$B$5-'NG Inputs'!$B$6-2*'NG Inputs'!$B$7*SQRT(MIN(D18/$B$10,'NG Inputs'!$B$9)/'NG Inputs'!$B$8))+MAX(D18-MIN(D18/$B$10,'NG Inputs'!$B$9)*$B$10,0)*'NG Inputs'!$B$10/2)*(1-$B$8))/$B$10,'NG Inputs'!$B$9)*($B$9-'NG Inputs'!$B$5-'NG Inputs'!$B$6-2*'NG Inputs'!$B$7*SQRT(MIN((D18+(MIN(D18/$B$10,'NG Inputs'!$B$9)*($B$9-'NG Inputs'!$B$5-'NG Inputs'!$B$6-2*'NG Inputs'!$B$7*SQRT(MIN(D18/$B$10,'NG Inputs'!$B$9)/'NG Inputs'!$B$8))+MAX(D18-MIN(D18/$B$10,'NG Inputs'!$B$9)*$B$10,0)*'NG Inputs'!$B$10/2)*(1-$B$8))/$B$10,'NG Inputs'!$B$9)/'NG Inputs'!$B$8))+MAX((D18+(MIN(D18/$B$10,'NG Inputs'!$B$9)*($B$9-'NG Inputs'!$B$5-'NG Inputs'!$B$6-2*'NG Inputs'!$B$7*SQRT(MIN(D18/$B$10,'NG Inputs'!$B$9)/'NG Inputs'!$B$8))+MAX(D18-MIN(D18/$B$10,'NG Inputs'!$B$9)*$B$10,0)*'NG Inputs'!$B$10/2)*(1-$B$8))-MIN((D18+(MIN(D18/$B$10,'NG Inputs'!$B$9)*($B$9-'NG Inputs'!$B$5-'NG Inputs'!$B$6-2*'NG Inputs'!$B$7*SQRT(MIN(D18/$B$10,'NG Inputs'!$B$9)/'NG Inputs'!$B$8))+MAX(D18-MIN(D18/$B$10,'NG Inputs'!$B$9)*$B$10,0)*'NG Inputs'!$B$10/2)*(1-$B$8))/$B$10,'NG Inputs'!$B$9)*$B$10,0)*'NG Inputs'!$B$10/2)*(1-$B$8)-INDEX('NG Scenarios'!$C$11:$C$25,A19)*(1-$B$8)-$B$5,0)</f>
        <v/>
      </c>
      <c r="F19" s="52">
        <f>D19+E19</f>
        <v/>
      </c>
    </row>
    <row r="20" ht="13.5" customHeight="1">
      <c r="A20" s="13" t="n">
        <v>6</v>
      </c>
      <c r="B20" s="53">
        <f>(B19+(MIN(B19/$B$10,'NG Inputs'!$B$9)*($B$9-'NG Inputs'!$B$5-'NG Inputs'!$B$6-2*'NG Inputs'!$B$7*SQRT(MIN(B19/$B$10,'NG Inputs'!$B$9)/'NG Inputs'!$B$8))+MAX(B19-MIN(B19/$B$10,'NG Inputs'!$B$9)*$B$10,0)*'NG Inputs'!$B$10/2)*(1-$B$8))+(MIN((B19+(MIN(B19/$B$10,'NG Inputs'!$B$9)*($B$9-'NG Inputs'!$B$5-'NG Inputs'!$B$6-2*'NG Inputs'!$B$7*SQRT(MIN(B19/$B$10,'NG Inputs'!$B$9)/'NG Inputs'!$B$8))+MAX(B19-MIN(B19/$B$10,'NG Inputs'!$B$9)*$B$10,0)*'NG Inputs'!$B$10/2)*(1-$B$8))/$B$10,'NG Inputs'!$B$9)*($B$9-'NG Inputs'!$B$5-'NG Inputs'!$B$6-2*'NG Inputs'!$B$7*SQRT(MIN((B19+(MIN(B19/$B$10,'NG Inputs'!$B$9)*($B$9-'NG Inputs'!$B$5-'NG Inputs'!$B$6-2*'NG Inputs'!$B$7*SQRT(MIN(B19/$B$10,'NG Inputs'!$B$9)/'NG Inputs'!$B$8))+MAX(B19-MIN(B19/$B$10,'NG Inputs'!$B$9)*$B$10,0)*'NG Inputs'!$B$10/2)*(1-$B$8))/$B$10,'NG Inputs'!$B$9)/'NG Inputs'!$B$8))+MAX((B19+(MIN(B19/$B$10,'NG Inputs'!$B$9)*($B$9-'NG Inputs'!$B$5-'NG Inputs'!$B$6-2*'NG Inputs'!$B$7*SQRT(MIN(B19/$B$10,'NG Inputs'!$B$9)/'NG Inputs'!$B$8))+MAX(B19-MIN(B19/$B$10,'NG Inputs'!$B$9)*$B$10,0)*'NG Inputs'!$B$10/2)*(1-$B$8))-MIN((B19+(MIN(B19/$B$10,'NG Inputs'!$B$9)*($B$9-'NG Inputs'!$B$5-'NG Inputs'!$B$6-2*'NG Inputs'!$B$7*SQRT(MIN(B19/$B$10,'NG Inputs'!$B$9)/'NG Inputs'!$B$8))+MAX(B19-MIN(B19/$B$10,'NG Inputs'!$B$9)*$B$10,0)*'NG Inputs'!$B$10/2)*(1-$B$8))/$B$10,'NG Inputs'!$B$9)*$B$10,0)*'NG Inputs'!$B$10/2)*(1-$B$8)-INDEX('NG Scenarios'!$C$11:$C$25,A20)*(1-$B$8)</f>
        <v/>
      </c>
      <c r="C20" s="51">
        <f>IF(C19&lt;'NG Inputs'!$B$11,(C19+(MIN(C19/$B$10,'NG Inputs'!$B$9)*($B$9-'NG Inputs'!$B$5-'NG Inputs'!$B$6-2*'NG Inputs'!$B$7*SQRT(MIN(C19/$B$10,'NG Inputs'!$B$9)/'NG Inputs'!$B$8))+MAX(C19-MIN(C19/$B$10,'NG Inputs'!$B$9)*$B$10,0)*'NG Inputs'!$B$10/2)*(1-$B$8))+(MIN((C19+(MIN(C19/$B$10,'NG Inputs'!$B$9)*($B$9-'NG Inputs'!$B$5-'NG Inputs'!$B$6-2*'NG Inputs'!$B$7*SQRT(MIN(C19/$B$10,'NG Inputs'!$B$9)/'NG Inputs'!$B$8))+MAX(C19-MIN(C19/$B$10,'NG Inputs'!$B$9)*$B$10,0)*'NG Inputs'!$B$10/2)*(1-$B$8))/$B$10,'NG Inputs'!$B$9)*($B$9-'NG Inputs'!$B$5-'NG Inputs'!$B$6-2*'NG Inputs'!$B$7*SQRT(MIN((C19+(MIN(C19/$B$10,'NG Inputs'!$B$9)*($B$9-'NG Inputs'!$B$5-'NG Inputs'!$B$6-2*'NG Inputs'!$B$7*SQRT(MIN(C19/$B$10,'NG Inputs'!$B$9)/'NG Inputs'!$B$8))+MAX(C19-MIN(C19/$B$10,'NG Inputs'!$B$9)*$B$10,0)*'NG Inputs'!$B$10/2)*(1-$B$8))/$B$10,'NG Inputs'!$B$9)/'NG Inputs'!$B$8))+MAX((C19+(MIN(C19/$B$10,'NG Inputs'!$B$9)*($B$9-'NG Inputs'!$B$5-'NG Inputs'!$B$6-2*'NG Inputs'!$B$7*SQRT(MIN(C19/$B$10,'NG Inputs'!$B$9)/'NG Inputs'!$B$8))+MAX(C19-MIN(C19/$B$10,'NG Inputs'!$B$9)*$B$10,0)*'NG Inputs'!$B$10/2)*(1-$B$8))-MIN((C19+(MIN(C19/$B$10,'NG Inputs'!$B$9)*($B$9-'NG Inputs'!$B$5-'NG Inputs'!$B$6-2*'NG Inputs'!$B$7*SQRT(MIN(C19/$B$10,'NG Inputs'!$B$9)/'NG Inputs'!$B$8))+MAX(C19-MIN(C19/$B$10,'NG Inputs'!$B$9)*$B$10,0)*'NG Inputs'!$B$10/2)*(1-$B$8))/$B$10,'NG Inputs'!$B$9)*$B$10,0)*'NG Inputs'!$B$10/2)*(1-$B$8)-INDEX('NG Scenarios'!$C$11:$C$25,A20)*(1-$B$8),C19+(($B$6*C19-$B$7)*(12/18))*(1-$B$8))</f>
        <v/>
      </c>
      <c r="D20" s="53">
        <f>MIN((D19+(MIN(D19/$B$10,'NG Inputs'!$B$9)*($B$9-'NG Inputs'!$B$5-'NG Inputs'!$B$6-2*'NG Inputs'!$B$7*SQRT(MIN(D19/$B$10,'NG Inputs'!$B$9)/'NG Inputs'!$B$8))+MAX(D19-MIN(D19/$B$10,'NG Inputs'!$B$9)*$B$10,0)*'NG Inputs'!$B$10/2)*(1-$B$8))+(MIN((D19+(MIN(D19/$B$10,'NG Inputs'!$B$9)*($B$9-'NG Inputs'!$B$5-'NG Inputs'!$B$6-2*'NG Inputs'!$B$7*SQRT(MIN(D19/$B$10,'NG Inputs'!$B$9)/'NG Inputs'!$B$8))+MAX(D19-MIN(D19/$B$10,'NG Inputs'!$B$9)*$B$10,0)*'NG Inputs'!$B$10/2)*(1-$B$8))/$B$10,'NG Inputs'!$B$9)*($B$9-'NG Inputs'!$B$5-'NG Inputs'!$B$6-2*'NG Inputs'!$B$7*SQRT(MIN((D19+(MIN(D19/$B$10,'NG Inputs'!$B$9)*($B$9-'NG Inputs'!$B$5-'NG Inputs'!$B$6-2*'NG Inputs'!$B$7*SQRT(MIN(D19/$B$10,'NG Inputs'!$B$9)/'NG Inputs'!$B$8))+MAX(D19-MIN(D19/$B$10,'NG Inputs'!$B$9)*$B$10,0)*'NG Inputs'!$B$10/2)*(1-$B$8))/$B$10,'NG Inputs'!$B$9)/'NG Inputs'!$B$8))+MAX((D19+(MIN(D19/$B$10,'NG Inputs'!$B$9)*($B$9-'NG Inputs'!$B$5-'NG Inputs'!$B$6-2*'NG Inputs'!$B$7*SQRT(MIN(D19/$B$10,'NG Inputs'!$B$9)/'NG Inputs'!$B$8))+MAX(D19-MIN(D19/$B$10,'NG Inputs'!$B$9)*$B$10,0)*'NG Inputs'!$B$10/2)*(1-$B$8))-MIN((D19+(MIN(D19/$B$10,'NG Inputs'!$B$9)*($B$9-'NG Inputs'!$B$5-'NG Inputs'!$B$6-2*'NG Inputs'!$B$7*SQRT(MIN(D19/$B$10,'NG Inputs'!$B$9)/'NG Inputs'!$B$8))+MAX(D19-MIN(D19/$B$10,'NG Inputs'!$B$9)*$B$10,0)*'NG Inputs'!$B$10/2)*(1-$B$8))/$B$10,'NG Inputs'!$B$9)*$B$10,0)*'NG Inputs'!$B$10/2)*(1-$B$8)-INDEX('NG Scenarios'!$C$11:$C$25,A20)*(1-$B$8),$B$5)</f>
        <v/>
      </c>
      <c r="E20" s="53">
        <f>IF(E19&gt;0,E19+(($B$6*E19-$B$7)*(12/18))*(1-$B$8),0)+MAX((D19+(MIN(D19/$B$10,'NG Inputs'!$B$9)*($B$9-'NG Inputs'!$B$5-'NG Inputs'!$B$6-2*'NG Inputs'!$B$7*SQRT(MIN(D19/$B$10,'NG Inputs'!$B$9)/'NG Inputs'!$B$8))+MAX(D19-MIN(D19/$B$10,'NG Inputs'!$B$9)*$B$10,0)*'NG Inputs'!$B$10/2)*(1-$B$8))+(MIN((D19+(MIN(D19/$B$10,'NG Inputs'!$B$9)*($B$9-'NG Inputs'!$B$5-'NG Inputs'!$B$6-2*'NG Inputs'!$B$7*SQRT(MIN(D19/$B$10,'NG Inputs'!$B$9)/'NG Inputs'!$B$8))+MAX(D19-MIN(D19/$B$10,'NG Inputs'!$B$9)*$B$10,0)*'NG Inputs'!$B$10/2)*(1-$B$8))/$B$10,'NG Inputs'!$B$9)*($B$9-'NG Inputs'!$B$5-'NG Inputs'!$B$6-2*'NG Inputs'!$B$7*SQRT(MIN((D19+(MIN(D19/$B$10,'NG Inputs'!$B$9)*($B$9-'NG Inputs'!$B$5-'NG Inputs'!$B$6-2*'NG Inputs'!$B$7*SQRT(MIN(D19/$B$10,'NG Inputs'!$B$9)/'NG Inputs'!$B$8))+MAX(D19-MIN(D19/$B$10,'NG Inputs'!$B$9)*$B$10,0)*'NG Inputs'!$B$10/2)*(1-$B$8))/$B$10,'NG Inputs'!$B$9)/'NG Inputs'!$B$8))+MAX((D19+(MIN(D19/$B$10,'NG Inputs'!$B$9)*($B$9-'NG Inputs'!$B$5-'NG Inputs'!$B$6-2*'NG Inputs'!$B$7*SQRT(MIN(D19/$B$10,'NG Inputs'!$B$9)/'NG Inputs'!$B$8))+MAX(D19-MIN(D19/$B$10,'NG Inputs'!$B$9)*$B$10,0)*'NG Inputs'!$B$10/2)*(1-$B$8))-MIN((D19+(MIN(D19/$B$10,'NG Inputs'!$B$9)*($B$9-'NG Inputs'!$B$5-'NG Inputs'!$B$6-2*'NG Inputs'!$B$7*SQRT(MIN(D19/$B$10,'NG Inputs'!$B$9)/'NG Inputs'!$B$8))+MAX(D19-MIN(D19/$B$10,'NG Inputs'!$B$9)*$B$10,0)*'NG Inputs'!$B$10/2)*(1-$B$8))/$B$10,'NG Inputs'!$B$9)*$B$10,0)*'NG Inputs'!$B$10/2)*(1-$B$8)-INDEX('NG Scenarios'!$C$11:$C$25,A20)*(1-$B$8)-$B$5,0)</f>
        <v/>
      </c>
      <c r="F20" s="53">
        <f>D20+E20</f>
        <v/>
      </c>
    </row>
    <row r="21" ht="13.5" customHeight="1">
      <c r="A21" s="10" t="n">
        <v>7</v>
      </c>
      <c r="B21" s="52">
        <f>(B20+(MIN(B20/$B$10,'NG Inputs'!$B$9)*($B$9-'NG Inputs'!$B$5-'NG Inputs'!$B$6-2*'NG Inputs'!$B$7*SQRT(MIN(B20/$B$10,'NG Inputs'!$B$9)/'NG Inputs'!$B$8))+MAX(B20-MIN(B20/$B$10,'NG Inputs'!$B$9)*$B$10,0)*'NG Inputs'!$B$10/2)*(1-$B$8))+(MIN((B20+(MIN(B20/$B$10,'NG Inputs'!$B$9)*($B$9-'NG Inputs'!$B$5-'NG Inputs'!$B$6-2*'NG Inputs'!$B$7*SQRT(MIN(B20/$B$10,'NG Inputs'!$B$9)/'NG Inputs'!$B$8))+MAX(B20-MIN(B20/$B$10,'NG Inputs'!$B$9)*$B$10,0)*'NG Inputs'!$B$10/2)*(1-$B$8))/$B$10,'NG Inputs'!$B$9)*($B$9-'NG Inputs'!$B$5-'NG Inputs'!$B$6-2*'NG Inputs'!$B$7*SQRT(MIN((B20+(MIN(B20/$B$10,'NG Inputs'!$B$9)*($B$9-'NG Inputs'!$B$5-'NG Inputs'!$B$6-2*'NG Inputs'!$B$7*SQRT(MIN(B20/$B$10,'NG Inputs'!$B$9)/'NG Inputs'!$B$8))+MAX(B20-MIN(B20/$B$10,'NG Inputs'!$B$9)*$B$10,0)*'NG Inputs'!$B$10/2)*(1-$B$8))/$B$10,'NG Inputs'!$B$9)/'NG Inputs'!$B$8))+MAX((B20+(MIN(B20/$B$10,'NG Inputs'!$B$9)*($B$9-'NG Inputs'!$B$5-'NG Inputs'!$B$6-2*'NG Inputs'!$B$7*SQRT(MIN(B20/$B$10,'NG Inputs'!$B$9)/'NG Inputs'!$B$8))+MAX(B20-MIN(B20/$B$10,'NG Inputs'!$B$9)*$B$10,0)*'NG Inputs'!$B$10/2)*(1-$B$8))-MIN((B20+(MIN(B20/$B$10,'NG Inputs'!$B$9)*($B$9-'NG Inputs'!$B$5-'NG Inputs'!$B$6-2*'NG Inputs'!$B$7*SQRT(MIN(B20/$B$10,'NG Inputs'!$B$9)/'NG Inputs'!$B$8))+MAX(B20-MIN(B20/$B$10,'NG Inputs'!$B$9)*$B$10,0)*'NG Inputs'!$B$10/2)*(1-$B$8))/$B$10,'NG Inputs'!$B$9)*$B$10,0)*'NG Inputs'!$B$10/2)*(1-$B$8)-INDEX('NG Scenarios'!$C$11:$C$25,A21)*(1-$B$8)</f>
        <v/>
      </c>
      <c r="C21" s="52">
        <f>IF(C20&lt;'NG Inputs'!$B$11,(C20+(MIN(C20/$B$10,'NG Inputs'!$B$9)*($B$9-'NG Inputs'!$B$5-'NG Inputs'!$B$6-2*'NG Inputs'!$B$7*SQRT(MIN(C20/$B$10,'NG Inputs'!$B$9)/'NG Inputs'!$B$8))+MAX(C20-MIN(C20/$B$10,'NG Inputs'!$B$9)*$B$10,0)*'NG Inputs'!$B$10/2)*(1-$B$8))+(MIN((C20+(MIN(C20/$B$10,'NG Inputs'!$B$9)*($B$9-'NG Inputs'!$B$5-'NG Inputs'!$B$6-2*'NG Inputs'!$B$7*SQRT(MIN(C20/$B$10,'NG Inputs'!$B$9)/'NG Inputs'!$B$8))+MAX(C20-MIN(C20/$B$10,'NG Inputs'!$B$9)*$B$10,0)*'NG Inputs'!$B$10/2)*(1-$B$8))/$B$10,'NG Inputs'!$B$9)*($B$9-'NG Inputs'!$B$5-'NG Inputs'!$B$6-2*'NG Inputs'!$B$7*SQRT(MIN((C20+(MIN(C20/$B$10,'NG Inputs'!$B$9)*($B$9-'NG Inputs'!$B$5-'NG Inputs'!$B$6-2*'NG Inputs'!$B$7*SQRT(MIN(C20/$B$10,'NG Inputs'!$B$9)/'NG Inputs'!$B$8))+MAX(C20-MIN(C20/$B$10,'NG Inputs'!$B$9)*$B$10,0)*'NG Inputs'!$B$10/2)*(1-$B$8))/$B$10,'NG Inputs'!$B$9)/'NG Inputs'!$B$8))+MAX((C20+(MIN(C20/$B$10,'NG Inputs'!$B$9)*($B$9-'NG Inputs'!$B$5-'NG Inputs'!$B$6-2*'NG Inputs'!$B$7*SQRT(MIN(C20/$B$10,'NG Inputs'!$B$9)/'NG Inputs'!$B$8))+MAX(C20-MIN(C20/$B$10,'NG Inputs'!$B$9)*$B$10,0)*'NG Inputs'!$B$10/2)*(1-$B$8))-MIN((C20+(MIN(C20/$B$10,'NG Inputs'!$B$9)*($B$9-'NG Inputs'!$B$5-'NG Inputs'!$B$6-2*'NG Inputs'!$B$7*SQRT(MIN(C20/$B$10,'NG Inputs'!$B$9)/'NG Inputs'!$B$8))+MAX(C20-MIN(C20/$B$10,'NG Inputs'!$B$9)*$B$10,0)*'NG Inputs'!$B$10/2)*(1-$B$8))/$B$10,'NG Inputs'!$B$9)*$B$10,0)*'NG Inputs'!$B$10/2)*(1-$B$8)-INDEX('NG Scenarios'!$C$11:$C$25,A21)*(1-$B$8),C20+(($B$6*C20-$B$7)*(12/18))*(1-$B$8))</f>
        <v/>
      </c>
      <c r="D21" s="52">
        <f>MIN((D20+(MIN(D20/$B$10,'NG Inputs'!$B$9)*($B$9-'NG Inputs'!$B$5-'NG Inputs'!$B$6-2*'NG Inputs'!$B$7*SQRT(MIN(D20/$B$10,'NG Inputs'!$B$9)/'NG Inputs'!$B$8))+MAX(D20-MIN(D20/$B$10,'NG Inputs'!$B$9)*$B$10,0)*'NG Inputs'!$B$10/2)*(1-$B$8))+(MIN((D20+(MIN(D20/$B$10,'NG Inputs'!$B$9)*($B$9-'NG Inputs'!$B$5-'NG Inputs'!$B$6-2*'NG Inputs'!$B$7*SQRT(MIN(D20/$B$10,'NG Inputs'!$B$9)/'NG Inputs'!$B$8))+MAX(D20-MIN(D20/$B$10,'NG Inputs'!$B$9)*$B$10,0)*'NG Inputs'!$B$10/2)*(1-$B$8))/$B$10,'NG Inputs'!$B$9)*($B$9-'NG Inputs'!$B$5-'NG Inputs'!$B$6-2*'NG Inputs'!$B$7*SQRT(MIN((D20+(MIN(D20/$B$10,'NG Inputs'!$B$9)*($B$9-'NG Inputs'!$B$5-'NG Inputs'!$B$6-2*'NG Inputs'!$B$7*SQRT(MIN(D20/$B$10,'NG Inputs'!$B$9)/'NG Inputs'!$B$8))+MAX(D20-MIN(D20/$B$10,'NG Inputs'!$B$9)*$B$10,0)*'NG Inputs'!$B$10/2)*(1-$B$8))/$B$10,'NG Inputs'!$B$9)/'NG Inputs'!$B$8))+MAX((D20+(MIN(D20/$B$10,'NG Inputs'!$B$9)*($B$9-'NG Inputs'!$B$5-'NG Inputs'!$B$6-2*'NG Inputs'!$B$7*SQRT(MIN(D20/$B$10,'NG Inputs'!$B$9)/'NG Inputs'!$B$8))+MAX(D20-MIN(D20/$B$10,'NG Inputs'!$B$9)*$B$10,0)*'NG Inputs'!$B$10/2)*(1-$B$8))-MIN((D20+(MIN(D20/$B$10,'NG Inputs'!$B$9)*($B$9-'NG Inputs'!$B$5-'NG Inputs'!$B$6-2*'NG Inputs'!$B$7*SQRT(MIN(D20/$B$10,'NG Inputs'!$B$9)/'NG Inputs'!$B$8))+MAX(D20-MIN(D20/$B$10,'NG Inputs'!$B$9)*$B$10,0)*'NG Inputs'!$B$10/2)*(1-$B$8))/$B$10,'NG Inputs'!$B$9)*$B$10,0)*'NG Inputs'!$B$10/2)*(1-$B$8)-INDEX('NG Scenarios'!$C$11:$C$25,A21)*(1-$B$8),$B$5)</f>
        <v/>
      </c>
      <c r="E21" s="52">
        <f>IF(E20&gt;0,E20+(($B$6*E20-$B$7)*(12/18))*(1-$B$8),0)+MAX((D20+(MIN(D20/$B$10,'NG Inputs'!$B$9)*($B$9-'NG Inputs'!$B$5-'NG Inputs'!$B$6-2*'NG Inputs'!$B$7*SQRT(MIN(D20/$B$10,'NG Inputs'!$B$9)/'NG Inputs'!$B$8))+MAX(D20-MIN(D20/$B$10,'NG Inputs'!$B$9)*$B$10,0)*'NG Inputs'!$B$10/2)*(1-$B$8))+(MIN((D20+(MIN(D20/$B$10,'NG Inputs'!$B$9)*($B$9-'NG Inputs'!$B$5-'NG Inputs'!$B$6-2*'NG Inputs'!$B$7*SQRT(MIN(D20/$B$10,'NG Inputs'!$B$9)/'NG Inputs'!$B$8))+MAX(D20-MIN(D20/$B$10,'NG Inputs'!$B$9)*$B$10,0)*'NG Inputs'!$B$10/2)*(1-$B$8))/$B$10,'NG Inputs'!$B$9)*($B$9-'NG Inputs'!$B$5-'NG Inputs'!$B$6-2*'NG Inputs'!$B$7*SQRT(MIN((D20+(MIN(D20/$B$10,'NG Inputs'!$B$9)*($B$9-'NG Inputs'!$B$5-'NG Inputs'!$B$6-2*'NG Inputs'!$B$7*SQRT(MIN(D20/$B$10,'NG Inputs'!$B$9)/'NG Inputs'!$B$8))+MAX(D20-MIN(D20/$B$10,'NG Inputs'!$B$9)*$B$10,0)*'NG Inputs'!$B$10/2)*(1-$B$8))/$B$10,'NG Inputs'!$B$9)/'NG Inputs'!$B$8))+MAX((D20+(MIN(D20/$B$10,'NG Inputs'!$B$9)*($B$9-'NG Inputs'!$B$5-'NG Inputs'!$B$6-2*'NG Inputs'!$B$7*SQRT(MIN(D20/$B$10,'NG Inputs'!$B$9)/'NG Inputs'!$B$8))+MAX(D20-MIN(D20/$B$10,'NG Inputs'!$B$9)*$B$10,0)*'NG Inputs'!$B$10/2)*(1-$B$8))-MIN((D20+(MIN(D20/$B$10,'NG Inputs'!$B$9)*($B$9-'NG Inputs'!$B$5-'NG Inputs'!$B$6-2*'NG Inputs'!$B$7*SQRT(MIN(D20/$B$10,'NG Inputs'!$B$9)/'NG Inputs'!$B$8))+MAX(D20-MIN(D20/$B$10,'NG Inputs'!$B$9)*$B$10,0)*'NG Inputs'!$B$10/2)*(1-$B$8))/$B$10,'NG Inputs'!$B$9)*$B$10,0)*'NG Inputs'!$B$10/2)*(1-$B$8)-INDEX('NG Scenarios'!$C$11:$C$25,A21)*(1-$B$8)-$B$5,0)</f>
        <v/>
      </c>
      <c r="F21" s="52">
        <f>D21+E21</f>
        <v/>
      </c>
    </row>
    <row r="22" ht="13.5" customHeight="1">
      <c r="A22" s="13" t="n">
        <v>8</v>
      </c>
      <c r="B22" s="53">
        <f>(B21+(MIN(B21/$B$10,'NG Inputs'!$B$9)*($B$9-'NG Inputs'!$B$5-'NG Inputs'!$B$6-2*'NG Inputs'!$B$7*SQRT(MIN(B21/$B$10,'NG Inputs'!$B$9)/'NG Inputs'!$B$8))+MAX(B21-MIN(B21/$B$10,'NG Inputs'!$B$9)*$B$10,0)*'NG Inputs'!$B$10/2)*(1-$B$8))+(MIN((B21+(MIN(B21/$B$10,'NG Inputs'!$B$9)*($B$9-'NG Inputs'!$B$5-'NG Inputs'!$B$6-2*'NG Inputs'!$B$7*SQRT(MIN(B21/$B$10,'NG Inputs'!$B$9)/'NG Inputs'!$B$8))+MAX(B21-MIN(B21/$B$10,'NG Inputs'!$B$9)*$B$10,0)*'NG Inputs'!$B$10/2)*(1-$B$8))/$B$10,'NG Inputs'!$B$9)*($B$9-'NG Inputs'!$B$5-'NG Inputs'!$B$6-2*'NG Inputs'!$B$7*SQRT(MIN((B21+(MIN(B21/$B$10,'NG Inputs'!$B$9)*($B$9-'NG Inputs'!$B$5-'NG Inputs'!$B$6-2*'NG Inputs'!$B$7*SQRT(MIN(B21/$B$10,'NG Inputs'!$B$9)/'NG Inputs'!$B$8))+MAX(B21-MIN(B21/$B$10,'NG Inputs'!$B$9)*$B$10,0)*'NG Inputs'!$B$10/2)*(1-$B$8))/$B$10,'NG Inputs'!$B$9)/'NG Inputs'!$B$8))+MAX((B21+(MIN(B21/$B$10,'NG Inputs'!$B$9)*($B$9-'NG Inputs'!$B$5-'NG Inputs'!$B$6-2*'NG Inputs'!$B$7*SQRT(MIN(B21/$B$10,'NG Inputs'!$B$9)/'NG Inputs'!$B$8))+MAX(B21-MIN(B21/$B$10,'NG Inputs'!$B$9)*$B$10,0)*'NG Inputs'!$B$10/2)*(1-$B$8))-MIN((B21+(MIN(B21/$B$10,'NG Inputs'!$B$9)*($B$9-'NG Inputs'!$B$5-'NG Inputs'!$B$6-2*'NG Inputs'!$B$7*SQRT(MIN(B21/$B$10,'NG Inputs'!$B$9)/'NG Inputs'!$B$8))+MAX(B21-MIN(B21/$B$10,'NG Inputs'!$B$9)*$B$10,0)*'NG Inputs'!$B$10/2)*(1-$B$8))/$B$10,'NG Inputs'!$B$9)*$B$10,0)*'NG Inputs'!$B$10/2)*(1-$B$8)-INDEX('NG Scenarios'!$C$11:$C$25,A22)*(1-$B$8)</f>
        <v/>
      </c>
      <c r="C22" s="53">
        <f>IF(C21&lt;'NG Inputs'!$B$11,(C21+(MIN(C21/$B$10,'NG Inputs'!$B$9)*($B$9-'NG Inputs'!$B$5-'NG Inputs'!$B$6-2*'NG Inputs'!$B$7*SQRT(MIN(C21/$B$10,'NG Inputs'!$B$9)/'NG Inputs'!$B$8))+MAX(C21-MIN(C21/$B$10,'NG Inputs'!$B$9)*$B$10,0)*'NG Inputs'!$B$10/2)*(1-$B$8))+(MIN((C21+(MIN(C21/$B$10,'NG Inputs'!$B$9)*($B$9-'NG Inputs'!$B$5-'NG Inputs'!$B$6-2*'NG Inputs'!$B$7*SQRT(MIN(C21/$B$10,'NG Inputs'!$B$9)/'NG Inputs'!$B$8))+MAX(C21-MIN(C21/$B$10,'NG Inputs'!$B$9)*$B$10,0)*'NG Inputs'!$B$10/2)*(1-$B$8))/$B$10,'NG Inputs'!$B$9)*($B$9-'NG Inputs'!$B$5-'NG Inputs'!$B$6-2*'NG Inputs'!$B$7*SQRT(MIN((C21+(MIN(C21/$B$10,'NG Inputs'!$B$9)*($B$9-'NG Inputs'!$B$5-'NG Inputs'!$B$6-2*'NG Inputs'!$B$7*SQRT(MIN(C21/$B$10,'NG Inputs'!$B$9)/'NG Inputs'!$B$8))+MAX(C21-MIN(C21/$B$10,'NG Inputs'!$B$9)*$B$10,0)*'NG Inputs'!$B$10/2)*(1-$B$8))/$B$10,'NG Inputs'!$B$9)/'NG Inputs'!$B$8))+MAX((C21+(MIN(C21/$B$10,'NG Inputs'!$B$9)*($B$9-'NG Inputs'!$B$5-'NG Inputs'!$B$6-2*'NG Inputs'!$B$7*SQRT(MIN(C21/$B$10,'NG Inputs'!$B$9)/'NG Inputs'!$B$8))+MAX(C21-MIN(C21/$B$10,'NG Inputs'!$B$9)*$B$10,0)*'NG Inputs'!$B$10/2)*(1-$B$8))-MIN((C21+(MIN(C21/$B$10,'NG Inputs'!$B$9)*($B$9-'NG Inputs'!$B$5-'NG Inputs'!$B$6-2*'NG Inputs'!$B$7*SQRT(MIN(C21/$B$10,'NG Inputs'!$B$9)/'NG Inputs'!$B$8))+MAX(C21-MIN(C21/$B$10,'NG Inputs'!$B$9)*$B$10,0)*'NG Inputs'!$B$10/2)*(1-$B$8))/$B$10,'NG Inputs'!$B$9)*$B$10,0)*'NG Inputs'!$B$10/2)*(1-$B$8)-INDEX('NG Scenarios'!$C$11:$C$25,A22)*(1-$B$8),C21+(($B$6*C21-$B$7)*(12/18))*(1-$B$8))</f>
        <v/>
      </c>
      <c r="D22" s="53">
        <f>MIN((D21+(MIN(D21/$B$10,'NG Inputs'!$B$9)*($B$9-'NG Inputs'!$B$5-'NG Inputs'!$B$6-2*'NG Inputs'!$B$7*SQRT(MIN(D21/$B$10,'NG Inputs'!$B$9)/'NG Inputs'!$B$8))+MAX(D21-MIN(D21/$B$10,'NG Inputs'!$B$9)*$B$10,0)*'NG Inputs'!$B$10/2)*(1-$B$8))+(MIN((D21+(MIN(D21/$B$10,'NG Inputs'!$B$9)*($B$9-'NG Inputs'!$B$5-'NG Inputs'!$B$6-2*'NG Inputs'!$B$7*SQRT(MIN(D21/$B$10,'NG Inputs'!$B$9)/'NG Inputs'!$B$8))+MAX(D21-MIN(D21/$B$10,'NG Inputs'!$B$9)*$B$10,0)*'NG Inputs'!$B$10/2)*(1-$B$8))/$B$10,'NG Inputs'!$B$9)*($B$9-'NG Inputs'!$B$5-'NG Inputs'!$B$6-2*'NG Inputs'!$B$7*SQRT(MIN((D21+(MIN(D21/$B$10,'NG Inputs'!$B$9)*($B$9-'NG Inputs'!$B$5-'NG Inputs'!$B$6-2*'NG Inputs'!$B$7*SQRT(MIN(D21/$B$10,'NG Inputs'!$B$9)/'NG Inputs'!$B$8))+MAX(D21-MIN(D21/$B$10,'NG Inputs'!$B$9)*$B$10,0)*'NG Inputs'!$B$10/2)*(1-$B$8))/$B$10,'NG Inputs'!$B$9)/'NG Inputs'!$B$8))+MAX((D21+(MIN(D21/$B$10,'NG Inputs'!$B$9)*($B$9-'NG Inputs'!$B$5-'NG Inputs'!$B$6-2*'NG Inputs'!$B$7*SQRT(MIN(D21/$B$10,'NG Inputs'!$B$9)/'NG Inputs'!$B$8))+MAX(D21-MIN(D21/$B$10,'NG Inputs'!$B$9)*$B$10,0)*'NG Inputs'!$B$10/2)*(1-$B$8))-MIN((D21+(MIN(D21/$B$10,'NG Inputs'!$B$9)*($B$9-'NG Inputs'!$B$5-'NG Inputs'!$B$6-2*'NG Inputs'!$B$7*SQRT(MIN(D21/$B$10,'NG Inputs'!$B$9)/'NG Inputs'!$B$8))+MAX(D21-MIN(D21/$B$10,'NG Inputs'!$B$9)*$B$10,0)*'NG Inputs'!$B$10/2)*(1-$B$8))/$B$10,'NG Inputs'!$B$9)*$B$10,0)*'NG Inputs'!$B$10/2)*(1-$B$8)-INDEX('NG Scenarios'!$C$11:$C$25,A22)*(1-$B$8),$B$5)</f>
        <v/>
      </c>
      <c r="E22" s="53">
        <f>IF(E21&gt;0,E21+(($B$6*E21-$B$7)*(12/18))*(1-$B$8),0)+MAX((D21+(MIN(D21/$B$10,'NG Inputs'!$B$9)*($B$9-'NG Inputs'!$B$5-'NG Inputs'!$B$6-2*'NG Inputs'!$B$7*SQRT(MIN(D21/$B$10,'NG Inputs'!$B$9)/'NG Inputs'!$B$8))+MAX(D21-MIN(D21/$B$10,'NG Inputs'!$B$9)*$B$10,0)*'NG Inputs'!$B$10/2)*(1-$B$8))+(MIN((D21+(MIN(D21/$B$10,'NG Inputs'!$B$9)*($B$9-'NG Inputs'!$B$5-'NG Inputs'!$B$6-2*'NG Inputs'!$B$7*SQRT(MIN(D21/$B$10,'NG Inputs'!$B$9)/'NG Inputs'!$B$8))+MAX(D21-MIN(D21/$B$10,'NG Inputs'!$B$9)*$B$10,0)*'NG Inputs'!$B$10/2)*(1-$B$8))/$B$10,'NG Inputs'!$B$9)*($B$9-'NG Inputs'!$B$5-'NG Inputs'!$B$6-2*'NG Inputs'!$B$7*SQRT(MIN((D21+(MIN(D21/$B$10,'NG Inputs'!$B$9)*($B$9-'NG Inputs'!$B$5-'NG Inputs'!$B$6-2*'NG Inputs'!$B$7*SQRT(MIN(D21/$B$10,'NG Inputs'!$B$9)/'NG Inputs'!$B$8))+MAX(D21-MIN(D21/$B$10,'NG Inputs'!$B$9)*$B$10,0)*'NG Inputs'!$B$10/2)*(1-$B$8))/$B$10,'NG Inputs'!$B$9)/'NG Inputs'!$B$8))+MAX((D21+(MIN(D21/$B$10,'NG Inputs'!$B$9)*($B$9-'NG Inputs'!$B$5-'NG Inputs'!$B$6-2*'NG Inputs'!$B$7*SQRT(MIN(D21/$B$10,'NG Inputs'!$B$9)/'NG Inputs'!$B$8))+MAX(D21-MIN(D21/$B$10,'NG Inputs'!$B$9)*$B$10,0)*'NG Inputs'!$B$10/2)*(1-$B$8))-MIN((D21+(MIN(D21/$B$10,'NG Inputs'!$B$9)*($B$9-'NG Inputs'!$B$5-'NG Inputs'!$B$6-2*'NG Inputs'!$B$7*SQRT(MIN(D21/$B$10,'NG Inputs'!$B$9)/'NG Inputs'!$B$8))+MAX(D21-MIN(D21/$B$10,'NG Inputs'!$B$9)*$B$10,0)*'NG Inputs'!$B$10/2)*(1-$B$8))/$B$10,'NG Inputs'!$B$9)*$B$10,0)*'NG Inputs'!$B$10/2)*(1-$B$8)-INDEX('NG Scenarios'!$C$11:$C$25,A22)*(1-$B$8)-$B$5,0)</f>
        <v/>
      </c>
      <c r="F22" s="53">
        <f>D22+E22</f>
        <v/>
      </c>
    </row>
    <row r="23" ht="13.5" customHeight="1">
      <c r="A23" s="10" t="n">
        <v>9</v>
      </c>
      <c r="B23" s="52">
        <f>(B22+(MIN(B22/$B$10,'NG Inputs'!$B$9)*($B$9-'NG Inputs'!$B$5-'NG Inputs'!$B$6-2*'NG Inputs'!$B$7*SQRT(MIN(B22/$B$10,'NG Inputs'!$B$9)/'NG Inputs'!$B$8))+MAX(B22-MIN(B22/$B$10,'NG Inputs'!$B$9)*$B$10,0)*'NG Inputs'!$B$10/2)*(1-$B$8))+(MIN((B22+(MIN(B22/$B$10,'NG Inputs'!$B$9)*($B$9-'NG Inputs'!$B$5-'NG Inputs'!$B$6-2*'NG Inputs'!$B$7*SQRT(MIN(B22/$B$10,'NG Inputs'!$B$9)/'NG Inputs'!$B$8))+MAX(B22-MIN(B22/$B$10,'NG Inputs'!$B$9)*$B$10,0)*'NG Inputs'!$B$10/2)*(1-$B$8))/$B$10,'NG Inputs'!$B$9)*($B$9-'NG Inputs'!$B$5-'NG Inputs'!$B$6-2*'NG Inputs'!$B$7*SQRT(MIN((B22+(MIN(B22/$B$10,'NG Inputs'!$B$9)*($B$9-'NG Inputs'!$B$5-'NG Inputs'!$B$6-2*'NG Inputs'!$B$7*SQRT(MIN(B22/$B$10,'NG Inputs'!$B$9)/'NG Inputs'!$B$8))+MAX(B22-MIN(B22/$B$10,'NG Inputs'!$B$9)*$B$10,0)*'NG Inputs'!$B$10/2)*(1-$B$8))/$B$10,'NG Inputs'!$B$9)/'NG Inputs'!$B$8))+MAX((B22+(MIN(B22/$B$10,'NG Inputs'!$B$9)*($B$9-'NG Inputs'!$B$5-'NG Inputs'!$B$6-2*'NG Inputs'!$B$7*SQRT(MIN(B22/$B$10,'NG Inputs'!$B$9)/'NG Inputs'!$B$8))+MAX(B22-MIN(B22/$B$10,'NG Inputs'!$B$9)*$B$10,0)*'NG Inputs'!$B$10/2)*(1-$B$8))-MIN((B22+(MIN(B22/$B$10,'NG Inputs'!$B$9)*($B$9-'NG Inputs'!$B$5-'NG Inputs'!$B$6-2*'NG Inputs'!$B$7*SQRT(MIN(B22/$B$10,'NG Inputs'!$B$9)/'NG Inputs'!$B$8))+MAX(B22-MIN(B22/$B$10,'NG Inputs'!$B$9)*$B$10,0)*'NG Inputs'!$B$10/2)*(1-$B$8))/$B$10,'NG Inputs'!$B$9)*$B$10,0)*'NG Inputs'!$B$10/2)*(1-$B$8)-INDEX('NG Scenarios'!$C$11:$C$25,A23)*(1-$B$8)</f>
        <v/>
      </c>
      <c r="C23" s="52">
        <f>IF(C22&lt;'NG Inputs'!$B$11,(C22+(MIN(C22/$B$10,'NG Inputs'!$B$9)*($B$9-'NG Inputs'!$B$5-'NG Inputs'!$B$6-2*'NG Inputs'!$B$7*SQRT(MIN(C22/$B$10,'NG Inputs'!$B$9)/'NG Inputs'!$B$8))+MAX(C22-MIN(C22/$B$10,'NG Inputs'!$B$9)*$B$10,0)*'NG Inputs'!$B$10/2)*(1-$B$8))+(MIN((C22+(MIN(C22/$B$10,'NG Inputs'!$B$9)*($B$9-'NG Inputs'!$B$5-'NG Inputs'!$B$6-2*'NG Inputs'!$B$7*SQRT(MIN(C22/$B$10,'NG Inputs'!$B$9)/'NG Inputs'!$B$8))+MAX(C22-MIN(C22/$B$10,'NG Inputs'!$B$9)*$B$10,0)*'NG Inputs'!$B$10/2)*(1-$B$8))/$B$10,'NG Inputs'!$B$9)*($B$9-'NG Inputs'!$B$5-'NG Inputs'!$B$6-2*'NG Inputs'!$B$7*SQRT(MIN((C22+(MIN(C22/$B$10,'NG Inputs'!$B$9)*($B$9-'NG Inputs'!$B$5-'NG Inputs'!$B$6-2*'NG Inputs'!$B$7*SQRT(MIN(C22/$B$10,'NG Inputs'!$B$9)/'NG Inputs'!$B$8))+MAX(C22-MIN(C22/$B$10,'NG Inputs'!$B$9)*$B$10,0)*'NG Inputs'!$B$10/2)*(1-$B$8))/$B$10,'NG Inputs'!$B$9)/'NG Inputs'!$B$8))+MAX((C22+(MIN(C22/$B$10,'NG Inputs'!$B$9)*($B$9-'NG Inputs'!$B$5-'NG Inputs'!$B$6-2*'NG Inputs'!$B$7*SQRT(MIN(C22/$B$10,'NG Inputs'!$B$9)/'NG Inputs'!$B$8))+MAX(C22-MIN(C22/$B$10,'NG Inputs'!$B$9)*$B$10,0)*'NG Inputs'!$B$10/2)*(1-$B$8))-MIN((C22+(MIN(C22/$B$10,'NG Inputs'!$B$9)*($B$9-'NG Inputs'!$B$5-'NG Inputs'!$B$6-2*'NG Inputs'!$B$7*SQRT(MIN(C22/$B$10,'NG Inputs'!$B$9)/'NG Inputs'!$B$8))+MAX(C22-MIN(C22/$B$10,'NG Inputs'!$B$9)*$B$10,0)*'NG Inputs'!$B$10/2)*(1-$B$8))/$B$10,'NG Inputs'!$B$9)*$B$10,0)*'NG Inputs'!$B$10/2)*(1-$B$8)-INDEX('NG Scenarios'!$C$11:$C$25,A23)*(1-$B$8),C22+(($B$6*C22-$B$7)*(12/18))*(1-$B$8))</f>
        <v/>
      </c>
      <c r="D23" s="52">
        <f>MIN((D22+(MIN(D22/$B$10,'NG Inputs'!$B$9)*($B$9-'NG Inputs'!$B$5-'NG Inputs'!$B$6-2*'NG Inputs'!$B$7*SQRT(MIN(D22/$B$10,'NG Inputs'!$B$9)/'NG Inputs'!$B$8))+MAX(D22-MIN(D22/$B$10,'NG Inputs'!$B$9)*$B$10,0)*'NG Inputs'!$B$10/2)*(1-$B$8))+(MIN((D22+(MIN(D22/$B$10,'NG Inputs'!$B$9)*($B$9-'NG Inputs'!$B$5-'NG Inputs'!$B$6-2*'NG Inputs'!$B$7*SQRT(MIN(D22/$B$10,'NG Inputs'!$B$9)/'NG Inputs'!$B$8))+MAX(D22-MIN(D22/$B$10,'NG Inputs'!$B$9)*$B$10,0)*'NG Inputs'!$B$10/2)*(1-$B$8))/$B$10,'NG Inputs'!$B$9)*($B$9-'NG Inputs'!$B$5-'NG Inputs'!$B$6-2*'NG Inputs'!$B$7*SQRT(MIN((D22+(MIN(D22/$B$10,'NG Inputs'!$B$9)*($B$9-'NG Inputs'!$B$5-'NG Inputs'!$B$6-2*'NG Inputs'!$B$7*SQRT(MIN(D22/$B$10,'NG Inputs'!$B$9)/'NG Inputs'!$B$8))+MAX(D22-MIN(D22/$B$10,'NG Inputs'!$B$9)*$B$10,0)*'NG Inputs'!$B$10/2)*(1-$B$8))/$B$10,'NG Inputs'!$B$9)/'NG Inputs'!$B$8))+MAX((D22+(MIN(D22/$B$10,'NG Inputs'!$B$9)*($B$9-'NG Inputs'!$B$5-'NG Inputs'!$B$6-2*'NG Inputs'!$B$7*SQRT(MIN(D22/$B$10,'NG Inputs'!$B$9)/'NG Inputs'!$B$8))+MAX(D22-MIN(D22/$B$10,'NG Inputs'!$B$9)*$B$10,0)*'NG Inputs'!$B$10/2)*(1-$B$8))-MIN((D22+(MIN(D22/$B$10,'NG Inputs'!$B$9)*($B$9-'NG Inputs'!$B$5-'NG Inputs'!$B$6-2*'NG Inputs'!$B$7*SQRT(MIN(D22/$B$10,'NG Inputs'!$B$9)/'NG Inputs'!$B$8))+MAX(D22-MIN(D22/$B$10,'NG Inputs'!$B$9)*$B$10,0)*'NG Inputs'!$B$10/2)*(1-$B$8))/$B$10,'NG Inputs'!$B$9)*$B$10,0)*'NG Inputs'!$B$10/2)*(1-$B$8)-INDEX('NG Scenarios'!$C$11:$C$25,A23)*(1-$B$8),$B$5)</f>
        <v/>
      </c>
      <c r="E23" s="52">
        <f>IF(E22&gt;0,E22+(($B$6*E22-$B$7)*(12/18))*(1-$B$8),0)+MAX((D22+(MIN(D22/$B$10,'NG Inputs'!$B$9)*($B$9-'NG Inputs'!$B$5-'NG Inputs'!$B$6-2*'NG Inputs'!$B$7*SQRT(MIN(D22/$B$10,'NG Inputs'!$B$9)/'NG Inputs'!$B$8))+MAX(D22-MIN(D22/$B$10,'NG Inputs'!$B$9)*$B$10,0)*'NG Inputs'!$B$10/2)*(1-$B$8))+(MIN((D22+(MIN(D22/$B$10,'NG Inputs'!$B$9)*($B$9-'NG Inputs'!$B$5-'NG Inputs'!$B$6-2*'NG Inputs'!$B$7*SQRT(MIN(D22/$B$10,'NG Inputs'!$B$9)/'NG Inputs'!$B$8))+MAX(D22-MIN(D22/$B$10,'NG Inputs'!$B$9)*$B$10,0)*'NG Inputs'!$B$10/2)*(1-$B$8))/$B$10,'NG Inputs'!$B$9)*($B$9-'NG Inputs'!$B$5-'NG Inputs'!$B$6-2*'NG Inputs'!$B$7*SQRT(MIN((D22+(MIN(D22/$B$10,'NG Inputs'!$B$9)*($B$9-'NG Inputs'!$B$5-'NG Inputs'!$B$6-2*'NG Inputs'!$B$7*SQRT(MIN(D22/$B$10,'NG Inputs'!$B$9)/'NG Inputs'!$B$8))+MAX(D22-MIN(D22/$B$10,'NG Inputs'!$B$9)*$B$10,0)*'NG Inputs'!$B$10/2)*(1-$B$8))/$B$10,'NG Inputs'!$B$9)/'NG Inputs'!$B$8))+MAX((D22+(MIN(D22/$B$10,'NG Inputs'!$B$9)*($B$9-'NG Inputs'!$B$5-'NG Inputs'!$B$6-2*'NG Inputs'!$B$7*SQRT(MIN(D22/$B$10,'NG Inputs'!$B$9)/'NG Inputs'!$B$8))+MAX(D22-MIN(D22/$B$10,'NG Inputs'!$B$9)*$B$10,0)*'NG Inputs'!$B$10/2)*(1-$B$8))-MIN((D22+(MIN(D22/$B$10,'NG Inputs'!$B$9)*($B$9-'NG Inputs'!$B$5-'NG Inputs'!$B$6-2*'NG Inputs'!$B$7*SQRT(MIN(D22/$B$10,'NG Inputs'!$B$9)/'NG Inputs'!$B$8))+MAX(D22-MIN(D22/$B$10,'NG Inputs'!$B$9)*$B$10,0)*'NG Inputs'!$B$10/2)*(1-$B$8))/$B$10,'NG Inputs'!$B$9)*$B$10,0)*'NG Inputs'!$B$10/2)*(1-$B$8)-INDEX('NG Scenarios'!$C$11:$C$25,A23)*(1-$B$8)-$B$5,0)</f>
        <v/>
      </c>
      <c r="F23" s="52">
        <f>D23+E23</f>
        <v/>
      </c>
    </row>
    <row r="24" ht="13.5" customHeight="1">
      <c r="A24" s="13" t="n">
        <v>10</v>
      </c>
      <c r="B24" s="53">
        <f>(B23+(MIN(B23/$B$10,'NG Inputs'!$B$9)*($B$9-'NG Inputs'!$B$5-'NG Inputs'!$B$6-2*'NG Inputs'!$B$7*SQRT(MIN(B23/$B$10,'NG Inputs'!$B$9)/'NG Inputs'!$B$8))+MAX(B23-MIN(B23/$B$10,'NG Inputs'!$B$9)*$B$10,0)*'NG Inputs'!$B$10/2)*(1-$B$8))+(MIN((B23+(MIN(B23/$B$10,'NG Inputs'!$B$9)*($B$9-'NG Inputs'!$B$5-'NG Inputs'!$B$6-2*'NG Inputs'!$B$7*SQRT(MIN(B23/$B$10,'NG Inputs'!$B$9)/'NG Inputs'!$B$8))+MAX(B23-MIN(B23/$B$10,'NG Inputs'!$B$9)*$B$10,0)*'NG Inputs'!$B$10/2)*(1-$B$8))/$B$10,'NG Inputs'!$B$9)*($B$9-'NG Inputs'!$B$5-'NG Inputs'!$B$6-2*'NG Inputs'!$B$7*SQRT(MIN((B23+(MIN(B23/$B$10,'NG Inputs'!$B$9)*($B$9-'NG Inputs'!$B$5-'NG Inputs'!$B$6-2*'NG Inputs'!$B$7*SQRT(MIN(B23/$B$10,'NG Inputs'!$B$9)/'NG Inputs'!$B$8))+MAX(B23-MIN(B23/$B$10,'NG Inputs'!$B$9)*$B$10,0)*'NG Inputs'!$B$10/2)*(1-$B$8))/$B$10,'NG Inputs'!$B$9)/'NG Inputs'!$B$8))+MAX((B23+(MIN(B23/$B$10,'NG Inputs'!$B$9)*($B$9-'NG Inputs'!$B$5-'NG Inputs'!$B$6-2*'NG Inputs'!$B$7*SQRT(MIN(B23/$B$10,'NG Inputs'!$B$9)/'NG Inputs'!$B$8))+MAX(B23-MIN(B23/$B$10,'NG Inputs'!$B$9)*$B$10,0)*'NG Inputs'!$B$10/2)*(1-$B$8))-MIN((B23+(MIN(B23/$B$10,'NG Inputs'!$B$9)*($B$9-'NG Inputs'!$B$5-'NG Inputs'!$B$6-2*'NG Inputs'!$B$7*SQRT(MIN(B23/$B$10,'NG Inputs'!$B$9)/'NG Inputs'!$B$8))+MAX(B23-MIN(B23/$B$10,'NG Inputs'!$B$9)*$B$10,0)*'NG Inputs'!$B$10/2)*(1-$B$8))/$B$10,'NG Inputs'!$B$9)*$B$10,0)*'NG Inputs'!$B$10/2)*(1-$B$8)-INDEX('NG Scenarios'!$C$11:$C$25,A24)*(1-$B$8)</f>
        <v/>
      </c>
      <c r="C24" s="53">
        <f>IF(C23&lt;'NG Inputs'!$B$11,(C23+(MIN(C23/$B$10,'NG Inputs'!$B$9)*($B$9-'NG Inputs'!$B$5-'NG Inputs'!$B$6-2*'NG Inputs'!$B$7*SQRT(MIN(C23/$B$10,'NG Inputs'!$B$9)/'NG Inputs'!$B$8))+MAX(C23-MIN(C23/$B$10,'NG Inputs'!$B$9)*$B$10,0)*'NG Inputs'!$B$10/2)*(1-$B$8))+(MIN((C23+(MIN(C23/$B$10,'NG Inputs'!$B$9)*($B$9-'NG Inputs'!$B$5-'NG Inputs'!$B$6-2*'NG Inputs'!$B$7*SQRT(MIN(C23/$B$10,'NG Inputs'!$B$9)/'NG Inputs'!$B$8))+MAX(C23-MIN(C23/$B$10,'NG Inputs'!$B$9)*$B$10,0)*'NG Inputs'!$B$10/2)*(1-$B$8))/$B$10,'NG Inputs'!$B$9)*($B$9-'NG Inputs'!$B$5-'NG Inputs'!$B$6-2*'NG Inputs'!$B$7*SQRT(MIN((C23+(MIN(C23/$B$10,'NG Inputs'!$B$9)*($B$9-'NG Inputs'!$B$5-'NG Inputs'!$B$6-2*'NG Inputs'!$B$7*SQRT(MIN(C23/$B$10,'NG Inputs'!$B$9)/'NG Inputs'!$B$8))+MAX(C23-MIN(C23/$B$10,'NG Inputs'!$B$9)*$B$10,0)*'NG Inputs'!$B$10/2)*(1-$B$8))/$B$10,'NG Inputs'!$B$9)/'NG Inputs'!$B$8))+MAX((C23+(MIN(C23/$B$10,'NG Inputs'!$B$9)*($B$9-'NG Inputs'!$B$5-'NG Inputs'!$B$6-2*'NG Inputs'!$B$7*SQRT(MIN(C23/$B$10,'NG Inputs'!$B$9)/'NG Inputs'!$B$8))+MAX(C23-MIN(C23/$B$10,'NG Inputs'!$B$9)*$B$10,0)*'NG Inputs'!$B$10/2)*(1-$B$8))-MIN((C23+(MIN(C23/$B$10,'NG Inputs'!$B$9)*($B$9-'NG Inputs'!$B$5-'NG Inputs'!$B$6-2*'NG Inputs'!$B$7*SQRT(MIN(C23/$B$10,'NG Inputs'!$B$9)/'NG Inputs'!$B$8))+MAX(C23-MIN(C23/$B$10,'NG Inputs'!$B$9)*$B$10,0)*'NG Inputs'!$B$10/2)*(1-$B$8))/$B$10,'NG Inputs'!$B$9)*$B$10,0)*'NG Inputs'!$B$10/2)*(1-$B$8)-INDEX('NG Scenarios'!$C$11:$C$25,A24)*(1-$B$8),C23+(($B$6*C23-$B$7)*(12/18))*(1-$B$8))</f>
        <v/>
      </c>
      <c r="D24" s="53">
        <f>MIN((D23+(MIN(D23/$B$10,'NG Inputs'!$B$9)*($B$9-'NG Inputs'!$B$5-'NG Inputs'!$B$6-2*'NG Inputs'!$B$7*SQRT(MIN(D23/$B$10,'NG Inputs'!$B$9)/'NG Inputs'!$B$8))+MAX(D23-MIN(D23/$B$10,'NG Inputs'!$B$9)*$B$10,0)*'NG Inputs'!$B$10/2)*(1-$B$8))+(MIN((D23+(MIN(D23/$B$10,'NG Inputs'!$B$9)*($B$9-'NG Inputs'!$B$5-'NG Inputs'!$B$6-2*'NG Inputs'!$B$7*SQRT(MIN(D23/$B$10,'NG Inputs'!$B$9)/'NG Inputs'!$B$8))+MAX(D23-MIN(D23/$B$10,'NG Inputs'!$B$9)*$B$10,0)*'NG Inputs'!$B$10/2)*(1-$B$8))/$B$10,'NG Inputs'!$B$9)*($B$9-'NG Inputs'!$B$5-'NG Inputs'!$B$6-2*'NG Inputs'!$B$7*SQRT(MIN((D23+(MIN(D23/$B$10,'NG Inputs'!$B$9)*($B$9-'NG Inputs'!$B$5-'NG Inputs'!$B$6-2*'NG Inputs'!$B$7*SQRT(MIN(D23/$B$10,'NG Inputs'!$B$9)/'NG Inputs'!$B$8))+MAX(D23-MIN(D23/$B$10,'NG Inputs'!$B$9)*$B$10,0)*'NG Inputs'!$B$10/2)*(1-$B$8))/$B$10,'NG Inputs'!$B$9)/'NG Inputs'!$B$8))+MAX((D23+(MIN(D23/$B$10,'NG Inputs'!$B$9)*($B$9-'NG Inputs'!$B$5-'NG Inputs'!$B$6-2*'NG Inputs'!$B$7*SQRT(MIN(D23/$B$10,'NG Inputs'!$B$9)/'NG Inputs'!$B$8))+MAX(D23-MIN(D23/$B$10,'NG Inputs'!$B$9)*$B$10,0)*'NG Inputs'!$B$10/2)*(1-$B$8))-MIN((D23+(MIN(D23/$B$10,'NG Inputs'!$B$9)*($B$9-'NG Inputs'!$B$5-'NG Inputs'!$B$6-2*'NG Inputs'!$B$7*SQRT(MIN(D23/$B$10,'NG Inputs'!$B$9)/'NG Inputs'!$B$8))+MAX(D23-MIN(D23/$B$10,'NG Inputs'!$B$9)*$B$10,0)*'NG Inputs'!$B$10/2)*(1-$B$8))/$B$10,'NG Inputs'!$B$9)*$B$10,0)*'NG Inputs'!$B$10/2)*(1-$B$8)-INDEX('NG Scenarios'!$C$11:$C$25,A24)*(1-$B$8),$B$5)</f>
        <v/>
      </c>
      <c r="E24" s="53">
        <f>IF(E23&gt;0,E23+(($B$6*E23-$B$7)*(12/18))*(1-$B$8),0)+MAX((D23+(MIN(D23/$B$10,'NG Inputs'!$B$9)*($B$9-'NG Inputs'!$B$5-'NG Inputs'!$B$6-2*'NG Inputs'!$B$7*SQRT(MIN(D23/$B$10,'NG Inputs'!$B$9)/'NG Inputs'!$B$8))+MAX(D23-MIN(D23/$B$10,'NG Inputs'!$B$9)*$B$10,0)*'NG Inputs'!$B$10/2)*(1-$B$8))+(MIN((D23+(MIN(D23/$B$10,'NG Inputs'!$B$9)*($B$9-'NG Inputs'!$B$5-'NG Inputs'!$B$6-2*'NG Inputs'!$B$7*SQRT(MIN(D23/$B$10,'NG Inputs'!$B$9)/'NG Inputs'!$B$8))+MAX(D23-MIN(D23/$B$10,'NG Inputs'!$B$9)*$B$10,0)*'NG Inputs'!$B$10/2)*(1-$B$8))/$B$10,'NG Inputs'!$B$9)*($B$9-'NG Inputs'!$B$5-'NG Inputs'!$B$6-2*'NG Inputs'!$B$7*SQRT(MIN((D23+(MIN(D23/$B$10,'NG Inputs'!$B$9)*($B$9-'NG Inputs'!$B$5-'NG Inputs'!$B$6-2*'NG Inputs'!$B$7*SQRT(MIN(D23/$B$10,'NG Inputs'!$B$9)/'NG Inputs'!$B$8))+MAX(D23-MIN(D23/$B$10,'NG Inputs'!$B$9)*$B$10,0)*'NG Inputs'!$B$10/2)*(1-$B$8))/$B$10,'NG Inputs'!$B$9)/'NG Inputs'!$B$8))+MAX((D23+(MIN(D23/$B$10,'NG Inputs'!$B$9)*($B$9-'NG Inputs'!$B$5-'NG Inputs'!$B$6-2*'NG Inputs'!$B$7*SQRT(MIN(D23/$B$10,'NG Inputs'!$B$9)/'NG Inputs'!$B$8))+MAX(D23-MIN(D23/$B$10,'NG Inputs'!$B$9)*$B$10,0)*'NG Inputs'!$B$10/2)*(1-$B$8))-MIN((D23+(MIN(D23/$B$10,'NG Inputs'!$B$9)*($B$9-'NG Inputs'!$B$5-'NG Inputs'!$B$6-2*'NG Inputs'!$B$7*SQRT(MIN(D23/$B$10,'NG Inputs'!$B$9)/'NG Inputs'!$B$8))+MAX(D23-MIN(D23/$B$10,'NG Inputs'!$B$9)*$B$10,0)*'NG Inputs'!$B$10/2)*(1-$B$8))/$B$10,'NG Inputs'!$B$9)*$B$10,0)*'NG Inputs'!$B$10/2)*(1-$B$8)-INDEX('NG Scenarios'!$C$11:$C$25,A24)*(1-$B$8)-$B$5,0)</f>
        <v/>
      </c>
      <c r="F24" s="53">
        <f>D24+E24</f>
        <v/>
      </c>
    </row>
    <row r="25" ht="13.5" customHeight="1">
      <c r="A25" s="10" t="n">
        <v>11</v>
      </c>
      <c r="B25" s="52">
        <f>(B24+(MIN(B24/$B$10,'NG Inputs'!$B$9)*($B$9-'NG Inputs'!$B$5-'NG Inputs'!$B$6-2*'NG Inputs'!$B$7*SQRT(MIN(B24/$B$10,'NG Inputs'!$B$9)/'NG Inputs'!$B$8))+MAX(B24-MIN(B24/$B$10,'NG Inputs'!$B$9)*$B$10,0)*'NG Inputs'!$B$10/2)*(1-$B$8))+(MIN((B24+(MIN(B24/$B$10,'NG Inputs'!$B$9)*($B$9-'NG Inputs'!$B$5-'NG Inputs'!$B$6-2*'NG Inputs'!$B$7*SQRT(MIN(B24/$B$10,'NG Inputs'!$B$9)/'NG Inputs'!$B$8))+MAX(B24-MIN(B24/$B$10,'NG Inputs'!$B$9)*$B$10,0)*'NG Inputs'!$B$10/2)*(1-$B$8))/$B$10,'NG Inputs'!$B$9)*($B$9-'NG Inputs'!$B$5-'NG Inputs'!$B$6-2*'NG Inputs'!$B$7*SQRT(MIN((B24+(MIN(B24/$B$10,'NG Inputs'!$B$9)*($B$9-'NG Inputs'!$B$5-'NG Inputs'!$B$6-2*'NG Inputs'!$B$7*SQRT(MIN(B24/$B$10,'NG Inputs'!$B$9)/'NG Inputs'!$B$8))+MAX(B24-MIN(B24/$B$10,'NG Inputs'!$B$9)*$B$10,0)*'NG Inputs'!$B$10/2)*(1-$B$8))/$B$10,'NG Inputs'!$B$9)/'NG Inputs'!$B$8))+MAX((B24+(MIN(B24/$B$10,'NG Inputs'!$B$9)*($B$9-'NG Inputs'!$B$5-'NG Inputs'!$B$6-2*'NG Inputs'!$B$7*SQRT(MIN(B24/$B$10,'NG Inputs'!$B$9)/'NG Inputs'!$B$8))+MAX(B24-MIN(B24/$B$10,'NG Inputs'!$B$9)*$B$10,0)*'NG Inputs'!$B$10/2)*(1-$B$8))-MIN((B24+(MIN(B24/$B$10,'NG Inputs'!$B$9)*($B$9-'NG Inputs'!$B$5-'NG Inputs'!$B$6-2*'NG Inputs'!$B$7*SQRT(MIN(B24/$B$10,'NG Inputs'!$B$9)/'NG Inputs'!$B$8))+MAX(B24-MIN(B24/$B$10,'NG Inputs'!$B$9)*$B$10,0)*'NG Inputs'!$B$10/2)*(1-$B$8))/$B$10,'NG Inputs'!$B$9)*$B$10,0)*'NG Inputs'!$B$10/2)*(1-$B$8)-INDEX('NG Scenarios'!$C$11:$C$25,A25)*(1-$B$8)</f>
        <v/>
      </c>
      <c r="C25" s="52">
        <f>IF(C24&lt;'NG Inputs'!$B$11,(C24+(MIN(C24/$B$10,'NG Inputs'!$B$9)*($B$9-'NG Inputs'!$B$5-'NG Inputs'!$B$6-2*'NG Inputs'!$B$7*SQRT(MIN(C24/$B$10,'NG Inputs'!$B$9)/'NG Inputs'!$B$8))+MAX(C24-MIN(C24/$B$10,'NG Inputs'!$B$9)*$B$10,0)*'NG Inputs'!$B$10/2)*(1-$B$8))+(MIN((C24+(MIN(C24/$B$10,'NG Inputs'!$B$9)*($B$9-'NG Inputs'!$B$5-'NG Inputs'!$B$6-2*'NG Inputs'!$B$7*SQRT(MIN(C24/$B$10,'NG Inputs'!$B$9)/'NG Inputs'!$B$8))+MAX(C24-MIN(C24/$B$10,'NG Inputs'!$B$9)*$B$10,0)*'NG Inputs'!$B$10/2)*(1-$B$8))/$B$10,'NG Inputs'!$B$9)*($B$9-'NG Inputs'!$B$5-'NG Inputs'!$B$6-2*'NG Inputs'!$B$7*SQRT(MIN((C24+(MIN(C24/$B$10,'NG Inputs'!$B$9)*($B$9-'NG Inputs'!$B$5-'NG Inputs'!$B$6-2*'NG Inputs'!$B$7*SQRT(MIN(C24/$B$10,'NG Inputs'!$B$9)/'NG Inputs'!$B$8))+MAX(C24-MIN(C24/$B$10,'NG Inputs'!$B$9)*$B$10,0)*'NG Inputs'!$B$10/2)*(1-$B$8))/$B$10,'NG Inputs'!$B$9)/'NG Inputs'!$B$8))+MAX((C24+(MIN(C24/$B$10,'NG Inputs'!$B$9)*($B$9-'NG Inputs'!$B$5-'NG Inputs'!$B$6-2*'NG Inputs'!$B$7*SQRT(MIN(C24/$B$10,'NG Inputs'!$B$9)/'NG Inputs'!$B$8))+MAX(C24-MIN(C24/$B$10,'NG Inputs'!$B$9)*$B$10,0)*'NG Inputs'!$B$10/2)*(1-$B$8))-MIN((C24+(MIN(C24/$B$10,'NG Inputs'!$B$9)*($B$9-'NG Inputs'!$B$5-'NG Inputs'!$B$6-2*'NG Inputs'!$B$7*SQRT(MIN(C24/$B$10,'NG Inputs'!$B$9)/'NG Inputs'!$B$8))+MAX(C24-MIN(C24/$B$10,'NG Inputs'!$B$9)*$B$10,0)*'NG Inputs'!$B$10/2)*(1-$B$8))/$B$10,'NG Inputs'!$B$9)*$B$10,0)*'NG Inputs'!$B$10/2)*(1-$B$8)-INDEX('NG Scenarios'!$C$11:$C$25,A25)*(1-$B$8),C24+(($B$6*C24-$B$7)*(12/18))*(1-$B$8))</f>
        <v/>
      </c>
      <c r="D25" s="52">
        <f>MIN((D24+(MIN(D24/$B$10,'NG Inputs'!$B$9)*($B$9-'NG Inputs'!$B$5-'NG Inputs'!$B$6-2*'NG Inputs'!$B$7*SQRT(MIN(D24/$B$10,'NG Inputs'!$B$9)/'NG Inputs'!$B$8))+MAX(D24-MIN(D24/$B$10,'NG Inputs'!$B$9)*$B$10,0)*'NG Inputs'!$B$10/2)*(1-$B$8))+(MIN((D24+(MIN(D24/$B$10,'NG Inputs'!$B$9)*($B$9-'NG Inputs'!$B$5-'NG Inputs'!$B$6-2*'NG Inputs'!$B$7*SQRT(MIN(D24/$B$10,'NG Inputs'!$B$9)/'NG Inputs'!$B$8))+MAX(D24-MIN(D24/$B$10,'NG Inputs'!$B$9)*$B$10,0)*'NG Inputs'!$B$10/2)*(1-$B$8))/$B$10,'NG Inputs'!$B$9)*($B$9-'NG Inputs'!$B$5-'NG Inputs'!$B$6-2*'NG Inputs'!$B$7*SQRT(MIN((D24+(MIN(D24/$B$10,'NG Inputs'!$B$9)*($B$9-'NG Inputs'!$B$5-'NG Inputs'!$B$6-2*'NG Inputs'!$B$7*SQRT(MIN(D24/$B$10,'NG Inputs'!$B$9)/'NG Inputs'!$B$8))+MAX(D24-MIN(D24/$B$10,'NG Inputs'!$B$9)*$B$10,0)*'NG Inputs'!$B$10/2)*(1-$B$8))/$B$10,'NG Inputs'!$B$9)/'NG Inputs'!$B$8))+MAX((D24+(MIN(D24/$B$10,'NG Inputs'!$B$9)*($B$9-'NG Inputs'!$B$5-'NG Inputs'!$B$6-2*'NG Inputs'!$B$7*SQRT(MIN(D24/$B$10,'NG Inputs'!$B$9)/'NG Inputs'!$B$8))+MAX(D24-MIN(D24/$B$10,'NG Inputs'!$B$9)*$B$10,0)*'NG Inputs'!$B$10/2)*(1-$B$8))-MIN((D24+(MIN(D24/$B$10,'NG Inputs'!$B$9)*($B$9-'NG Inputs'!$B$5-'NG Inputs'!$B$6-2*'NG Inputs'!$B$7*SQRT(MIN(D24/$B$10,'NG Inputs'!$B$9)/'NG Inputs'!$B$8))+MAX(D24-MIN(D24/$B$10,'NG Inputs'!$B$9)*$B$10,0)*'NG Inputs'!$B$10/2)*(1-$B$8))/$B$10,'NG Inputs'!$B$9)*$B$10,0)*'NG Inputs'!$B$10/2)*(1-$B$8)-INDEX('NG Scenarios'!$C$11:$C$25,A25)*(1-$B$8),$B$5)</f>
        <v/>
      </c>
      <c r="E25" s="52">
        <f>IF(E24&gt;0,E24+(($B$6*E24-$B$7)*(12/18))*(1-$B$8),0)+MAX((D24+(MIN(D24/$B$10,'NG Inputs'!$B$9)*($B$9-'NG Inputs'!$B$5-'NG Inputs'!$B$6-2*'NG Inputs'!$B$7*SQRT(MIN(D24/$B$10,'NG Inputs'!$B$9)/'NG Inputs'!$B$8))+MAX(D24-MIN(D24/$B$10,'NG Inputs'!$B$9)*$B$10,0)*'NG Inputs'!$B$10/2)*(1-$B$8))+(MIN((D24+(MIN(D24/$B$10,'NG Inputs'!$B$9)*($B$9-'NG Inputs'!$B$5-'NG Inputs'!$B$6-2*'NG Inputs'!$B$7*SQRT(MIN(D24/$B$10,'NG Inputs'!$B$9)/'NG Inputs'!$B$8))+MAX(D24-MIN(D24/$B$10,'NG Inputs'!$B$9)*$B$10,0)*'NG Inputs'!$B$10/2)*(1-$B$8))/$B$10,'NG Inputs'!$B$9)*($B$9-'NG Inputs'!$B$5-'NG Inputs'!$B$6-2*'NG Inputs'!$B$7*SQRT(MIN((D24+(MIN(D24/$B$10,'NG Inputs'!$B$9)*($B$9-'NG Inputs'!$B$5-'NG Inputs'!$B$6-2*'NG Inputs'!$B$7*SQRT(MIN(D24/$B$10,'NG Inputs'!$B$9)/'NG Inputs'!$B$8))+MAX(D24-MIN(D24/$B$10,'NG Inputs'!$B$9)*$B$10,0)*'NG Inputs'!$B$10/2)*(1-$B$8))/$B$10,'NG Inputs'!$B$9)/'NG Inputs'!$B$8))+MAX((D24+(MIN(D24/$B$10,'NG Inputs'!$B$9)*($B$9-'NG Inputs'!$B$5-'NG Inputs'!$B$6-2*'NG Inputs'!$B$7*SQRT(MIN(D24/$B$10,'NG Inputs'!$B$9)/'NG Inputs'!$B$8))+MAX(D24-MIN(D24/$B$10,'NG Inputs'!$B$9)*$B$10,0)*'NG Inputs'!$B$10/2)*(1-$B$8))-MIN((D24+(MIN(D24/$B$10,'NG Inputs'!$B$9)*($B$9-'NG Inputs'!$B$5-'NG Inputs'!$B$6-2*'NG Inputs'!$B$7*SQRT(MIN(D24/$B$10,'NG Inputs'!$B$9)/'NG Inputs'!$B$8))+MAX(D24-MIN(D24/$B$10,'NG Inputs'!$B$9)*$B$10,0)*'NG Inputs'!$B$10/2)*(1-$B$8))/$B$10,'NG Inputs'!$B$9)*$B$10,0)*'NG Inputs'!$B$10/2)*(1-$B$8)-INDEX('NG Scenarios'!$C$11:$C$25,A25)*(1-$B$8)-$B$5,0)</f>
        <v/>
      </c>
      <c r="F25" s="52">
        <f>D25+E25</f>
        <v/>
      </c>
    </row>
    <row r="26" ht="13.5" customHeight="1">
      <c r="A26" s="13" t="n">
        <v>12</v>
      </c>
      <c r="B26" s="53">
        <f>(B25+(MIN(B25/$B$10,'NG Inputs'!$B$9)*($B$9-'NG Inputs'!$B$5-'NG Inputs'!$B$6-2*'NG Inputs'!$B$7*SQRT(MIN(B25/$B$10,'NG Inputs'!$B$9)/'NG Inputs'!$B$8))+MAX(B25-MIN(B25/$B$10,'NG Inputs'!$B$9)*$B$10,0)*'NG Inputs'!$B$10/2)*(1-$B$8))+(MIN((B25+(MIN(B25/$B$10,'NG Inputs'!$B$9)*($B$9-'NG Inputs'!$B$5-'NG Inputs'!$B$6-2*'NG Inputs'!$B$7*SQRT(MIN(B25/$B$10,'NG Inputs'!$B$9)/'NG Inputs'!$B$8))+MAX(B25-MIN(B25/$B$10,'NG Inputs'!$B$9)*$B$10,0)*'NG Inputs'!$B$10/2)*(1-$B$8))/$B$10,'NG Inputs'!$B$9)*($B$9-'NG Inputs'!$B$5-'NG Inputs'!$B$6-2*'NG Inputs'!$B$7*SQRT(MIN((B25+(MIN(B25/$B$10,'NG Inputs'!$B$9)*($B$9-'NG Inputs'!$B$5-'NG Inputs'!$B$6-2*'NG Inputs'!$B$7*SQRT(MIN(B25/$B$10,'NG Inputs'!$B$9)/'NG Inputs'!$B$8))+MAX(B25-MIN(B25/$B$10,'NG Inputs'!$B$9)*$B$10,0)*'NG Inputs'!$B$10/2)*(1-$B$8))/$B$10,'NG Inputs'!$B$9)/'NG Inputs'!$B$8))+MAX((B25+(MIN(B25/$B$10,'NG Inputs'!$B$9)*($B$9-'NG Inputs'!$B$5-'NG Inputs'!$B$6-2*'NG Inputs'!$B$7*SQRT(MIN(B25/$B$10,'NG Inputs'!$B$9)/'NG Inputs'!$B$8))+MAX(B25-MIN(B25/$B$10,'NG Inputs'!$B$9)*$B$10,0)*'NG Inputs'!$B$10/2)*(1-$B$8))-MIN((B25+(MIN(B25/$B$10,'NG Inputs'!$B$9)*($B$9-'NG Inputs'!$B$5-'NG Inputs'!$B$6-2*'NG Inputs'!$B$7*SQRT(MIN(B25/$B$10,'NG Inputs'!$B$9)/'NG Inputs'!$B$8))+MAX(B25-MIN(B25/$B$10,'NG Inputs'!$B$9)*$B$10,0)*'NG Inputs'!$B$10/2)*(1-$B$8))/$B$10,'NG Inputs'!$B$9)*$B$10,0)*'NG Inputs'!$B$10/2)*(1-$B$8)-INDEX('NG Scenarios'!$C$11:$C$25,A26)*(1-$B$8)</f>
        <v/>
      </c>
      <c r="C26" s="53">
        <f>IF(C25&lt;'NG Inputs'!$B$11,(C25+(MIN(C25/$B$10,'NG Inputs'!$B$9)*($B$9-'NG Inputs'!$B$5-'NG Inputs'!$B$6-2*'NG Inputs'!$B$7*SQRT(MIN(C25/$B$10,'NG Inputs'!$B$9)/'NG Inputs'!$B$8))+MAX(C25-MIN(C25/$B$10,'NG Inputs'!$B$9)*$B$10,0)*'NG Inputs'!$B$10/2)*(1-$B$8))+(MIN((C25+(MIN(C25/$B$10,'NG Inputs'!$B$9)*($B$9-'NG Inputs'!$B$5-'NG Inputs'!$B$6-2*'NG Inputs'!$B$7*SQRT(MIN(C25/$B$10,'NG Inputs'!$B$9)/'NG Inputs'!$B$8))+MAX(C25-MIN(C25/$B$10,'NG Inputs'!$B$9)*$B$10,0)*'NG Inputs'!$B$10/2)*(1-$B$8))/$B$10,'NG Inputs'!$B$9)*($B$9-'NG Inputs'!$B$5-'NG Inputs'!$B$6-2*'NG Inputs'!$B$7*SQRT(MIN((C25+(MIN(C25/$B$10,'NG Inputs'!$B$9)*($B$9-'NG Inputs'!$B$5-'NG Inputs'!$B$6-2*'NG Inputs'!$B$7*SQRT(MIN(C25/$B$10,'NG Inputs'!$B$9)/'NG Inputs'!$B$8))+MAX(C25-MIN(C25/$B$10,'NG Inputs'!$B$9)*$B$10,0)*'NG Inputs'!$B$10/2)*(1-$B$8))/$B$10,'NG Inputs'!$B$9)/'NG Inputs'!$B$8))+MAX((C25+(MIN(C25/$B$10,'NG Inputs'!$B$9)*($B$9-'NG Inputs'!$B$5-'NG Inputs'!$B$6-2*'NG Inputs'!$B$7*SQRT(MIN(C25/$B$10,'NG Inputs'!$B$9)/'NG Inputs'!$B$8))+MAX(C25-MIN(C25/$B$10,'NG Inputs'!$B$9)*$B$10,0)*'NG Inputs'!$B$10/2)*(1-$B$8))-MIN((C25+(MIN(C25/$B$10,'NG Inputs'!$B$9)*($B$9-'NG Inputs'!$B$5-'NG Inputs'!$B$6-2*'NG Inputs'!$B$7*SQRT(MIN(C25/$B$10,'NG Inputs'!$B$9)/'NG Inputs'!$B$8))+MAX(C25-MIN(C25/$B$10,'NG Inputs'!$B$9)*$B$10,0)*'NG Inputs'!$B$10/2)*(1-$B$8))/$B$10,'NG Inputs'!$B$9)*$B$10,0)*'NG Inputs'!$B$10/2)*(1-$B$8)-INDEX('NG Scenarios'!$C$11:$C$25,A26)*(1-$B$8),C25+(($B$6*C25-$B$7)*(12/18))*(1-$B$8))</f>
        <v/>
      </c>
      <c r="D26" s="53">
        <f>MIN((D25+(MIN(D25/$B$10,'NG Inputs'!$B$9)*($B$9-'NG Inputs'!$B$5-'NG Inputs'!$B$6-2*'NG Inputs'!$B$7*SQRT(MIN(D25/$B$10,'NG Inputs'!$B$9)/'NG Inputs'!$B$8))+MAX(D25-MIN(D25/$B$10,'NG Inputs'!$B$9)*$B$10,0)*'NG Inputs'!$B$10/2)*(1-$B$8))+(MIN((D25+(MIN(D25/$B$10,'NG Inputs'!$B$9)*($B$9-'NG Inputs'!$B$5-'NG Inputs'!$B$6-2*'NG Inputs'!$B$7*SQRT(MIN(D25/$B$10,'NG Inputs'!$B$9)/'NG Inputs'!$B$8))+MAX(D25-MIN(D25/$B$10,'NG Inputs'!$B$9)*$B$10,0)*'NG Inputs'!$B$10/2)*(1-$B$8))/$B$10,'NG Inputs'!$B$9)*($B$9-'NG Inputs'!$B$5-'NG Inputs'!$B$6-2*'NG Inputs'!$B$7*SQRT(MIN((D25+(MIN(D25/$B$10,'NG Inputs'!$B$9)*($B$9-'NG Inputs'!$B$5-'NG Inputs'!$B$6-2*'NG Inputs'!$B$7*SQRT(MIN(D25/$B$10,'NG Inputs'!$B$9)/'NG Inputs'!$B$8))+MAX(D25-MIN(D25/$B$10,'NG Inputs'!$B$9)*$B$10,0)*'NG Inputs'!$B$10/2)*(1-$B$8))/$B$10,'NG Inputs'!$B$9)/'NG Inputs'!$B$8))+MAX((D25+(MIN(D25/$B$10,'NG Inputs'!$B$9)*($B$9-'NG Inputs'!$B$5-'NG Inputs'!$B$6-2*'NG Inputs'!$B$7*SQRT(MIN(D25/$B$10,'NG Inputs'!$B$9)/'NG Inputs'!$B$8))+MAX(D25-MIN(D25/$B$10,'NG Inputs'!$B$9)*$B$10,0)*'NG Inputs'!$B$10/2)*(1-$B$8))-MIN((D25+(MIN(D25/$B$10,'NG Inputs'!$B$9)*($B$9-'NG Inputs'!$B$5-'NG Inputs'!$B$6-2*'NG Inputs'!$B$7*SQRT(MIN(D25/$B$10,'NG Inputs'!$B$9)/'NG Inputs'!$B$8))+MAX(D25-MIN(D25/$B$10,'NG Inputs'!$B$9)*$B$10,0)*'NG Inputs'!$B$10/2)*(1-$B$8))/$B$10,'NG Inputs'!$B$9)*$B$10,0)*'NG Inputs'!$B$10/2)*(1-$B$8)-INDEX('NG Scenarios'!$C$11:$C$25,A26)*(1-$B$8),$B$5)</f>
        <v/>
      </c>
      <c r="E26" s="53">
        <f>IF(E25&gt;0,E25+(($B$6*E25-$B$7)*(12/18))*(1-$B$8),0)+MAX((D25+(MIN(D25/$B$10,'NG Inputs'!$B$9)*($B$9-'NG Inputs'!$B$5-'NG Inputs'!$B$6-2*'NG Inputs'!$B$7*SQRT(MIN(D25/$B$10,'NG Inputs'!$B$9)/'NG Inputs'!$B$8))+MAX(D25-MIN(D25/$B$10,'NG Inputs'!$B$9)*$B$10,0)*'NG Inputs'!$B$10/2)*(1-$B$8))+(MIN((D25+(MIN(D25/$B$10,'NG Inputs'!$B$9)*($B$9-'NG Inputs'!$B$5-'NG Inputs'!$B$6-2*'NG Inputs'!$B$7*SQRT(MIN(D25/$B$10,'NG Inputs'!$B$9)/'NG Inputs'!$B$8))+MAX(D25-MIN(D25/$B$10,'NG Inputs'!$B$9)*$B$10,0)*'NG Inputs'!$B$10/2)*(1-$B$8))/$B$10,'NG Inputs'!$B$9)*($B$9-'NG Inputs'!$B$5-'NG Inputs'!$B$6-2*'NG Inputs'!$B$7*SQRT(MIN((D25+(MIN(D25/$B$10,'NG Inputs'!$B$9)*($B$9-'NG Inputs'!$B$5-'NG Inputs'!$B$6-2*'NG Inputs'!$B$7*SQRT(MIN(D25/$B$10,'NG Inputs'!$B$9)/'NG Inputs'!$B$8))+MAX(D25-MIN(D25/$B$10,'NG Inputs'!$B$9)*$B$10,0)*'NG Inputs'!$B$10/2)*(1-$B$8))/$B$10,'NG Inputs'!$B$9)/'NG Inputs'!$B$8))+MAX((D25+(MIN(D25/$B$10,'NG Inputs'!$B$9)*($B$9-'NG Inputs'!$B$5-'NG Inputs'!$B$6-2*'NG Inputs'!$B$7*SQRT(MIN(D25/$B$10,'NG Inputs'!$B$9)/'NG Inputs'!$B$8))+MAX(D25-MIN(D25/$B$10,'NG Inputs'!$B$9)*$B$10,0)*'NG Inputs'!$B$10/2)*(1-$B$8))-MIN((D25+(MIN(D25/$B$10,'NG Inputs'!$B$9)*($B$9-'NG Inputs'!$B$5-'NG Inputs'!$B$6-2*'NG Inputs'!$B$7*SQRT(MIN(D25/$B$10,'NG Inputs'!$B$9)/'NG Inputs'!$B$8))+MAX(D25-MIN(D25/$B$10,'NG Inputs'!$B$9)*$B$10,0)*'NG Inputs'!$B$10/2)*(1-$B$8))/$B$10,'NG Inputs'!$B$9)*$B$10,0)*'NG Inputs'!$B$10/2)*(1-$B$8)-INDEX('NG Scenarios'!$C$11:$C$25,A26)*(1-$B$8)-$B$5,0)</f>
        <v/>
      </c>
      <c r="F26" s="53">
        <f>D26+E26</f>
        <v/>
      </c>
    </row>
    <row r="27" ht="13.5" customHeight="1">
      <c r="A27" s="10" t="n">
        <v>13</v>
      </c>
      <c r="B27" s="52">
        <f>(B26+(MIN(B26/$B$10,'NG Inputs'!$B$9)*($B$9-'NG Inputs'!$B$5-'NG Inputs'!$B$6-2*'NG Inputs'!$B$7*SQRT(MIN(B26/$B$10,'NG Inputs'!$B$9)/'NG Inputs'!$B$8))+MAX(B26-MIN(B26/$B$10,'NG Inputs'!$B$9)*$B$10,0)*'NG Inputs'!$B$10/2)*(1-$B$8))+(MIN((B26+(MIN(B26/$B$10,'NG Inputs'!$B$9)*($B$9-'NG Inputs'!$B$5-'NG Inputs'!$B$6-2*'NG Inputs'!$B$7*SQRT(MIN(B26/$B$10,'NG Inputs'!$B$9)/'NG Inputs'!$B$8))+MAX(B26-MIN(B26/$B$10,'NG Inputs'!$B$9)*$B$10,0)*'NG Inputs'!$B$10/2)*(1-$B$8))/$B$10,'NG Inputs'!$B$9)*($B$9-'NG Inputs'!$B$5-'NG Inputs'!$B$6-2*'NG Inputs'!$B$7*SQRT(MIN((B26+(MIN(B26/$B$10,'NG Inputs'!$B$9)*($B$9-'NG Inputs'!$B$5-'NG Inputs'!$B$6-2*'NG Inputs'!$B$7*SQRT(MIN(B26/$B$10,'NG Inputs'!$B$9)/'NG Inputs'!$B$8))+MAX(B26-MIN(B26/$B$10,'NG Inputs'!$B$9)*$B$10,0)*'NG Inputs'!$B$10/2)*(1-$B$8))/$B$10,'NG Inputs'!$B$9)/'NG Inputs'!$B$8))+MAX((B26+(MIN(B26/$B$10,'NG Inputs'!$B$9)*($B$9-'NG Inputs'!$B$5-'NG Inputs'!$B$6-2*'NG Inputs'!$B$7*SQRT(MIN(B26/$B$10,'NG Inputs'!$B$9)/'NG Inputs'!$B$8))+MAX(B26-MIN(B26/$B$10,'NG Inputs'!$B$9)*$B$10,0)*'NG Inputs'!$B$10/2)*(1-$B$8))-MIN((B26+(MIN(B26/$B$10,'NG Inputs'!$B$9)*($B$9-'NG Inputs'!$B$5-'NG Inputs'!$B$6-2*'NG Inputs'!$B$7*SQRT(MIN(B26/$B$10,'NG Inputs'!$B$9)/'NG Inputs'!$B$8))+MAX(B26-MIN(B26/$B$10,'NG Inputs'!$B$9)*$B$10,0)*'NG Inputs'!$B$10/2)*(1-$B$8))/$B$10,'NG Inputs'!$B$9)*$B$10,0)*'NG Inputs'!$B$10/2)*(1-$B$8)-INDEX('NG Scenarios'!$C$11:$C$25,A27)*(1-$B$8)</f>
        <v/>
      </c>
      <c r="C27" s="52">
        <f>IF(C26&lt;'NG Inputs'!$B$11,(C26+(MIN(C26/$B$10,'NG Inputs'!$B$9)*($B$9-'NG Inputs'!$B$5-'NG Inputs'!$B$6-2*'NG Inputs'!$B$7*SQRT(MIN(C26/$B$10,'NG Inputs'!$B$9)/'NG Inputs'!$B$8))+MAX(C26-MIN(C26/$B$10,'NG Inputs'!$B$9)*$B$10,0)*'NG Inputs'!$B$10/2)*(1-$B$8))+(MIN((C26+(MIN(C26/$B$10,'NG Inputs'!$B$9)*($B$9-'NG Inputs'!$B$5-'NG Inputs'!$B$6-2*'NG Inputs'!$B$7*SQRT(MIN(C26/$B$10,'NG Inputs'!$B$9)/'NG Inputs'!$B$8))+MAX(C26-MIN(C26/$B$10,'NG Inputs'!$B$9)*$B$10,0)*'NG Inputs'!$B$10/2)*(1-$B$8))/$B$10,'NG Inputs'!$B$9)*($B$9-'NG Inputs'!$B$5-'NG Inputs'!$B$6-2*'NG Inputs'!$B$7*SQRT(MIN((C26+(MIN(C26/$B$10,'NG Inputs'!$B$9)*($B$9-'NG Inputs'!$B$5-'NG Inputs'!$B$6-2*'NG Inputs'!$B$7*SQRT(MIN(C26/$B$10,'NG Inputs'!$B$9)/'NG Inputs'!$B$8))+MAX(C26-MIN(C26/$B$10,'NG Inputs'!$B$9)*$B$10,0)*'NG Inputs'!$B$10/2)*(1-$B$8))/$B$10,'NG Inputs'!$B$9)/'NG Inputs'!$B$8))+MAX((C26+(MIN(C26/$B$10,'NG Inputs'!$B$9)*($B$9-'NG Inputs'!$B$5-'NG Inputs'!$B$6-2*'NG Inputs'!$B$7*SQRT(MIN(C26/$B$10,'NG Inputs'!$B$9)/'NG Inputs'!$B$8))+MAX(C26-MIN(C26/$B$10,'NG Inputs'!$B$9)*$B$10,0)*'NG Inputs'!$B$10/2)*(1-$B$8))-MIN((C26+(MIN(C26/$B$10,'NG Inputs'!$B$9)*($B$9-'NG Inputs'!$B$5-'NG Inputs'!$B$6-2*'NG Inputs'!$B$7*SQRT(MIN(C26/$B$10,'NG Inputs'!$B$9)/'NG Inputs'!$B$8))+MAX(C26-MIN(C26/$B$10,'NG Inputs'!$B$9)*$B$10,0)*'NG Inputs'!$B$10/2)*(1-$B$8))/$B$10,'NG Inputs'!$B$9)*$B$10,0)*'NG Inputs'!$B$10/2)*(1-$B$8)-INDEX('NG Scenarios'!$C$11:$C$25,A27)*(1-$B$8),C26+(($B$6*C26-$B$7)*(12/18))*(1-$B$8))</f>
        <v/>
      </c>
      <c r="D27" s="52">
        <f>MIN((D26+(MIN(D26/$B$10,'NG Inputs'!$B$9)*($B$9-'NG Inputs'!$B$5-'NG Inputs'!$B$6-2*'NG Inputs'!$B$7*SQRT(MIN(D26/$B$10,'NG Inputs'!$B$9)/'NG Inputs'!$B$8))+MAX(D26-MIN(D26/$B$10,'NG Inputs'!$B$9)*$B$10,0)*'NG Inputs'!$B$10/2)*(1-$B$8))+(MIN((D26+(MIN(D26/$B$10,'NG Inputs'!$B$9)*($B$9-'NG Inputs'!$B$5-'NG Inputs'!$B$6-2*'NG Inputs'!$B$7*SQRT(MIN(D26/$B$10,'NG Inputs'!$B$9)/'NG Inputs'!$B$8))+MAX(D26-MIN(D26/$B$10,'NG Inputs'!$B$9)*$B$10,0)*'NG Inputs'!$B$10/2)*(1-$B$8))/$B$10,'NG Inputs'!$B$9)*($B$9-'NG Inputs'!$B$5-'NG Inputs'!$B$6-2*'NG Inputs'!$B$7*SQRT(MIN((D26+(MIN(D26/$B$10,'NG Inputs'!$B$9)*($B$9-'NG Inputs'!$B$5-'NG Inputs'!$B$6-2*'NG Inputs'!$B$7*SQRT(MIN(D26/$B$10,'NG Inputs'!$B$9)/'NG Inputs'!$B$8))+MAX(D26-MIN(D26/$B$10,'NG Inputs'!$B$9)*$B$10,0)*'NG Inputs'!$B$10/2)*(1-$B$8))/$B$10,'NG Inputs'!$B$9)/'NG Inputs'!$B$8))+MAX((D26+(MIN(D26/$B$10,'NG Inputs'!$B$9)*($B$9-'NG Inputs'!$B$5-'NG Inputs'!$B$6-2*'NG Inputs'!$B$7*SQRT(MIN(D26/$B$10,'NG Inputs'!$B$9)/'NG Inputs'!$B$8))+MAX(D26-MIN(D26/$B$10,'NG Inputs'!$B$9)*$B$10,0)*'NG Inputs'!$B$10/2)*(1-$B$8))-MIN((D26+(MIN(D26/$B$10,'NG Inputs'!$B$9)*($B$9-'NG Inputs'!$B$5-'NG Inputs'!$B$6-2*'NG Inputs'!$B$7*SQRT(MIN(D26/$B$10,'NG Inputs'!$B$9)/'NG Inputs'!$B$8))+MAX(D26-MIN(D26/$B$10,'NG Inputs'!$B$9)*$B$10,0)*'NG Inputs'!$B$10/2)*(1-$B$8))/$B$10,'NG Inputs'!$B$9)*$B$10,0)*'NG Inputs'!$B$10/2)*(1-$B$8)-INDEX('NG Scenarios'!$C$11:$C$25,A27)*(1-$B$8),$B$5)</f>
        <v/>
      </c>
      <c r="E27" s="52">
        <f>IF(E26&gt;0,E26+(($B$6*E26-$B$7)*(12/18))*(1-$B$8),0)+MAX((D26+(MIN(D26/$B$10,'NG Inputs'!$B$9)*($B$9-'NG Inputs'!$B$5-'NG Inputs'!$B$6-2*'NG Inputs'!$B$7*SQRT(MIN(D26/$B$10,'NG Inputs'!$B$9)/'NG Inputs'!$B$8))+MAX(D26-MIN(D26/$B$10,'NG Inputs'!$B$9)*$B$10,0)*'NG Inputs'!$B$10/2)*(1-$B$8))+(MIN((D26+(MIN(D26/$B$10,'NG Inputs'!$B$9)*($B$9-'NG Inputs'!$B$5-'NG Inputs'!$B$6-2*'NG Inputs'!$B$7*SQRT(MIN(D26/$B$10,'NG Inputs'!$B$9)/'NG Inputs'!$B$8))+MAX(D26-MIN(D26/$B$10,'NG Inputs'!$B$9)*$B$10,0)*'NG Inputs'!$B$10/2)*(1-$B$8))/$B$10,'NG Inputs'!$B$9)*($B$9-'NG Inputs'!$B$5-'NG Inputs'!$B$6-2*'NG Inputs'!$B$7*SQRT(MIN((D26+(MIN(D26/$B$10,'NG Inputs'!$B$9)*($B$9-'NG Inputs'!$B$5-'NG Inputs'!$B$6-2*'NG Inputs'!$B$7*SQRT(MIN(D26/$B$10,'NG Inputs'!$B$9)/'NG Inputs'!$B$8))+MAX(D26-MIN(D26/$B$10,'NG Inputs'!$B$9)*$B$10,0)*'NG Inputs'!$B$10/2)*(1-$B$8))/$B$10,'NG Inputs'!$B$9)/'NG Inputs'!$B$8))+MAX((D26+(MIN(D26/$B$10,'NG Inputs'!$B$9)*($B$9-'NG Inputs'!$B$5-'NG Inputs'!$B$6-2*'NG Inputs'!$B$7*SQRT(MIN(D26/$B$10,'NG Inputs'!$B$9)/'NG Inputs'!$B$8))+MAX(D26-MIN(D26/$B$10,'NG Inputs'!$B$9)*$B$10,0)*'NG Inputs'!$B$10/2)*(1-$B$8))-MIN((D26+(MIN(D26/$B$10,'NG Inputs'!$B$9)*($B$9-'NG Inputs'!$B$5-'NG Inputs'!$B$6-2*'NG Inputs'!$B$7*SQRT(MIN(D26/$B$10,'NG Inputs'!$B$9)/'NG Inputs'!$B$8))+MAX(D26-MIN(D26/$B$10,'NG Inputs'!$B$9)*$B$10,0)*'NG Inputs'!$B$10/2)*(1-$B$8))/$B$10,'NG Inputs'!$B$9)*$B$10,0)*'NG Inputs'!$B$10/2)*(1-$B$8)-INDEX('NG Scenarios'!$C$11:$C$25,A27)*(1-$B$8)-$B$5,0)</f>
        <v/>
      </c>
      <c r="F27" s="52">
        <f>D27+E27</f>
        <v/>
      </c>
    </row>
    <row r="28" ht="13.5" customHeight="1">
      <c r="A28" s="13" t="n">
        <v>14</v>
      </c>
      <c r="B28" s="53">
        <f>(B27+(MIN(B27/$B$10,'NG Inputs'!$B$9)*($B$9-'NG Inputs'!$B$5-'NG Inputs'!$B$6-2*'NG Inputs'!$B$7*SQRT(MIN(B27/$B$10,'NG Inputs'!$B$9)/'NG Inputs'!$B$8))+MAX(B27-MIN(B27/$B$10,'NG Inputs'!$B$9)*$B$10,0)*'NG Inputs'!$B$10/2)*(1-$B$8))+(MIN((B27+(MIN(B27/$B$10,'NG Inputs'!$B$9)*($B$9-'NG Inputs'!$B$5-'NG Inputs'!$B$6-2*'NG Inputs'!$B$7*SQRT(MIN(B27/$B$10,'NG Inputs'!$B$9)/'NG Inputs'!$B$8))+MAX(B27-MIN(B27/$B$10,'NG Inputs'!$B$9)*$B$10,0)*'NG Inputs'!$B$10/2)*(1-$B$8))/$B$10,'NG Inputs'!$B$9)*($B$9-'NG Inputs'!$B$5-'NG Inputs'!$B$6-2*'NG Inputs'!$B$7*SQRT(MIN((B27+(MIN(B27/$B$10,'NG Inputs'!$B$9)*($B$9-'NG Inputs'!$B$5-'NG Inputs'!$B$6-2*'NG Inputs'!$B$7*SQRT(MIN(B27/$B$10,'NG Inputs'!$B$9)/'NG Inputs'!$B$8))+MAX(B27-MIN(B27/$B$10,'NG Inputs'!$B$9)*$B$10,0)*'NG Inputs'!$B$10/2)*(1-$B$8))/$B$10,'NG Inputs'!$B$9)/'NG Inputs'!$B$8))+MAX((B27+(MIN(B27/$B$10,'NG Inputs'!$B$9)*($B$9-'NG Inputs'!$B$5-'NG Inputs'!$B$6-2*'NG Inputs'!$B$7*SQRT(MIN(B27/$B$10,'NG Inputs'!$B$9)/'NG Inputs'!$B$8))+MAX(B27-MIN(B27/$B$10,'NG Inputs'!$B$9)*$B$10,0)*'NG Inputs'!$B$10/2)*(1-$B$8))-MIN((B27+(MIN(B27/$B$10,'NG Inputs'!$B$9)*($B$9-'NG Inputs'!$B$5-'NG Inputs'!$B$6-2*'NG Inputs'!$B$7*SQRT(MIN(B27/$B$10,'NG Inputs'!$B$9)/'NG Inputs'!$B$8))+MAX(B27-MIN(B27/$B$10,'NG Inputs'!$B$9)*$B$10,0)*'NG Inputs'!$B$10/2)*(1-$B$8))/$B$10,'NG Inputs'!$B$9)*$B$10,0)*'NG Inputs'!$B$10/2)*(1-$B$8)-INDEX('NG Scenarios'!$C$11:$C$25,A28)*(1-$B$8)</f>
        <v/>
      </c>
      <c r="C28" s="53">
        <f>IF(C27&lt;'NG Inputs'!$B$11,(C27+(MIN(C27/$B$10,'NG Inputs'!$B$9)*($B$9-'NG Inputs'!$B$5-'NG Inputs'!$B$6-2*'NG Inputs'!$B$7*SQRT(MIN(C27/$B$10,'NG Inputs'!$B$9)/'NG Inputs'!$B$8))+MAX(C27-MIN(C27/$B$10,'NG Inputs'!$B$9)*$B$10,0)*'NG Inputs'!$B$10/2)*(1-$B$8))+(MIN((C27+(MIN(C27/$B$10,'NG Inputs'!$B$9)*($B$9-'NG Inputs'!$B$5-'NG Inputs'!$B$6-2*'NG Inputs'!$B$7*SQRT(MIN(C27/$B$10,'NG Inputs'!$B$9)/'NG Inputs'!$B$8))+MAX(C27-MIN(C27/$B$10,'NG Inputs'!$B$9)*$B$10,0)*'NG Inputs'!$B$10/2)*(1-$B$8))/$B$10,'NG Inputs'!$B$9)*($B$9-'NG Inputs'!$B$5-'NG Inputs'!$B$6-2*'NG Inputs'!$B$7*SQRT(MIN((C27+(MIN(C27/$B$10,'NG Inputs'!$B$9)*($B$9-'NG Inputs'!$B$5-'NG Inputs'!$B$6-2*'NG Inputs'!$B$7*SQRT(MIN(C27/$B$10,'NG Inputs'!$B$9)/'NG Inputs'!$B$8))+MAX(C27-MIN(C27/$B$10,'NG Inputs'!$B$9)*$B$10,0)*'NG Inputs'!$B$10/2)*(1-$B$8))/$B$10,'NG Inputs'!$B$9)/'NG Inputs'!$B$8))+MAX((C27+(MIN(C27/$B$10,'NG Inputs'!$B$9)*($B$9-'NG Inputs'!$B$5-'NG Inputs'!$B$6-2*'NG Inputs'!$B$7*SQRT(MIN(C27/$B$10,'NG Inputs'!$B$9)/'NG Inputs'!$B$8))+MAX(C27-MIN(C27/$B$10,'NG Inputs'!$B$9)*$B$10,0)*'NG Inputs'!$B$10/2)*(1-$B$8))-MIN((C27+(MIN(C27/$B$10,'NG Inputs'!$B$9)*($B$9-'NG Inputs'!$B$5-'NG Inputs'!$B$6-2*'NG Inputs'!$B$7*SQRT(MIN(C27/$B$10,'NG Inputs'!$B$9)/'NG Inputs'!$B$8))+MAX(C27-MIN(C27/$B$10,'NG Inputs'!$B$9)*$B$10,0)*'NG Inputs'!$B$10/2)*(1-$B$8))/$B$10,'NG Inputs'!$B$9)*$B$10,0)*'NG Inputs'!$B$10/2)*(1-$B$8)-INDEX('NG Scenarios'!$C$11:$C$25,A28)*(1-$B$8),C27+(($B$6*C27-$B$7)*(12/18))*(1-$B$8))</f>
        <v/>
      </c>
      <c r="D28" s="53">
        <f>MIN((D27+(MIN(D27/$B$10,'NG Inputs'!$B$9)*($B$9-'NG Inputs'!$B$5-'NG Inputs'!$B$6-2*'NG Inputs'!$B$7*SQRT(MIN(D27/$B$10,'NG Inputs'!$B$9)/'NG Inputs'!$B$8))+MAX(D27-MIN(D27/$B$10,'NG Inputs'!$B$9)*$B$10,0)*'NG Inputs'!$B$10/2)*(1-$B$8))+(MIN((D27+(MIN(D27/$B$10,'NG Inputs'!$B$9)*($B$9-'NG Inputs'!$B$5-'NG Inputs'!$B$6-2*'NG Inputs'!$B$7*SQRT(MIN(D27/$B$10,'NG Inputs'!$B$9)/'NG Inputs'!$B$8))+MAX(D27-MIN(D27/$B$10,'NG Inputs'!$B$9)*$B$10,0)*'NG Inputs'!$B$10/2)*(1-$B$8))/$B$10,'NG Inputs'!$B$9)*($B$9-'NG Inputs'!$B$5-'NG Inputs'!$B$6-2*'NG Inputs'!$B$7*SQRT(MIN((D27+(MIN(D27/$B$10,'NG Inputs'!$B$9)*($B$9-'NG Inputs'!$B$5-'NG Inputs'!$B$6-2*'NG Inputs'!$B$7*SQRT(MIN(D27/$B$10,'NG Inputs'!$B$9)/'NG Inputs'!$B$8))+MAX(D27-MIN(D27/$B$10,'NG Inputs'!$B$9)*$B$10,0)*'NG Inputs'!$B$10/2)*(1-$B$8))/$B$10,'NG Inputs'!$B$9)/'NG Inputs'!$B$8))+MAX((D27+(MIN(D27/$B$10,'NG Inputs'!$B$9)*($B$9-'NG Inputs'!$B$5-'NG Inputs'!$B$6-2*'NG Inputs'!$B$7*SQRT(MIN(D27/$B$10,'NG Inputs'!$B$9)/'NG Inputs'!$B$8))+MAX(D27-MIN(D27/$B$10,'NG Inputs'!$B$9)*$B$10,0)*'NG Inputs'!$B$10/2)*(1-$B$8))-MIN((D27+(MIN(D27/$B$10,'NG Inputs'!$B$9)*($B$9-'NG Inputs'!$B$5-'NG Inputs'!$B$6-2*'NG Inputs'!$B$7*SQRT(MIN(D27/$B$10,'NG Inputs'!$B$9)/'NG Inputs'!$B$8))+MAX(D27-MIN(D27/$B$10,'NG Inputs'!$B$9)*$B$10,0)*'NG Inputs'!$B$10/2)*(1-$B$8))/$B$10,'NG Inputs'!$B$9)*$B$10,0)*'NG Inputs'!$B$10/2)*(1-$B$8)-INDEX('NG Scenarios'!$C$11:$C$25,A28)*(1-$B$8),$B$5)</f>
        <v/>
      </c>
      <c r="E28" s="53">
        <f>IF(E27&gt;0,E27+(($B$6*E27-$B$7)*(12/18))*(1-$B$8),0)+MAX((D27+(MIN(D27/$B$10,'NG Inputs'!$B$9)*($B$9-'NG Inputs'!$B$5-'NG Inputs'!$B$6-2*'NG Inputs'!$B$7*SQRT(MIN(D27/$B$10,'NG Inputs'!$B$9)/'NG Inputs'!$B$8))+MAX(D27-MIN(D27/$B$10,'NG Inputs'!$B$9)*$B$10,0)*'NG Inputs'!$B$10/2)*(1-$B$8))+(MIN((D27+(MIN(D27/$B$10,'NG Inputs'!$B$9)*($B$9-'NG Inputs'!$B$5-'NG Inputs'!$B$6-2*'NG Inputs'!$B$7*SQRT(MIN(D27/$B$10,'NG Inputs'!$B$9)/'NG Inputs'!$B$8))+MAX(D27-MIN(D27/$B$10,'NG Inputs'!$B$9)*$B$10,0)*'NG Inputs'!$B$10/2)*(1-$B$8))/$B$10,'NG Inputs'!$B$9)*($B$9-'NG Inputs'!$B$5-'NG Inputs'!$B$6-2*'NG Inputs'!$B$7*SQRT(MIN((D27+(MIN(D27/$B$10,'NG Inputs'!$B$9)*($B$9-'NG Inputs'!$B$5-'NG Inputs'!$B$6-2*'NG Inputs'!$B$7*SQRT(MIN(D27/$B$10,'NG Inputs'!$B$9)/'NG Inputs'!$B$8))+MAX(D27-MIN(D27/$B$10,'NG Inputs'!$B$9)*$B$10,0)*'NG Inputs'!$B$10/2)*(1-$B$8))/$B$10,'NG Inputs'!$B$9)/'NG Inputs'!$B$8))+MAX((D27+(MIN(D27/$B$10,'NG Inputs'!$B$9)*($B$9-'NG Inputs'!$B$5-'NG Inputs'!$B$6-2*'NG Inputs'!$B$7*SQRT(MIN(D27/$B$10,'NG Inputs'!$B$9)/'NG Inputs'!$B$8))+MAX(D27-MIN(D27/$B$10,'NG Inputs'!$B$9)*$B$10,0)*'NG Inputs'!$B$10/2)*(1-$B$8))-MIN((D27+(MIN(D27/$B$10,'NG Inputs'!$B$9)*($B$9-'NG Inputs'!$B$5-'NG Inputs'!$B$6-2*'NG Inputs'!$B$7*SQRT(MIN(D27/$B$10,'NG Inputs'!$B$9)/'NG Inputs'!$B$8))+MAX(D27-MIN(D27/$B$10,'NG Inputs'!$B$9)*$B$10,0)*'NG Inputs'!$B$10/2)*(1-$B$8))/$B$10,'NG Inputs'!$B$9)*$B$10,0)*'NG Inputs'!$B$10/2)*(1-$B$8)-INDEX('NG Scenarios'!$C$11:$C$25,A28)*(1-$B$8)-$B$5,0)</f>
        <v/>
      </c>
      <c r="F28" s="53">
        <f>D28+E28</f>
        <v/>
      </c>
    </row>
    <row r="29" ht="13.5" customHeight="1">
      <c r="A29" s="10" t="n">
        <v>15</v>
      </c>
      <c r="B29" s="52">
        <f>(B28+(MIN(B28/$B$10,'NG Inputs'!$B$9)*($B$9-'NG Inputs'!$B$5-'NG Inputs'!$B$6-2*'NG Inputs'!$B$7*SQRT(MIN(B28/$B$10,'NG Inputs'!$B$9)/'NG Inputs'!$B$8))+MAX(B28-MIN(B28/$B$10,'NG Inputs'!$B$9)*$B$10,0)*'NG Inputs'!$B$10/2)*(1-$B$8))+(MIN((B28+(MIN(B28/$B$10,'NG Inputs'!$B$9)*($B$9-'NG Inputs'!$B$5-'NG Inputs'!$B$6-2*'NG Inputs'!$B$7*SQRT(MIN(B28/$B$10,'NG Inputs'!$B$9)/'NG Inputs'!$B$8))+MAX(B28-MIN(B28/$B$10,'NG Inputs'!$B$9)*$B$10,0)*'NG Inputs'!$B$10/2)*(1-$B$8))/$B$10,'NG Inputs'!$B$9)*($B$9-'NG Inputs'!$B$5-'NG Inputs'!$B$6-2*'NG Inputs'!$B$7*SQRT(MIN((B28+(MIN(B28/$B$10,'NG Inputs'!$B$9)*($B$9-'NG Inputs'!$B$5-'NG Inputs'!$B$6-2*'NG Inputs'!$B$7*SQRT(MIN(B28/$B$10,'NG Inputs'!$B$9)/'NG Inputs'!$B$8))+MAX(B28-MIN(B28/$B$10,'NG Inputs'!$B$9)*$B$10,0)*'NG Inputs'!$B$10/2)*(1-$B$8))/$B$10,'NG Inputs'!$B$9)/'NG Inputs'!$B$8))+MAX((B28+(MIN(B28/$B$10,'NG Inputs'!$B$9)*($B$9-'NG Inputs'!$B$5-'NG Inputs'!$B$6-2*'NG Inputs'!$B$7*SQRT(MIN(B28/$B$10,'NG Inputs'!$B$9)/'NG Inputs'!$B$8))+MAX(B28-MIN(B28/$B$10,'NG Inputs'!$B$9)*$B$10,0)*'NG Inputs'!$B$10/2)*(1-$B$8))-MIN((B28+(MIN(B28/$B$10,'NG Inputs'!$B$9)*($B$9-'NG Inputs'!$B$5-'NG Inputs'!$B$6-2*'NG Inputs'!$B$7*SQRT(MIN(B28/$B$10,'NG Inputs'!$B$9)/'NG Inputs'!$B$8))+MAX(B28-MIN(B28/$B$10,'NG Inputs'!$B$9)*$B$10,0)*'NG Inputs'!$B$10/2)*(1-$B$8))/$B$10,'NG Inputs'!$B$9)*$B$10,0)*'NG Inputs'!$B$10/2)*(1-$B$8)-INDEX('NG Scenarios'!$C$11:$C$25,A29)*(1-$B$8)</f>
        <v/>
      </c>
      <c r="C29" s="52">
        <f>IF(C28&lt;'NG Inputs'!$B$11,(C28+(MIN(C28/$B$10,'NG Inputs'!$B$9)*($B$9-'NG Inputs'!$B$5-'NG Inputs'!$B$6-2*'NG Inputs'!$B$7*SQRT(MIN(C28/$B$10,'NG Inputs'!$B$9)/'NG Inputs'!$B$8))+MAX(C28-MIN(C28/$B$10,'NG Inputs'!$B$9)*$B$10,0)*'NG Inputs'!$B$10/2)*(1-$B$8))+(MIN((C28+(MIN(C28/$B$10,'NG Inputs'!$B$9)*($B$9-'NG Inputs'!$B$5-'NG Inputs'!$B$6-2*'NG Inputs'!$B$7*SQRT(MIN(C28/$B$10,'NG Inputs'!$B$9)/'NG Inputs'!$B$8))+MAX(C28-MIN(C28/$B$10,'NG Inputs'!$B$9)*$B$10,0)*'NG Inputs'!$B$10/2)*(1-$B$8))/$B$10,'NG Inputs'!$B$9)*($B$9-'NG Inputs'!$B$5-'NG Inputs'!$B$6-2*'NG Inputs'!$B$7*SQRT(MIN((C28+(MIN(C28/$B$10,'NG Inputs'!$B$9)*($B$9-'NG Inputs'!$B$5-'NG Inputs'!$B$6-2*'NG Inputs'!$B$7*SQRT(MIN(C28/$B$10,'NG Inputs'!$B$9)/'NG Inputs'!$B$8))+MAX(C28-MIN(C28/$B$10,'NG Inputs'!$B$9)*$B$10,0)*'NG Inputs'!$B$10/2)*(1-$B$8))/$B$10,'NG Inputs'!$B$9)/'NG Inputs'!$B$8))+MAX((C28+(MIN(C28/$B$10,'NG Inputs'!$B$9)*($B$9-'NG Inputs'!$B$5-'NG Inputs'!$B$6-2*'NG Inputs'!$B$7*SQRT(MIN(C28/$B$10,'NG Inputs'!$B$9)/'NG Inputs'!$B$8))+MAX(C28-MIN(C28/$B$10,'NG Inputs'!$B$9)*$B$10,0)*'NG Inputs'!$B$10/2)*(1-$B$8))-MIN((C28+(MIN(C28/$B$10,'NG Inputs'!$B$9)*($B$9-'NG Inputs'!$B$5-'NG Inputs'!$B$6-2*'NG Inputs'!$B$7*SQRT(MIN(C28/$B$10,'NG Inputs'!$B$9)/'NG Inputs'!$B$8))+MAX(C28-MIN(C28/$B$10,'NG Inputs'!$B$9)*$B$10,0)*'NG Inputs'!$B$10/2)*(1-$B$8))/$B$10,'NG Inputs'!$B$9)*$B$10,0)*'NG Inputs'!$B$10/2)*(1-$B$8)-INDEX('NG Scenarios'!$C$11:$C$25,A29)*(1-$B$8),C28+(($B$6*C28-$B$7)*(12/18))*(1-$B$8))</f>
        <v/>
      </c>
      <c r="D29" s="52">
        <f>MIN((D28+(MIN(D28/$B$10,'NG Inputs'!$B$9)*($B$9-'NG Inputs'!$B$5-'NG Inputs'!$B$6-2*'NG Inputs'!$B$7*SQRT(MIN(D28/$B$10,'NG Inputs'!$B$9)/'NG Inputs'!$B$8))+MAX(D28-MIN(D28/$B$10,'NG Inputs'!$B$9)*$B$10,0)*'NG Inputs'!$B$10/2)*(1-$B$8))+(MIN((D28+(MIN(D28/$B$10,'NG Inputs'!$B$9)*($B$9-'NG Inputs'!$B$5-'NG Inputs'!$B$6-2*'NG Inputs'!$B$7*SQRT(MIN(D28/$B$10,'NG Inputs'!$B$9)/'NG Inputs'!$B$8))+MAX(D28-MIN(D28/$B$10,'NG Inputs'!$B$9)*$B$10,0)*'NG Inputs'!$B$10/2)*(1-$B$8))/$B$10,'NG Inputs'!$B$9)*($B$9-'NG Inputs'!$B$5-'NG Inputs'!$B$6-2*'NG Inputs'!$B$7*SQRT(MIN((D28+(MIN(D28/$B$10,'NG Inputs'!$B$9)*($B$9-'NG Inputs'!$B$5-'NG Inputs'!$B$6-2*'NG Inputs'!$B$7*SQRT(MIN(D28/$B$10,'NG Inputs'!$B$9)/'NG Inputs'!$B$8))+MAX(D28-MIN(D28/$B$10,'NG Inputs'!$B$9)*$B$10,0)*'NG Inputs'!$B$10/2)*(1-$B$8))/$B$10,'NG Inputs'!$B$9)/'NG Inputs'!$B$8))+MAX((D28+(MIN(D28/$B$10,'NG Inputs'!$B$9)*($B$9-'NG Inputs'!$B$5-'NG Inputs'!$B$6-2*'NG Inputs'!$B$7*SQRT(MIN(D28/$B$10,'NG Inputs'!$B$9)/'NG Inputs'!$B$8))+MAX(D28-MIN(D28/$B$10,'NG Inputs'!$B$9)*$B$10,0)*'NG Inputs'!$B$10/2)*(1-$B$8))-MIN((D28+(MIN(D28/$B$10,'NG Inputs'!$B$9)*($B$9-'NG Inputs'!$B$5-'NG Inputs'!$B$6-2*'NG Inputs'!$B$7*SQRT(MIN(D28/$B$10,'NG Inputs'!$B$9)/'NG Inputs'!$B$8))+MAX(D28-MIN(D28/$B$10,'NG Inputs'!$B$9)*$B$10,0)*'NG Inputs'!$B$10/2)*(1-$B$8))/$B$10,'NG Inputs'!$B$9)*$B$10,0)*'NG Inputs'!$B$10/2)*(1-$B$8)-INDEX('NG Scenarios'!$C$11:$C$25,A29)*(1-$B$8),$B$5)</f>
        <v/>
      </c>
      <c r="E29" s="52">
        <f>IF(E28&gt;0,E28+(($B$6*E28-$B$7)*(12/18))*(1-$B$8),0)+MAX((D28+(MIN(D28/$B$10,'NG Inputs'!$B$9)*($B$9-'NG Inputs'!$B$5-'NG Inputs'!$B$6-2*'NG Inputs'!$B$7*SQRT(MIN(D28/$B$10,'NG Inputs'!$B$9)/'NG Inputs'!$B$8))+MAX(D28-MIN(D28/$B$10,'NG Inputs'!$B$9)*$B$10,0)*'NG Inputs'!$B$10/2)*(1-$B$8))+(MIN((D28+(MIN(D28/$B$10,'NG Inputs'!$B$9)*($B$9-'NG Inputs'!$B$5-'NG Inputs'!$B$6-2*'NG Inputs'!$B$7*SQRT(MIN(D28/$B$10,'NG Inputs'!$B$9)/'NG Inputs'!$B$8))+MAX(D28-MIN(D28/$B$10,'NG Inputs'!$B$9)*$B$10,0)*'NG Inputs'!$B$10/2)*(1-$B$8))/$B$10,'NG Inputs'!$B$9)*($B$9-'NG Inputs'!$B$5-'NG Inputs'!$B$6-2*'NG Inputs'!$B$7*SQRT(MIN((D28+(MIN(D28/$B$10,'NG Inputs'!$B$9)*($B$9-'NG Inputs'!$B$5-'NG Inputs'!$B$6-2*'NG Inputs'!$B$7*SQRT(MIN(D28/$B$10,'NG Inputs'!$B$9)/'NG Inputs'!$B$8))+MAX(D28-MIN(D28/$B$10,'NG Inputs'!$B$9)*$B$10,0)*'NG Inputs'!$B$10/2)*(1-$B$8))/$B$10,'NG Inputs'!$B$9)/'NG Inputs'!$B$8))+MAX((D28+(MIN(D28/$B$10,'NG Inputs'!$B$9)*($B$9-'NG Inputs'!$B$5-'NG Inputs'!$B$6-2*'NG Inputs'!$B$7*SQRT(MIN(D28/$B$10,'NG Inputs'!$B$9)/'NG Inputs'!$B$8))+MAX(D28-MIN(D28/$B$10,'NG Inputs'!$B$9)*$B$10,0)*'NG Inputs'!$B$10/2)*(1-$B$8))-MIN((D28+(MIN(D28/$B$10,'NG Inputs'!$B$9)*($B$9-'NG Inputs'!$B$5-'NG Inputs'!$B$6-2*'NG Inputs'!$B$7*SQRT(MIN(D28/$B$10,'NG Inputs'!$B$9)/'NG Inputs'!$B$8))+MAX(D28-MIN(D28/$B$10,'NG Inputs'!$B$9)*$B$10,0)*'NG Inputs'!$B$10/2)*(1-$B$8))/$B$10,'NG Inputs'!$B$9)*$B$10,0)*'NG Inputs'!$B$10/2)*(1-$B$8)-INDEX('NG Scenarios'!$C$11:$C$25,A29)*(1-$B$8)-$B$5,0)</f>
        <v/>
      </c>
      <c r="F29" s="52">
        <f>D29+E29</f>
        <v/>
      </c>
    </row>
    <row r="30"/>
    <row r="31" ht="15" customHeight="1">
      <c r="A31" s="68" t="inlineStr">
        <is>
          <t>Year-15 terminal (₹ Cr):</t>
        </is>
      </c>
      <c r="B31" s="69">
        <f>B29/10000000</f>
        <v/>
      </c>
      <c r="C31" s="69">
        <f>C29/10000000</f>
        <v/>
      </c>
      <c r="F31" s="69">
        <f>F29/10000000</f>
        <v/>
      </c>
    </row>
    <row r="32" ht="15" customHeight="1">
      <c r="A32" s="68" t="inlineStr">
        <is>
          <t>Wealth destroyed by stubbornly staying vs hybrid (× factor):</t>
        </is>
      </c>
      <c r="B32" s="70">
        <f>F29/B29</f>
        <v/>
      </c>
    </row>
  </sheetData>
  <mergeCells count="3">
    <mergeCell ref="A2:F2"/>
    <mergeCell ref="A1:F1"/>
    <mergeCell ref="A4:F4"/>
  </mergeCells>
  <pageMargins left="0.75" right="0.75" top="1" bottom="1" header="0.511811023622047" footer="0.511811023622047"/>
  <pageSetup orientation="landscape" paperSize="9" fitToHeight="0" fitToWidth="1" horizontalDpi="300" verticalDpi="300"/>
</worksheet>
</file>

<file path=xl/worksheets/sheet6.xml><?xml version="1.0" encoding="utf-8"?>
<worksheet xmlns="http://schemas.openxmlformats.org/spreadsheetml/2006/main">
  <sheetPr>
    <tabColor rgb="007F8FA9"/>
    <outlinePr summaryBelow="1" summaryRight="1"/>
    <pageSetUpPr fitToPage="1"/>
  </sheetPr>
  <dimension ref="A1:G53"/>
  <sheetViews>
    <sheetView showGridLines="0" tabSelected="0" workbookViewId="0">
      <selection activeCell="A1" sqref="A1"/>
    </sheetView>
  </sheetViews>
  <sheetFormatPr baseColWidth="8" defaultRowHeight="15"/>
  <cols>
    <col width="5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51" t="inlineStr">
        <is>
          <t>NG RISK AND SIZING  ·  roll cost · margin-hike trap · Kelly</t>
        </is>
      </c>
      <c r="B1" s="152" t="n"/>
      <c r="C1" s="152" t="n"/>
      <c r="D1" s="152" t="n"/>
      <c r="E1" s="152" t="n"/>
      <c r="F1" s="152" t="n"/>
      <c r="G1" s="152" t="n"/>
    </row>
    <row r="2" ht="30" customHeight="1">
      <c r="A2" s="153" t="inlineStr">
        <is>
          <t>Three small natural-gas checks on one page. Blue = edit here, green = linked from NG Inputs / NG Data / NG Scenarios.</t>
        </is>
      </c>
    </row>
    <row r="4" ht="20" customHeight="1">
      <c r="A4" s="154" t="inlineStr">
        <is>
          <t>1 · ROLL &amp; COST DRAG  —  what rolling contracts and costs take from return on capital</t>
        </is>
      </c>
      <c r="B4" s="155" t="n"/>
      <c r="C4" s="155" t="n"/>
      <c r="D4" s="155" t="n"/>
      <c r="E4" s="155" t="n"/>
      <c r="F4" s="155" t="n"/>
      <c r="G4" s="155" t="n"/>
    </row>
    <row r="5">
      <c r="A5" s="164" t="inlineStr">
        <is>
          <t>Roll gap per roll (% notional)</t>
        </is>
      </c>
      <c r="B5" s="191" t="n">
        <v>0.01</v>
      </c>
      <c r="C5" s="166" t="inlineStr">
        <is>
          <t>Placeholder — measure from your prices; contango months can exceed 2%</t>
        </is>
      </c>
    </row>
    <row r="6">
      <c r="A6" s="164" t="inlineStr">
        <is>
          <t>Expected rolls per trade</t>
        </is>
      </c>
      <c r="B6" s="192" t="n">
        <v>0.5</v>
      </c>
      <c r="C6" s="166" t="inlineStr">
        <is>
          <t>Swing duration ÷ contract window</t>
        </is>
      </c>
    </row>
    <row r="7">
      <c r="A7" s="164" t="inlineStr">
        <is>
          <t>Txn + brokerage round trip (% notional)</t>
        </is>
      </c>
      <c r="B7" s="210">
        <f>'NG Inputs'!B6</f>
        <v/>
      </c>
      <c r="C7" s="166" t="inlineStr">
        <is>
          <t>From NG Inputs</t>
        </is>
      </c>
    </row>
    <row r="8">
      <c r="A8" s="164" t="inlineStr">
        <is>
          <t>Margin % (base case)</t>
        </is>
      </c>
      <c r="B8" s="193">
        <f>'NG Data'!D134</f>
        <v/>
      </c>
      <c r="C8" s="166" t="inlineStr">
        <is>
          <t>25–30% bucket average from NG Data</t>
        </is>
      </c>
    </row>
    <row r="9">
      <c r="A9" s="164" t="inlineStr">
        <is>
          <t>Gross move per trade</t>
        </is>
      </c>
      <c r="B9" s="193">
        <f>'NG Scenarios'!B6</f>
        <v/>
      </c>
      <c r="C9" s="166" t="inlineStr">
        <is>
          <t>Base-case move from NG Scenarios</t>
        </is>
      </c>
    </row>
    <row r="10">
      <c r="A10" s="164" t="inlineStr">
        <is>
          <t>Company tax rate</t>
        </is>
      </c>
      <c r="B10" s="193">
        <f>'NG Inputs'!B4</f>
        <v/>
      </c>
      <c r="C10" s="166" t="inlineStr">
        <is>
          <t>From NG Inputs</t>
        </is>
      </c>
    </row>
    <row r="11">
      <c r="A11" s="164" t="inlineStr">
        <is>
          <t>Cost per trade (% notional)</t>
        </is>
      </c>
      <c r="B11" s="199">
        <f>B5*B6+B7</f>
        <v/>
      </c>
    </row>
    <row r="12">
      <c r="A12" s="164" t="inlineStr">
        <is>
          <t>Gross return on capital per trade</t>
        </is>
      </c>
      <c r="B12" s="199">
        <f>B9/B8</f>
        <v/>
      </c>
    </row>
    <row r="13">
      <c r="A13" s="164" t="inlineStr">
        <is>
          <t>ROC drag from costs</t>
        </is>
      </c>
      <c r="B13" s="199">
        <f>(B5*B6+B7)/B8</f>
        <v/>
      </c>
    </row>
    <row r="14">
      <c r="A14" s="164" t="inlineStr">
        <is>
          <t>NET return on capital per trade</t>
        </is>
      </c>
      <c r="B14" s="199">
        <f>(B9-B5*B6-B7)/B8</f>
        <v/>
      </c>
    </row>
    <row r="15">
      <c r="A15" s="164" t="inlineStr">
        <is>
          <t>Return lost per trade (points of ROC)</t>
        </is>
      </c>
      <c r="B15" s="199">
        <f>B12-B14</f>
        <v/>
      </c>
    </row>
    <row r="16">
      <c r="A16" s="164" t="inlineStr">
        <is>
          <t>15-year terminal impact, 2 trades/yr, after tax (× factor)</t>
        </is>
      </c>
      <c r="B16" s="201">
        <f>((1+B14*(1-B10))/(1+B12*(1-B10)))^30</f>
        <v/>
      </c>
    </row>
    <row r="18" ht="20" customHeight="1">
      <c r="A18" s="154" t="inlineStr">
        <is>
          <t>2 · MARGIN-HIKE TRAP  —  chance of capital being locked at a higher margin</t>
        </is>
      </c>
      <c r="B18" s="155" t="n"/>
      <c r="C18" s="155" t="n"/>
      <c r="D18" s="155" t="n"/>
      <c r="E18" s="155" t="n"/>
      <c r="F18" s="155" t="n"/>
      <c r="G18" s="155" t="n"/>
    </row>
    <row r="19">
      <c r="A19" s="164" t="inlineStr">
        <is>
          <t>Quiet-spike events observed</t>
        </is>
      </c>
      <c r="B19" s="185" t="n">
        <v>23</v>
      </c>
      <c r="C19" s="166" t="inlineStr"/>
    </row>
    <row r="20">
      <c r="A20" s="164" t="inlineStr">
        <is>
          <t>Observation years</t>
        </is>
      </c>
      <c r="B20" s="197" t="n">
        <v>16.4</v>
      </c>
      <c r="C20" s="166" t="inlineStr"/>
    </row>
    <row r="21">
      <c r="A21" s="164" t="inlineStr">
        <is>
          <t>Trading days per year</t>
        </is>
      </c>
      <c r="B21" s="185" t="n">
        <v>250</v>
      </c>
      <c r="C21" s="166" t="inlineStr"/>
    </row>
    <row r="22">
      <c r="A22" s="164" t="inlineStr">
        <is>
          <t>Trade window (days)</t>
        </is>
      </c>
      <c r="B22" s="185" t="n">
        <v>30</v>
      </c>
      <c r="C22" s="166" t="inlineStr"/>
    </row>
    <row r="23">
      <c r="A23" s="164" t="inlineStr">
        <is>
          <t>Margin before hike</t>
        </is>
      </c>
      <c r="B23" s="186">
        <f>B8</f>
        <v/>
      </c>
      <c r="C23" s="166" t="inlineStr">
        <is>
          <t>Linked to section 1</t>
        </is>
      </c>
    </row>
    <row r="24">
      <c r="A24" s="164" t="inlineStr">
        <is>
          <t>Margin after hike</t>
        </is>
      </c>
      <c r="B24" s="191" t="n">
        <v>0.4</v>
      </c>
      <c r="C24" s="166" t="inlineStr"/>
    </row>
    <row r="25">
      <c r="A25" s="164" t="inlineStr">
        <is>
          <t>Share of move still to come when hiked</t>
        </is>
      </c>
      <c r="B25" s="191" t="n">
        <v>0.5</v>
      </c>
      <c r="C25" s="166" t="inlineStr"/>
    </row>
    <row r="26">
      <c r="A26" s="164" t="inlineStr">
        <is>
          <t>Base gross ROC per trade</t>
        </is>
      </c>
      <c r="B26" s="186">
        <f>B12</f>
        <v/>
      </c>
      <c r="C26" s="166" t="inlineStr">
        <is>
          <t>Linked to section 1</t>
        </is>
      </c>
    </row>
    <row r="27">
      <c r="A27" s="164" t="inlineStr">
        <is>
          <t>Daily quiet-spike probability</t>
        </is>
      </c>
      <c r="B27" s="211">
        <f>B19/(B20*B21)</f>
        <v/>
      </c>
    </row>
    <row r="28">
      <c r="A28" s="164" t="inlineStr">
        <is>
          <t>Chance of a hike inside one trade window</t>
        </is>
      </c>
      <c r="B28" s="199">
        <f>1-(1-B19/(B20*B21))^B22</f>
        <v/>
      </c>
    </row>
    <row r="29">
      <c r="A29" s="164" t="inlineStr">
        <is>
          <t>Forced position cut if fully deployed</t>
        </is>
      </c>
      <c r="B29" s="199">
        <f>1-B23/B24</f>
        <v/>
      </c>
    </row>
    <row r="30">
      <c r="A30" s="164" t="inlineStr">
        <is>
          <t>Expected ROC haircut per trade</t>
        </is>
      </c>
      <c r="B30" s="199">
        <f>B28*B29*B25*B26</f>
        <v/>
      </c>
    </row>
    <row r="31">
      <c r="A31" s="164" t="inlineStr">
        <is>
          <t>Annualised return drag (2 trades/yr, after tax)</t>
        </is>
      </c>
      <c r="B31" s="199">
        <f>((1+(B26-B30)*(1-B10))^2)/((1+B26*(1-B10))^2)-1</f>
        <v/>
      </c>
    </row>
    <row r="32">
      <c r="A32" s="166" t="inlineStr">
        <is>
          <t>Rule: keep free collateral of at least 1 − (margin before ÷ margin after) of the corpus; another reason to stay below full Kelly.</t>
        </is>
      </c>
    </row>
    <row r="34" ht="20" customHeight="1">
      <c r="A34" s="154" t="inlineStr">
        <is>
          <t>3 · KELLY SIZING  —  how much of the corpus to put up as margin</t>
        </is>
      </c>
      <c r="B34" s="155" t="n"/>
      <c r="C34" s="155" t="n"/>
      <c r="D34" s="155" t="n"/>
      <c r="E34" s="155" t="n"/>
      <c r="F34" s="155" t="n"/>
      <c r="G34" s="155" t="n"/>
    </row>
    <row r="35">
      <c r="A35" s="164" t="inlineStr">
        <is>
          <t>Win probability p (YOUR estimate)</t>
        </is>
      </c>
      <c r="B35" s="187" t="n">
        <v>0.55</v>
      </c>
      <c r="C35" s="166" t="inlineStr">
        <is>
          <t>Not data-derived</t>
        </is>
      </c>
    </row>
    <row r="36">
      <c r="A36" s="164" t="inlineStr">
        <is>
          <t>Win return on capital b</t>
        </is>
      </c>
      <c r="B36" s="186">
        <f>B12</f>
        <v/>
      </c>
      <c r="C36" s="166" t="inlineStr">
        <is>
          <t>Linked to section 1</t>
        </is>
      </c>
    </row>
    <row r="37">
      <c r="A37" s="164" t="inlineStr">
        <is>
          <t>Stop-loss adverse move</t>
        </is>
      </c>
      <c r="B37" s="191" t="n">
        <v>0.07000000000000001</v>
      </c>
      <c r="C37" s="166" t="inlineStr"/>
    </row>
    <row r="38">
      <c r="A38" s="164" t="inlineStr">
        <is>
          <t>Margin %</t>
        </is>
      </c>
      <c r="B38" s="186">
        <f>B8</f>
        <v/>
      </c>
      <c r="C38" s="166" t="inlineStr">
        <is>
          <t>Linked to section 1</t>
        </is>
      </c>
    </row>
    <row r="39">
      <c r="A39" s="164" t="inlineStr">
        <is>
          <t>Loss per unit staked (stop ÷ margin)</t>
        </is>
      </c>
      <c r="B39" s="199">
        <f>B37/B38</f>
        <v/>
      </c>
    </row>
    <row r="40">
      <c r="A40" s="164" t="inlineStr">
        <is>
          <t>Full Kelly f* = p/a − (1−p)/b</t>
        </is>
      </c>
      <c r="B40" s="212">
        <f>B35/B39-(1-B35)/B36</f>
        <v/>
      </c>
    </row>
    <row r="41">
      <c r="A41" s="164" t="inlineStr">
        <is>
          <t>Deployable (capped at 100%)</t>
        </is>
      </c>
      <c r="B41" s="213">
        <f>MIN(B40,1)</f>
        <v/>
      </c>
    </row>
    <row r="42">
      <c r="A42" s="164" t="inlineStr">
        <is>
          <t>Half-Kelly (recommended)</t>
        </is>
      </c>
      <c r="B42" s="213">
        <f>MIN(B40/2,1)</f>
        <v/>
      </c>
    </row>
    <row r="43">
      <c r="A43" s="164" t="inlineStr">
        <is>
          <t>Expected log-growth per trade at half-Kelly</t>
        </is>
      </c>
      <c r="B43" s="214">
        <f>B35*LN(1+B42*B36)+(1-B35)*LN(1-B42*B39)</f>
        <v/>
      </c>
    </row>
    <row r="44">
      <c r="A44" s="164" t="inlineStr">
        <is>
          <t>Sanity check</t>
        </is>
      </c>
      <c r="B44" s="215">
        <f>IF(B40&gt;1,"⚠ Full Kelly is above 100% — your win rate / stop imply an unrealistic edge; size well below it","OK")</f>
        <v/>
      </c>
    </row>
    <row r="46" ht="20" customHeight="1">
      <c r="A46" s="188" t="inlineStr">
        <is>
          <t>Full-Kelly sensitivity  —  win probability (rows) × stop-loss move (columns)</t>
        </is>
      </c>
      <c r="B46" s="152" t="n"/>
      <c r="C46" s="152" t="n"/>
      <c r="D46" s="152" t="n"/>
      <c r="E46" s="152" t="n"/>
      <c r="F46" s="152" t="n"/>
      <c r="G46" s="152" t="n"/>
    </row>
    <row r="47" ht="22" customHeight="1">
      <c r="A47" s="156" t="inlineStr">
        <is>
          <t>p \ stop</t>
        </is>
      </c>
      <c r="B47" s="216" t="n">
        <v>0.05</v>
      </c>
      <c r="C47" s="216" t="n">
        <v>0.07000000000000001</v>
      </c>
      <c r="D47" s="216" t="n">
        <v>0.1</v>
      </c>
      <c r="E47" s="216" t="n">
        <v>0.12</v>
      </c>
      <c r="F47" s="216" t="n">
        <v>0.15</v>
      </c>
    </row>
    <row r="48">
      <c r="A48" s="187" t="n">
        <v>0.45</v>
      </c>
      <c r="B48" s="217">
        <f>$A48/(B$47/$B$38)-(1-$A48)/$B$36</f>
        <v/>
      </c>
      <c r="C48" s="217">
        <f>$A48/(C$47/$B$38)-(1-$A48)/$B$36</f>
        <v/>
      </c>
      <c r="D48" s="217">
        <f>$A48/(D$47/$B$38)-(1-$A48)/$B$36</f>
        <v/>
      </c>
      <c r="E48" s="217">
        <f>$A48/(E$47/$B$38)-(1-$A48)/$B$36</f>
        <v/>
      </c>
      <c r="F48" s="217">
        <f>$A48/(F$47/$B$38)-(1-$A48)/$B$36</f>
        <v/>
      </c>
    </row>
    <row r="49">
      <c r="A49" s="187" t="n">
        <v>0.5</v>
      </c>
      <c r="B49" s="217">
        <f>$A49/(B$47/$B$38)-(1-$A49)/$B$36</f>
        <v/>
      </c>
      <c r="C49" s="217">
        <f>$A49/(C$47/$B$38)-(1-$A49)/$B$36</f>
        <v/>
      </c>
      <c r="D49" s="217">
        <f>$A49/(D$47/$B$38)-(1-$A49)/$B$36</f>
        <v/>
      </c>
      <c r="E49" s="217">
        <f>$A49/(E$47/$B$38)-(1-$A49)/$B$36</f>
        <v/>
      </c>
      <c r="F49" s="217">
        <f>$A49/(F$47/$B$38)-(1-$A49)/$B$36</f>
        <v/>
      </c>
    </row>
    <row r="50">
      <c r="A50" s="187" t="n">
        <v>0.55</v>
      </c>
      <c r="B50" s="217">
        <f>$A50/(B$47/$B$38)-(1-$A50)/$B$36</f>
        <v/>
      </c>
      <c r="C50" s="217">
        <f>$A50/(C$47/$B$38)-(1-$A50)/$B$36</f>
        <v/>
      </c>
      <c r="D50" s="217">
        <f>$A50/(D$47/$B$38)-(1-$A50)/$B$36</f>
        <v/>
      </c>
      <c r="E50" s="217">
        <f>$A50/(E$47/$B$38)-(1-$A50)/$B$36</f>
        <v/>
      </c>
      <c r="F50" s="217">
        <f>$A50/(F$47/$B$38)-(1-$A50)/$B$36</f>
        <v/>
      </c>
    </row>
    <row r="51">
      <c r="A51" s="187" t="n">
        <v>0.6</v>
      </c>
      <c r="B51" s="217">
        <f>$A51/(B$47/$B$38)-(1-$A51)/$B$36</f>
        <v/>
      </c>
      <c r="C51" s="217">
        <f>$A51/(C$47/$B$38)-(1-$A51)/$B$36</f>
        <v/>
      </c>
      <c r="D51" s="217">
        <f>$A51/(D$47/$B$38)-(1-$A51)/$B$36</f>
        <v/>
      </c>
      <c r="E51" s="217">
        <f>$A51/(E$47/$B$38)-(1-$A51)/$B$36</f>
        <v/>
      </c>
      <c r="F51" s="217">
        <f>$A51/(F$47/$B$38)-(1-$A51)/$B$36</f>
        <v/>
      </c>
    </row>
    <row r="52">
      <c r="A52" s="187" t="n">
        <v>0.65</v>
      </c>
      <c r="B52" s="217">
        <f>$A52/(B$47/$B$38)-(1-$A52)/$B$36</f>
        <v/>
      </c>
      <c r="C52" s="217">
        <f>$A52/(C$47/$B$38)-(1-$A52)/$B$36</f>
        <v/>
      </c>
      <c r="D52" s="217">
        <f>$A52/(D$47/$B$38)-(1-$A52)/$B$36</f>
        <v/>
      </c>
      <c r="E52" s="217">
        <f>$A52/(E$47/$B$38)-(1-$A52)/$B$36</f>
        <v/>
      </c>
      <c r="F52" s="217">
        <f>$A52/(F$47/$B$38)-(1-$A52)/$B$36</f>
        <v/>
      </c>
    </row>
    <row r="53">
      <c r="A53" s="187" t="n">
        <v>0.7</v>
      </c>
      <c r="B53" s="217">
        <f>$A53/(B$47/$B$38)-(1-$A53)/$B$36</f>
        <v/>
      </c>
      <c r="C53" s="217">
        <f>$A53/(C$47/$B$38)-(1-$A53)/$B$36</f>
        <v/>
      </c>
      <c r="D53" s="217">
        <f>$A53/(D$47/$B$38)-(1-$A53)/$B$36</f>
        <v/>
      </c>
      <c r="E53" s="217">
        <f>$A53/(E$47/$B$38)-(1-$A53)/$B$36</f>
        <v/>
      </c>
      <c r="F53" s="217">
        <f>$A53/(F$47/$B$38)-(1-$A53)/$B$36</f>
        <v/>
      </c>
    </row>
  </sheetData>
  <mergeCells count="6">
    <mergeCell ref="A1:G1"/>
    <mergeCell ref="A18:G18"/>
    <mergeCell ref="A34:G34"/>
    <mergeCell ref="A4:G4"/>
    <mergeCell ref="A2:G2"/>
    <mergeCell ref="A46:G46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F8FA9"/>
    <outlinePr summaryBelow="1" summaryRight="1"/>
    <pageSetUpPr fitToPage="1"/>
  </sheetPr>
  <dimension ref="A1:C33"/>
  <sheetViews>
    <sheetView showGridLines="0" tabSelected="0" zoomScaleNormal="100" workbookViewId="0">
      <selection activeCell="A1" sqref="A1:C1"/>
    </sheetView>
  </sheetViews>
  <sheetFormatPr baseColWidth="8" defaultColWidth="8.6640625" defaultRowHeight="14.4"/>
  <cols>
    <col width="34" customWidth="1" min="1" max="1"/>
    <col width="16" customWidth="1" min="2" max="2"/>
    <col width="86" customWidth="1" min="3" max="3"/>
  </cols>
  <sheetData>
    <row r="1" ht="30" customHeight="1">
      <c r="A1" s="142" t="inlineStr">
        <is>
          <t>REBUILT ENGINE  ·  SHARED INPUTS</t>
        </is>
      </c>
    </row>
    <row r="2" ht="18" customHeight="1">
      <c r="A2" s="143" t="inlineStr">
        <is>
          <t>Blue cells drive every NG scenario tab. Edit here; the whole model reprices.</t>
        </is>
      </c>
    </row>
    <row r="3" ht="25.5" customHeight="1">
      <c r="A3" s="2" t="inlineStr">
        <is>
          <t>Parameter</t>
        </is>
      </c>
      <c r="B3" s="2" t="inlineStr">
        <is>
          <t>Value</t>
        </is>
      </c>
      <c r="C3" s="2" t="inlineStr">
        <is>
          <t>Basis</t>
        </is>
      </c>
    </row>
    <row r="4" ht="15" customHeight="1">
      <c r="A4" s="3" t="inlineStr">
        <is>
          <t>Tax rate (115BAA per-trade)</t>
        </is>
      </c>
      <c r="B4" s="4" t="n">
        <v>0.25168</v>
      </c>
      <c r="C4" s="5" t="inlineStr">
        <is>
          <t>Flat 22%+10% surch+4% cess; applied per trade (conservative vs annual assessment)</t>
        </is>
      </c>
    </row>
    <row r="5" ht="15" customHeight="1">
      <c r="A5" s="3" t="inlineStr">
        <is>
          <t>Roll + carry cost (% notional / trade)</t>
        </is>
      </c>
      <c r="B5" s="6" t="n">
        <v>0.005</v>
      </c>
      <c r="C5" s="5" t="inlineStr">
        <is>
          <t>PDF gives MARGIN term structure only, not price contango; 0.50% is a placeholder INPUT — replace with measured roll gaps</t>
        </is>
      </c>
    </row>
    <row r="6" ht="15" customHeight="1">
      <c r="A6" s="3" t="inlineStr">
        <is>
          <t>Txn + brokerage RT (% notional)</t>
        </is>
      </c>
      <c r="B6" s="4" t="n">
        <v>0.0005999999999999999</v>
      </c>
      <c r="C6" s="5" t="inlineStr">
        <is>
          <t>CTT 0.01% sell side + brokerage + stamp; round trip</t>
        </is>
      </c>
    </row>
    <row r="7" ht="15" customHeight="1">
      <c r="A7" s="3" t="inlineStr">
        <is>
          <t>Daily realized vol (for impact)</t>
        </is>
      </c>
      <c r="B7" s="6" t="n">
        <v>0.028</v>
      </c>
      <c r="C7" s="5" t="inlineStr">
        <is>
          <t>≈45% ann. vol (PDF leg avg) / √252</t>
        </is>
      </c>
    </row>
    <row r="8" ht="15" customHeight="1">
      <c r="A8" s="3" t="inlineStr">
        <is>
          <t>ADV notional (₹)</t>
        </is>
      </c>
      <c r="B8" s="7" t="n">
        <v>37800000000</v>
      </c>
      <c r="C8" s="5" t="inlineStr">
        <is>
          <t>≈100,000 lots/day (PDF 2025-26 legs) × 1,250 mmBtu × ₹302.4 ≈ ₹3,780 Cr</t>
        </is>
      </c>
    </row>
    <row r="9" ht="15" customHeight="1">
      <c r="A9" s="3" t="inlineStr">
        <is>
          <t>Max notional per position (₹)</t>
        </is>
      </c>
      <c r="B9" s="7" t="n">
        <v>3780000000</v>
      </c>
      <c r="C9" s="5" t="inlineStr">
        <is>
          <t>10% of ADV: ≤2%/day participation × ~5-day entry+exit. HARD liquidity ceiling</t>
        </is>
      </c>
    </row>
    <row r="10" ht="15" customHeight="1">
      <c r="A10" s="3" t="inlineStr">
        <is>
          <t>Idle-capital yield (liquid fund)</t>
        </is>
      </c>
      <c r="B10" s="8" t="n">
        <v>0.065</v>
      </c>
      <c r="C10" s="5" t="inlineStr">
        <is>
          <t>Undeployable capital above ceiling parked in liquid funds</t>
        </is>
      </c>
    </row>
    <row r="11" ht="15" customHeight="1">
      <c r="A11" s="3" t="inlineStr">
        <is>
          <t>GIFT gateway capital (₹)</t>
        </is>
      </c>
      <c r="B11" s="9" t="n">
        <v>200000000</v>
      </c>
      <c r="C11" s="5" t="inlineStr">
        <is>
          <t>₹20 Cr — corporate wrapper inflection from US ETF tab</t>
        </is>
      </c>
    </row>
    <row r="12" ht="15" customHeight="1">
      <c r="A12" s="3" t="inlineStr">
        <is>
          <t>Deployment fraction of corpus</t>
        </is>
      </c>
      <c r="B12" s="8" t="n">
        <v>1</v>
      </c>
      <c r="C12" s="5" t="inlineStr">
        <is>
          <t>Set &lt;1 to apply Kelly sizing from Kelly tab</t>
        </is>
      </c>
    </row>
    <row r="14">
      <c r="A14" s="218" t="inlineStr">
        <is>
          <t>PERSONAL TAX TABLES  —  new regime, used by the MCX Company vs Personal tab (business income of an individual trader)</t>
        </is>
      </c>
      <c r="B14" s="155" t="n"/>
      <c r="C14" s="155" t="n"/>
    </row>
    <row r="15" ht="22" customHeight="1">
      <c r="A15" s="156" t="inlineStr">
        <is>
          <t>Income above ₹ Cr</t>
        </is>
      </c>
      <c r="B15" s="156" t="inlineStr">
        <is>
          <t>Slab rate</t>
        </is>
      </c>
      <c r="C15" s="156" t="inlineStr">
        <is>
          <t>Rate step (used in the formula)</t>
        </is>
      </c>
    </row>
    <row r="16">
      <c r="A16" s="192" t="n">
        <v>0</v>
      </c>
      <c r="B16" s="187" t="n">
        <v>0</v>
      </c>
      <c r="C16" s="189">
        <f>B16</f>
        <v/>
      </c>
    </row>
    <row r="17">
      <c r="A17" s="192" t="n">
        <v>0.04</v>
      </c>
      <c r="B17" s="187" t="n">
        <v>0.05</v>
      </c>
      <c r="C17" s="189">
        <f>B17-B16</f>
        <v/>
      </c>
    </row>
    <row r="18">
      <c r="A18" s="192" t="n">
        <v>0.08</v>
      </c>
      <c r="B18" s="187" t="n">
        <v>0.1</v>
      </c>
      <c r="C18" s="189">
        <f>B18-B17</f>
        <v/>
      </c>
    </row>
    <row r="19">
      <c r="A19" s="192" t="n">
        <v>0.12</v>
      </c>
      <c r="B19" s="187" t="n">
        <v>0.15</v>
      </c>
      <c r="C19" s="189">
        <f>B19-B18</f>
        <v/>
      </c>
    </row>
    <row r="20">
      <c r="A20" s="192" t="n">
        <v>0.16</v>
      </c>
      <c r="B20" s="187" t="n">
        <v>0.2</v>
      </c>
      <c r="C20" s="189">
        <f>B20-B19</f>
        <v/>
      </c>
    </row>
    <row r="21">
      <c r="A21" s="192" t="n">
        <v>0.2</v>
      </c>
      <c r="B21" s="187" t="n">
        <v>0.25</v>
      </c>
      <c r="C21" s="189">
        <f>B21-B20</f>
        <v/>
      </c>
    </row>
    <row r="22">
      <c r="A22" s="192" t="n">
        <v>0.24</v>
      </c>
      <c r="B22" s="187" t="n">
        <v>0.3</v>
      </c>
      <c r="C22" s="189">
        <f>B22-B21</f>
        <v/>
      </c>
    </row>
    <row r="23"/>
    <row r="24"/>
    <row r="25" ht="22" customHeight="1">
      <c r="A25" s="156" t="inlineStr">
        <is>
          <t>Income above ₹ Cr</t>
        </is>
      </c>
      <c r="B25" s="156" t="inlineStr">
        <is>
          <t>Surcharge</t>
        </is>
      </c>
      <c r="C25" s="156" t="inlineStr">
        <is>
          <t>Note</t>
        </is>
      </c>
    </row>
    <row r="26">
      <c r="A26" s="197" t="n">
        <v>0</v>
      </c>
      <c r="B26" s="187" t="n">
        <v>0</v>
      </c>
      <c r="C26" s="164" t="inlineStr">
        <is>
          <t>Surcharge on total income; no marginal relief modelled (slightly conservative)</t>
        </is>
      </c>
    </row>
    <row r="27">
      <c r="A27" s="197" t="n">
        <v>0.5</v>
      </c>
      <c r="B27" s="187" t="n">
        <v>0.1</v>
      </c>
    </row>
    <row r="28">
      <c r="A28" s="197" t="n">
        <v>1</v>
      </c>
      <c r="B28" s="187" t="n">
        <v>0.15</v>
      </c>
    </row>
    <row r="29">
      <c r="A29" s="197" t="n">
        <v>2</v>
      </c>
      <c r="B29" s="187" t="n">
        <v>0.25</v>
      </c>
    </row>
    <row r="30"/>
    <row r="31">
      <c r="A31" s="164" t="inlineStr">
        <is>
          <t>Health &amp; education cess</t>
        </is>
      </c>
      <c r="B31" s="187" t="n">
        <v>0.04</v>
      </c>
    </row>
    <row r="32">
      <c r="A32" s="164" t="inlineStr">
        <is>
          <t>s.87A rebate: no tax up to ₹ Cr</t>
        </is>
      </c>
      <c r="B32" s="192" t="n">
        <v>0.12</v>
      </c>
      <c r="C32" s="166" t="inlineStr">
        <is>
          <t>Slabs as understood for FY2025-26 — confirm current slabs with your CA</t>
        </is>
      </c>
    </row>
    <row r="33"/>
  </sheetData>
  <mergeCells count="3">
    <mergeCell ref="A1:C1"/>
    <mergeCell ref="A14:C14"/>
    <mergeCell ref="A2:C2"/>
  </mergeCells>
  <pageMargins left="0.75" right="0.75" top="1" bottom="1" header="0.511811023622047" footer="0.511811023622047"/>
  <pageSetup orientation="landscape" paperSize="9" fitToHeight="0" fitToWidth="1" horizontalDpi="300" verticalDpi="300"/>
</worksheet>
</file>

<file path=xl/worksheets/sheet8.xml><?xml version="1.0" encoding="utf-8"?>
<worksheet xmlns="http://schemas.openxmlformats.org/spreadsheetml/2006/main">
  <sheetPr>
    <tabColor rgb="007F8FA9"/>
    <outlinePr summaryBelow="1" summaryRight="1"/>
    <pageSetUpPr fitToPage="1"/>
  </sheetPr>
  <dimension ref="A1:F138"/>
  <sheetViews>
    <sheetView showGridLines="0" tabSelected="0" zoomScaleNormal="100" workbookViewId="0">
      <pane ySplit="4" topLeftCell="A114" activePane="bottomLeft" state="frozen"/>
      <selection pane="bottomLeft" activeCell="D138" sqref="D138"/>
    </sheetView>
  </sheetViews>
  <sheetFormatPr baseColWidth="8" defaultColWidth="8.6640625" defaultRowHeight="14.4"/>
  <cols>
    <col width="14" customWidth="1" min="1" max="1"/>
    <col width="12" customWidth="1" min="2" max="2"/>
    <col width="22" customWidth="1" min="3" max="3"/>
    <col width="12" customWidth="1" min="4" max="5"/>
    <col width="30" customWidth="1" min="6" max="6"/>
  </cols>
  <sheetData>
    <row r="1" ht="30" customHeight="1">
      <c r="A1" s="142" t="inlineStr">
        <is>
          <t>DYNAMIC MARGIN ↔ MOVE LINK</t>
        </is>
      </c>
    </row>
    <row r="2" ht="18" customHeight="1">
      <c r="A2" s="143" t="inlineStr">
        <is>
          <t>123 contract legs (2020-2026) from the PDF Leg Dynamics table — kills the Static Margin Fallacy.</t>
        </is>
      </c>
    </row>
    <row r="3"/>
    <row r="4" ht="25.5" customHeight="1">
      <c r="A4" s="2" t="inlineStr">
        <is>
          <t>Year</t>
        </is>
      </c>
      <c r="B4" s="2" t="inlineStr">
        <is>
          <t>Move %</t>
        </is>
      </c>
      <c r="C4" s="2" t="inlineStr">
        <is>
          <t>Avg Margin % during leg</t>
        </is>
      </c>
      <c r="D4" s="2" t="inlineStr">
        <is>
          <t>|Move| %</t>
        </is>
      </c>
      <c r="E4" s="2" t="inlineStr">
        <is>
          <t>Lev. Eff. (|move|/margin)</t>
        </is>
      </c>
    </row>
    <row r="5" ht="13.5" customHeight="1">
      <c r="A5" s="10" t="n">
        <v>2020</v>
      </c>
      <c r="B5" s="11" t="n">
        <v>-0.2431</v>
      </c>
      <c r="C5" s="11" t="n">
        <v>0.1412</v>
      </c>
      <c r="D5" s="11">
        <f>ABS(B5)</f>
        <v/>
      </c>
      <c r="E5" s="12">
        <f>D5/C5</f>
        <v/>
      </c>
    </row>
    <row r="6" ht="13.5" customHeight="1">
      <c r="A6" s="13" t="n">
        <v>2020</v>
      </c>
      <c r="B6" s="14" t="n">
        <v>-0.1927</v>
      </c>
      <c r="C6" s="14" t="n">
        <v>0.1153</v>
      </c>
      <c r="D6" s="14">
        <f>ABS(B6)</f>
        <v/>
      </c>
      <c r="E6" s="15">
        <f>D6/C6</f>
        <v/>
      </c>
    </row>
    <row r="7" ht="13.5" customHeight="1">
      <c r="A7" s="10" t="n">
        <v>2020</v>
      </c>
      <c r="B7" s="11" t="n">
        <v>0.1746</v>
      </c>
      <c r="C7" s="11" t="n">
        <v>0.1417</v>
      </c>
      <c r="D7" s="11">
        <f>ABS(B7)</f>
        <v/>
      </c>
      <c r="E7" s="12">
        <f>D7/C7</f>
        <v/>
      </c>
    </row>
    <row r="8" ht="13.5" customHeight="1">
      <c r="A8" s="13" t="n">
        <v>2020</v>
      </c>
      <c r="B8" s="14" t="n">
        <v>0.1665</v>
      </c>
      <c r="C8" s="14" t="n">
        <v>0.1297</v>
      </c>
      <c r="D8" s="14">
        <f>ABS(B8)</f>
        <v/>
      </c>
      <c r="E8" s="15">
        <f>D8/C8</f>
        <v/>
      </c>
    </row>
    <row r="9" ht="13.5" customHeight="1">
      <c r="A9" s="10" t="n">
        <v>2020</v>
      </c>
      <c r="B9" s="11" t="n">
        <v>-0.1842</v>
      </c>
      <c r="C9" s="11" t="n">
        <v>0.1728</v>
      </c>
      <c r="D9" s="11">
        <f>ABS(B9)</f>
        <v/>
      </c>
      <c r="E9" s="12">
        <f>D9/C9</f>
        <v/>
      </c>
    </row>
    <row r="10" ht="13.5" customHeight="1">
      <c r="A10" s="13" t="n">
        <v>2020</v>
      </c>
      <c r="B10" s="14" t="n">
        <v>-0.1901</v>
      </c>
      <c r="C10" s="14" t="n">
        <v>0.1709</v>
      </c>
      <c r="D10" s="14">
        <f>ABS(B10)</f>
        <v/>
      </c>
      <c r="E10" s="15">
        <f>D10/C10</f>
        <v/>
      </c>
    </row>
    <row r="11" ht="13.5" customHeight="1">
      <c r="A11" s="10" t="n">
        <v>2020</v>
      </c>
      <c r="B11" s="11" t="n">
        <v>0.2155</v>
      </c>
      <c r="C11" s="11" t="n">
        <v>0.2316</v>
      </c>
      <c r="D11" s="11">
        <f>ABS(B11)</f>
        <v/>
      </c>
      <c r="E11" s="12">
        <f>D11/C11</f>
        <v/>
      </c>
    </row>
    <row r="12" ht="13.5" customHeight="1">
      <c r="A12" s="13" t="n">
        <v>2020</v>
      </c>
      <c r="B12" s="14" t="n">
        <v>0.2158</v>
      </c>
      <c r="C12" s="14" t="n">
        <v>0.2428</v>
      </c>
      <c r="D12" s="14">
        <f>ABS(B12)</f>
        <v/>
      </c>
      <c r="E12" s="15">
        <f>D12/C12</f>
        <v/>
      </c>
    </row>
    <row r="13" ht="13.5" customHeight="1">
      <c r="A13" s="10" t="n">
        <v>2020</v>
      </c>
      <c r="B13" s="11" t="n">
        <v>-0.2978</v>
      </c>
      <c r="C13" s="11" t="n">
        <v>0.2164</v>
      </c>
      <c r="D13" s="11">
        <f>ABS(B13)</f>
        <v/>
      </c>
      <c r="E13" s="12">
        <f>D13/C13</f>
        <v/>
      </c>
    </row>
    <row r="14" ht="13.5" customHeight="1">
      <c r="A14" s="13" t="n">
        <v>2020</v>
      </c>
      <c r="B14" s="14" t="n">
        <v>-0.2316</v>
      </c>
      <c r="C14" s="14" t="n">
        <v>0.2691</v>
      </c>
      <c r="D14" s="14">
        <f>ABS(B14)</f>
        <v/>
      </c>
      <c r="E14" s="15">
        <f>D14/C14</f>
        <v/>
      </c>
    </row>
    <row r="15" ht="13.5" customHeight="1">
      <c r="A15" s="10" t="n">
        <v>2020</v>
      </c>
      <c r="B15" s="11" t="n">
        <v>-0.1927</v>
      </c>
      <c r="C15" s="11" t="n">
        <v>0.1675</v>
      </c>
      <c r="D15" s="11">
        <f>ABS(B15)</f>
        <v/>
      </c>
      <c r="E15" s="12">
        <f>D15/C15</f>
        <v/>
      </c>
    </row>
    <row r="16" ht="13.5" customHeight="1">
      <c r="A16" s="13" t="n">
        <v>2020</v>
      </c>
      <c r="B16" s="14" t="n">
        <v>0.209</v>
      </c>
      <c r="C16" s="14" t="n">
        <v>0.2228</v>
      </c>
      <c r="D16" s="14">
        <f>ABS(B16)</f>
        <v/>
      </c>
      <c r="E16" s="15">
        <f>D16/C16</f>
        <v/>
      </c>
    </row>
    <row r="17" ht="13.5" customHeight="1">
      <c r="A17" s="10" t="n">
        <v>2020</v>
      </c>
      <c r="B17" s="11" t="n">
        <v>0.433</v>
      </c>
      <c r="C17" s="11" t="n">
        <v>0.2528</v>
      </c>
      <c r="D17" s="11">
        <f>ABS(B17)</f>
        <v/>
      </c>
      <c r="E17" s="12">
        <f>D17/C17</f>
        <v/>
      </c>
    </row>
    <row r="18" ht="13.5" customHeight="1">
      <c r="A18" s="13" t="n">
        <v>2020</v>
      </c>
      <c r="B18" s="14" t="n">
        <v>0.3609</v>
      </c>
      <c r="C18" s="14" t="n">
        <v>0.2319</v>
      </c>
      <c r="D18" s="14">
        <f>ABS(B18)</f>
        <v/>
      </c>
      <c r="E18" s="15">
        <f>D18/C18</f>
        <v/>
      </c>
    </row>
    <row r="19" ht="13.5" customHeight="1">
      <c r="A19" s="10" t="n">
        <v>2020</v>
      </c>
      <c r="B19" s="11" t="n">
        <v>-0.2441</v>
      </c>
      <c r="C19" s="11" t="n">
        <v>0.2014</v>
      </c>
      <c r="D19" s="11">
        <f>ABS(B19)</f>
        <v/>
      </c>
      <c r="E19" s="12">
        <f>D19/C19</f>
        <v/>
      </c>
    </row>
    <row r="20" ht="13.5" customHeight="1">
      <c r="A20" s="13" t="n">
        <v>2020</v>
      </c>
      <c r="B20" s="14" t="n">
        <v>-0.1704</v>
      </c>
      <c r="C20" s="14" t="n">
        <v>0.1588</v>
      </c>
      <c r="D20" s="14">
        <f>ABS(B20)</f>
        <v/>
      </c>
      <c r="E20" s="15">
        <f>D20/C20</f>
        <v/>
      </c>
    </row>
    <row r="21" ht="13.5" customHeight="1">
      <c r="A21" s="10" t="n">
        <v>2020</v>
      </c>
      <c r="B21" s="11" t="n">
        <v>0.2207</v>
      </c>
      <c r="C21" s="11" t="n">
        <v>0.2353</v>
      </c>
      <c r="D21" s="11">
        <f>ABS(B21)</f>
        <v/>
      </c>
      <c r="E21" s="12">
        <f>D21/C21</f>
        <v/>
      </c>
    </row>
    <row r="22" ht="13.5" customHeight="1">
      <c r="A22" s="13" t="n">
        <v>2020</v>
      </c>
      <c r="B22" s="14" t="n">
        <v>-0.2124</v>
      </c>
      <c r="C22" s="14" t="n">
        <v>0.1487</v>
      </c>
      <c r="D22" s="14">
        <f>ABS(B22)</f>
        <v/>
      </c>
      <c r="E22" s="15">
        <f>D22/C22</f>
        <v/>
      </c>
    </row>
    <row r="23" ht="13.5" customHeight="1">
      <c r="A23" s="10" t="n">
        <v>2020</v>
      </c>
      <c r="B23" s="11" t="n">
        <v>-0.3027</v>
      </c>
      <c r="C23" s="11" t="n">
        <v>0.1553</v>
      </c>
      <c r="D23" s="11">
        <f>ABS(B23)</f>
        <v/>
      </c>
      <c r="E23" s="12">
        <f>D23/C23</f>
        <v/>
      </c>
    </row>
    <row r="24" ht="13.5" customHeight="1">
      <c r="A24" s="13" t="n">
        <v>2020</v>
      </c>
      <c r="B24" s="14" t="n">
        <v>0.154</v>
      </c>
      <c r="C24" s="14" t="n">
        <v>0.2152</v>
      </c>
      <c r="D24" s="14">
        <f>ABS(B24)</f>
        <v/>
      </c>
      <c r="E24" s="15">
        <f>D24/C24</f>
        <v/>
      </c>
    </row>
    <row r="25" ht="13.5" customHeight="1">
      <c r="A25" s="10" t="n">
        <v>2021</v>
      </c>
      <c r="B25" s="11" t="n">
        <v>-0.2063</v>
      </c>
      <c r="C25" s="11" t="n">
        <v>0.1997</v>
      </c>
      <c r="D25" s="11">
        <f>ABS(B25)</f>
        <v/>
      </c>
      <c r="E25" s="12">
        <f>D25/C25</f>
        <v/>
      </c>
    </row>
    <row r="26" ht="13.5" customHeight="1">
      <c r="A26" s="13" t="n">
        <v>2021</v>
      </c>
      <c r="B26" s="14" t="n">
        <v>0.3672</v>
      </c>
      <c r="C26" s="14" t="n">
        <v>0.2127</v>
      </c>
      <c r="D26" s="14">
        <f>ABS(B26)</f>
        <v/>
      </c>
      <c r="E26" s="15">
        <f>D26/C26</f>
        <v/>
      </c>
    </row>
    <row r="27" ht="13.5" customHeight="1">
      <c r="A27" s="10" t="n">
        <v>2021</v>
      </c>
      <c r="B27" s="11" t="n">
        <v>0.2075</v>
      </c>
      <c r="C27" s="11" t="n">
        <v>0.2348</v>
      </c>
      <c r="D27" s="11">
        <f>ABS(B27)</f>
        <v/>
      </c>
      <c r="E27" s="12">
        <f>D27/C27</f>
        <v/>
      </c>
    </row>
    <row r="28" ht="13.5" customHeight="1">
      <c r="A28" s="13" t="n">
        <v>2021</v>
      </c>
      <c r="B28" s="14" t="n">
        <v>0.1582</v>
      </c>
      <c r="C28" s="14" t="n">
        <v>0.1839</v>
      </c>
      <c r="D28" s="14">
        <f>ABS(B28)</f>
        <v/>
      </c>
      <c r="E28" s="15">
        <f>D28/C28</f>
        <v/>
      </c>
    </row>
    <row r="29" ht="13.5" customHeight="1">
      <c r="A29" s="10" t="n">
        <v>2021</v>
      </c>
      <c r="B29" s="11" t="n">
        <v>-0.174</v>
      </c>
      <c r="C29" s="11" t="n">
        <v>0.1449</v>
      </c>
      <c r="D29" s="11">
        <f>ABS(B29)</f>
        <v/>
      </c>
      <c r="E29" s="12">
        <f>D29/C29</f>
        <v/>
      </c>
    </row>
    <row r="30" ht="13.5" customHeight="1">
      <c r="A30" s="13" t="n">
        <v>2021</v>
      </c>
      <c r="B30" s="14" t="n">
        <v>0.2223</v>
      </c>
      <c r="C30" s="14" t="n">
        <v>0.1112</v>
      </c>
      <c r="D30" s="14">
        <f>ABS(B30)</f>
        <v/>
      </c>
      <c r="E30" s="15">
        <f>D30/C30</f>
        <v/>
      </c>
    </row>
    <row r="31" ht="13.5" customHeight="1">
      <c r="A31" s="10" t="n">
        <v>2021</v>
      </c>
      <c r="B31" s="11" t="n">
        <v>0.3473</v>
      </c>
      <c r="C31" s="11" t="n">
        <v>0.1226</v>
      </c>
      <c r="D31" s="11">
        <f>ABS(B31)</f>
        <v/>
      </c>
      <c r="E31" s="12">
        <f>D31/C31</f>
        <v/>
      </c>
    </row>
    <row r="32" ht="13.5" customHeight="1">
      <c r="A32" s="13" t="n">
        <v>2021</v>
      </c>
      <c r="B32" s="14" t="n">
        <v>0.1633</v>
      </c>
      <c r="C32" s="14" t="n">
        <v>0.1175</v>
      </c>
      <c r="D32" s="14">
        <f>ABS(B32)</f>
        <v/>
      </c>
      <c r="E32" s="15">
        <f>D32/C32</f>
        <v/>
      </c>
    </row>
    <row r="33" ht="13.5" customHeight="1">
      <c r="A33" s="10" t="n">
        <v>2021</v>
      </c>
      <c r="B33" s="11" t="n">
        <v>0.4003</v>
      </c>
      <c r="C33" s="11" t="n">
        <v>0.16</v>
      </c>
      <c r="D33" s="11">
        <f>ABS(B33)</f>
        <v/>
      </c>
      <c r="E33" s="12">
        <f>D33/C33</f>
        <v/>
      </c>
    </row>
    <row r="34" ht="13.5" customHeight="1">
      <c r="A34" s="13" t="n">
        <v>2021</v>
      </c>
      <c r="B34" s="14" t="n">
        <v>0.4764</v>
      </c>
      <c r="C34" s="14" t="n">
        <v>0.1966</v>
      </c>
      <c r="D34" s="14">
        <f>ABS(B34)</f>
        <v/>
      </c>
      <c r="E34" s="15">
        <f>D34/C34</f>
        <v/>
      </c>
    </row>
    <row r="35" ht="13.5" customHeight="1">
      <c r="A35" s="10" t="n">
        <v>2021</v>
      </c>
      <c r="B35" s="11" t="n">
        <v>0.1582</v>
      </c>
      <c r="C35" s="11" t="n">
        <v>0.2413</v>
      </c>
      <c r="D35" s="11">
        <f>ABS(B35)</f>
        <v/>
      </c>
      <c r="E35" s="12">
        <f>D35/C35</f>
        <v/>
      </c>
    </row>
    <row r="36" ht="13.5" customHeight="1">
      <c r="A36" s="13" t="n">
        <v>2021</v>
      </c>
      <c r="B36" s="14" t="n">
        <v>-0.2537</v>
      </c>
      <c r="C36" s="14" t="n">
        <v>0.2826</v>
      </c>
      <c r="D36" s="14">
        <f>ABS(B36)</f>
        <v/>
      </c>
      <c r="E36" s="15">
        <f>D36/C36</f>
        <v/>
      </c>
    </row>
    <row r="37" ht="13.5" customHeight="1">
      <c r="A37" s="10" t="n">
        <v>2021</v>
      </c>
      <c r="B37" s="11" t="n">
        <v>-0.1969</v>
      </c>
      <c r="C37" s="11" t="n">
        <v>0.2841</v>
      </c>
      <c r="D37" s="11">
        <f>ABS(B37)</f>
        <v/>
      </c>
      <c r="E37" s="12">
        <f>D37/C37</f>
        <v/>
      </c>
    </row>
    <row r="38" ht="13.5" customHeight="1">
      <c r="A38" s="13" t="n">
        <v>2021</v>
      </c>
      <c r="B38" s="14" t="n">
        <v>-0.366</v>
      </c>
      <c r="C38" s="14" t="n">
        <v>0.3106</v>
      </c>
      <c r="D38" s="14">
        <f>ABS(B38)</f>
        <v/>
      </c>
      <c r="E38" s="15">
        <f>D38/C38</f>
        <v/>
      </c>
    </row>
    <row r="39" ht="13.5" customHeight="1">
      <c r="A39" s="10" t="n">
        <v>2022</v>
      </c>
      <c r="B39" s="11" t="n">
        <v>-0.3089</v>
      </c>
      <c r="C39" s="11" t="n">
        <v>0.312</v>
      </c>
      <c r="D39" s="11">
        <f>ABS(B39)</f>
        <v/>
      </c>
      <c r="E39" s="12">
        <f>D39/C39</f>
        <v/>
      </c>
    </row>
    <row r="40" ht="13.5" customHeight="1">
      <c r="A40" s="13" t="n">
        <v>2022</v>
      </c>
      <c r="B40" s="14" t="n">
        <v>0.5343</v>
      </c>
      <c r="C40" s="14" t="n">
        <v>0.2503</v>
      </c>
      <c r="D40" s="14">
        <f>ABS(B40)</f>
        <v/>
      </c>
      <c r="E40" s="15">
        <f>D40/C40</f>
        <v/>
      </c>
    </row>
    <row r="41" ht="13.5" customHeight="1">
      <c r="A41" s="10" t="n">
        <v>2022</v>
      </c>
      <c r="B41" s="11" t="n">
        <v>0.2662</v>
      </c>
      <c r="C41" s="11" t="n">
        <v>0.2663</v>
      </c>
      <c r="D41" s="11">
        <f>ABS(B41)</f>
        <v/>
      </c>
      <c r="E41" s="12">
        <f>D41/C41</f>
        <v/>
      </c>
    </row>
    <row r="42" ht="13.5" customHeight="1">
      <c r="A42" s="13" t="n">
        <v>2022</v>
      </c>
      <c r="B42" s="14" t="n">
        <v>-0.176</v>
      </c>
      <c r="C42" s="14" t="n">
        <v>0.3123</v>
      </c>
      <c r="D42" s="14">
        <f>ABS(B42)</f>
        <v/>
      </c>
      <c r="E42" s="15">
        <f>D42/C42</f>
        <v/>
      </c>
    </row>
    <row r="43" ht="13.5" customHeight="1">
      <c r="A43" s="10" t="n">
        <v>2022</v>
      </c>
      <c r="B43" s="11" t="n">
        <v>0.1798</v>
      </c>
      <c r="C43" s="11" t="n">
        <v>0.2608</v>
      </c>
      <c r="D43" s="11">
        <f>ABS(B43)</f>
        <v/>
      </c>
      <c r="E43" s="12">
        <f>D43/C43</f>
        <v/>
      </c>
    </row>
    <row r="44" ht="13.5" customHeight="1">
      <c r="A44" s="13" t="n">
        <v>2022</v>
      </c>
      <c r="B44" s="14" t="n">
        <v>-0.2778</v>
      </c>
      <c r="C44" s="14" t="n">
        <v>0.4162</v>
      </c>
      <c r="D44" s="14">
        <f>ABS(B44)</f>
        <v/>
      </c>
      <c r="E44" s="15">
        <f>D44/C44</f>
        <v/>
      </c>
    </row>
    <row r="45" ht="13.5" customHeight="1">
      <c r="A45" s="10" t="n">
        <v>2022</v>
      </c>
      <c r="B45" s="11" t="n">
        <v>-0.2081</v>
      </c>
      <c r="C45" s="11" t="n">
        <v>0.3021</v>
      </c>
      <c r="D45" s="11">
        <f>ABS(B45)</f>
        <v/>
      </c>
      <c r="E45" s="12">
        <f>D45/C45</f>
        <v/>
      </c>
    </row>
    <row r="46" ht="13.5" customHeight="1">
      <c r="A46" s="13" t="n">
        <v>2022</v>
      </c>
      <c r="B46" s="14" t="n">
        <v>0.3437</v>
      </c>
      <c r="C46" s="14" t="n">
        <v>0.2723</v>
      </c>
      <c r="D46" s="14">
        <f>ABS(B46)</f>
        <v/>
      </c>
      <c r="E46" s="15">
        <f>D46/C46</f>
        <v/>
      </c>
    </row>
    <row r="47" ht="13.5" customHeight="1">
      <c r="A47" s="10" t="n">
        <v>2022</v>
      </c>
      <c r="B47" s="11" t="n">
        <v>0.7635</v>
      </c>
      <c r="C47" s="11" t="n">
        <v>0.234</v>
      </c>
      <c r="D47" s="11">
        <f>ABS(B47)</f>
        <v/>
      </c>
      <c r="E47" s="12">
        <f>D47/C47</f>
        <v/>
      </c>
    </row>
    <row r="48" ht="13.5" customHeight="1">
      <c r="A48" s="13" t="n">
        <v>2022</v>
      </c>
      <c r="B48" s="14" t="n">
        <v>0.6106</v>
      </c>
      <c r="C48" s="14" t="n">
        <v>0.2375</v>
      </c>
      <c r="D48" s="14">
        <f>ABS(B48)</f>
        <v/>
      </c>
      <c r="E48" s="15">
        <f>D48/C48</f>
        <v/>
      </c>
    </row>
    <row r="49" ht="13.5" customHeight="1">
      <c r="A49" s="10" t="n">
        <v>2022</v>
      </c>
      <c r="B49" s="11" t="n">
        <v>0.3325</v>
      </c>
      <c r="C49" s="11" t="n">
        <v>0.2726</v>
      </c>
      <c r="D49" s="11">
        <f>ABS(B49)</f>
        <v/>
      </c>
      <c r="E49" s="12">
        <f>D49/C49</f>
        <v/>
      </c>
    </row>
    <row r="50" ht="13.5" customHeight="1">
      <c r="A50" s="13" t="n">
        <v>2022</v>
      </c>
      <c r="B50" s="14" t="n">
        <v>0.1584</v>
      </c>
      <c r="C50" s="14" t="n">
        <v>0.294</v>
      </c>
      <c r="D50" s="14">
        <f>ABS(B50)</f>
        <v/>
      </c>
      <c r="E50" s="15">
        <f>D50/C50</f>
        <v/>
      </c>
    </row>
    <row r="51" ht="13.5" customHeight="1">
      <c r="A51" s="10" t="n">
        <v>2022</v>
      </c>
      <c r="B51" s="11" t="n">
        <v>-0.4029</v>
      </c>
      <c r="C51" s="11" t="n">
        <v>0.3114</v>
      </c>
      <c r="D51" s="11">
        <f>ABS(B51)</f>
        <v/>
      </c>
      <c r="E51" s="12">
        <f>D51/C51</f>
        <v/>
      </c>
    </row>
    <row r="52" ht="13.5" customHeight="1">
      <c r="A52" s="13" t="n">
        <v>2022</v>
      </c>
      <c r="B52" s="14" t="n">
        <v>-0.2807</v>
      </c>
      <c r="C52" s="14" t="n">
        <v>0.2989</v>
      </c>
      <c r="D52" s="14">
        <f>ABS(B52)</f>
        <v/>
      </c>
      <c r="E52" s="15">
        <f>D52/C52</f>
        <v/>
      </c>
    </row>
    <row r="53" ht="13.5" customHeight="1">
      <c r="A53" s="10" t="n">
        <v>2022</v>
      </c>
      <c r="B53" s="11" t="n">
        <v>-0.1838</v>
      </c>
      <c r="C53" s="11" t="n">
        <v>0.3617</v>
      </c>
      <c r="D53" s="11">
        <f>ABS(B53)</f>
        <v/>
      </c>
      <c r="E53" s="12">
        <f>D53/C53</f>
        <v/>
      </c>
    </row>
    <row r="54" ht="13.5" customHeight="1">
      <c r="A54" s="13" t="n">
        <v>2022</v>
      </c>
      <c r="B54" s="14" t="n">
        <v>0.7156</v>
      </c>
      <c r="C54" s="14" t="n">
        <v>0.3367</v>
      </c>
      <c r="D54" s="14">
        <f>ABS(B54)</f>
        <v/>
      </c>
      <c r="E54" s="15">
        <f>D54/C54</f>
        <v/>
      </c>
    </row>
    <row r="55" ht="13.5" customHeight="1">
      <c r="A55" s="10" t="n">
        <v>2022</v>
      </c>
      <c r="B55" s="11" t="n">
        <v>0.4761</v>
      </c>
      <c r="C55" s="11" t="n">
        <v>0.3755</v>
      </c>
      <c r="D55" s="11">
        <f>ABS(B55)</f>
        <v/>
      </c>
      <c r="E55" s="12">
        <f>D55/C55</f>
        <v/>
      </c>
    </row>
    <row r="56" ht="13.5" customHeight="1">
      <c r="A56" s="13" t="n">
        <v>2022</v>
      </c>
      <c r="B56" s="14" t="n">
        <v>0.2693</v>
      </c>
      <c r="C56" s="14" t="n">
        <v>0.2649</v>
      </c>
      <c r="D56" s="14">
        <f>ABS(B56)</f>
        <v/>
      </c>
      <c r="E56" s="15">
        <f>D56/C56</f>
        <v/>
      </c>
    </row>
    <row r="57" ht="13.5" customHeight="1">
      <c r="A57" s="10" t="n">
        <v>2022</v>
      </c>
      <c r="B57" s="11" t="n">
        <v>-0.2303</v>
      </c>
      <c r="C57" s="11" t="n">
        <v>0.2338</v>
      </c>
      <c r="D57" s="11">
        <f>ABS(B57)</f>
        <v/>
      </c>
      <c r="E57" s="12">
        <f>D57/C57</f>
        <v/>
      </c>
    </row>
    <row r="58" ht="13.5" customHeight="1">
      <c r="A58" s="13" t="n">
        <v>2022</v>
      </c>
      <c r="B58" s="14" t="n">
        <v>-0.4567</v>
      </c>
      <c r="C58" s="14" t="n">
        <v>0.2275</v>
      </c>
      <c r="D58" s="14">
        <f>ABS(B58)</f>
        <v/>
      </c>
      <c r="E58" s="15">
        <f>D58/C58</f>
        <v/>
      </c>
    </row>
    <row r="59" ht="13.5" customHeight="1">
      <c r="A59" s="10" t="n">
        <v>2022</v>
      </c>
      <c r="B59" s="11" t="n">
        <v>-0.2441</v>
      </c>
      <c r="C59" s="11" t="n">
        <v>0.2062</v>
      </c>
      <c r="D59" s="11">
        <f>ABS(B59)</f>
        <v/>
      </c>
      <c r="E59" s="12">
        <f>D59/C59</f>
        <v/>
      </c>
    </row>
    <row r="60" ht="13.5" customHeight="1">
      <c r="A60" s="13" t="n">
        <v>2022</v>
      </c>
      <c r="B60" s="14" t="n">
        <v>0.2785</v>
      </c>
      <c r="C60" s="14" t="n">
        <v>0.2803</v>
      </c>
      <c r="D60" s="14">
        <f>ABS(B60)</f>
        <v/>
      </c>
      <c r="E60" s="15">
        <f>D60/C60</f>
        <v/>
      </c>
    </row>
    <row r="61" ht="13.5" customHeight="1">
      <c r="A61" s="10" t="n">
        <v>2022</v>
      </c>
      <c r="B61" s="11" t="n">
        <v>0.2692</v>
      </c>
      <c r="C61" s="11" t="n">
        <v>0.303</v>
      </c>
      <c r="D61" s="11">
        <f>ABS(B61)</f>
        <v/>
      </c>
      <c r="E61" s="12">
        <f>D61/C61</f>
        <v/>
      </c>
    </row>
    <row r="62" ht="13.5" customHeight="1">
      <c r="A62" s="13" t="n">
        <v>2022</v>
      </c>
      <c r="B62" s="14" t="n">
        <v>-0.1809</v>
      </c>
      <c r="C62" s="14" t="n">
        <v>0.4041</v>
      </c>
      <c r="D62" s="14">
        <f>ABS(B62)</f>
        <v/>
      </c>
      <c r="E62" s="15">
        <f>D62/C62</f>
        <v/>
      </c>
    </row>
    <row r="63" ht="13.5" customHeight="1">
      <c r="A63" s="10" t="n">
        <v>2022</v>
      </c>
      <c r="B63" s="11" t="n">
        <v>-0.3157</v>
      </c>
      <c r="C63" s="11" t="n">
        <v>0.3341</v>
      </c>
      <c r="D63" s="11">
        <f>ABS(B63)</f>
        <v/>
      </c>
      <c r="E63" s="12">
        <f>D63/C63</f>
        <v/>
      </c>
    </row>
    <row r="64" ht="13.5" customHeight="1">
      <c r="A64" s="13" t="n">
        <v>2023</v>
      </c>
      <c r="B64" s="14" t="n">
        <v>-0.5482</v>
      </c>
      <c r="C64" s="14" t="n">
        <v>0.3509</v>
      </c>
      <c r="D64" s="14">
        <f>ABS(B64)</f>
        <v/>
      </c>
      <c r="E64" s="15">
        <f>D64/C64</f>
        <v/>
      </c>
    </row>
    <row r="65" ht="13.5" customHeight="1">
      <c r="A65" s="10" t="n">
        <v>2023</v>
      </c>
      <c r="B65" s="11" t="n">
        <v>-0.5364</v>
      </c>
      <c r="C65" s="11" t="n">
        <v>0.2973</v>
      </c>
      <c r="D65" s="11">
        <f>ABS(B65)</f>
        <v/>
      </c>
      <c r="E65" s="12">
        <f>D65/C65</f>
        <v/>
      </c>
    </row>
    <row r="66" ht="13.5" customHeight="1">
      <c r="A66" s="13" t="n">
        <v>2023</v>
      </c>
      <c r="B66" s="14" t="n">
        <v>-0.2433</v>
      </c>
      <c r="C66" s="14" t="n">
        <v>0.2394</v>
      </c>
      <c r="D66" s="14">
        <f>ABS(B66)</f>
        <v/>
      </c>
      <c r="E66" s="15">
        <f>D66/C66</f>
        <v/>
      </c>
    </row>
    <row r="67" ht="13.5" customHeight="1">
      <c r="A67" s="10" t="n">
        <v>2023</v>
      </c>
      <c r="B67" s="11" t="n">
        <v>0.3183</v>
      </c>
      <c r="C67" s="11" t="n">
        <v>0.2682</v>
      </c>
      <c r="D67" s="11">
        <f>ABS(B67)</f>
        <v/>
      </c>
      <c r="E67" s="12">
        <f>D67/C67</f>
        <v/>
      </c>
    </row>
    <row r="68" ht="13.5" customHeight="1">
      <c r="A68" s="13" t="n">
        <v>2023</v>
      </c>
      <c r="B68" s="14" t="n">
        <v>-0.3534</v>
      </c>
      <c r="C68" s="14" t="n">
        <v>0.2627</v>
      </c>
      <c r="D68" s="14">
        <f>ABS(B68)</f>
        <v/>
      </c>
      <c r="E68" s="15">
        <f>D68/C68</f>
        <v/>
      </c>
    </row>
    <row r="69" ht="13.5" customHeight="1">
      <c r="A69" s="10" t="n">
        <v>2023</v>
      </c>
      <c r="B69" s="11" t="n">
        <v>-0.2704</v>
      </c>
      <c r="C69" s="11" t="n">
        <v>0.3277</v>
      </c>
      <c r="D69" s="11">
        <f>ABS(B69)</f>
        <v/>
      </c>
      <c r="E69" s="12">
        <f>D69/C69</f>
        <v/>
      </c>
    </row>
    <row r="70" ht="13.5" customHeight="1">
      <c r="A70" s="13" t="n">
        <v>2023</v>
      </c>
      <c r="B70" s="14" t="n">
        <v>-0.1641</v>
      </c>
      <c r="C70" s="14" t="n">
        <v>0.2261</v>
      </c>
      <c r="D70" s="14">
        <f>ABS(B70)</f>
        <v/>
      </c>
      <c r="E70" s="15">
        <f>D70/C70</f>
        <v/>
      </c>
    </row>
    <row r="71" ht="13.5" customHeight="1">
      <c r="A71" s="10" t="n">
        <v>2023</v>
      </c>
      <c r="B71" s="11" t="n">
        <v>0.2302</v>
      </c>
      <c r="C71" s="11" t="n">
        <v>0.2139</v>
      </c>
      <c r="D71" s="11">
        <f>ABS(B71)</f>
        <v/>
      </c>
      <c r="E71" s="12">
        <f>D71/C71</f>
        <v/>
      </c>
    </row>
    <row r="72" ht="13.5" customHeight="1">
      <c r="A72" s="13" t="n">
        <v>2023</v>
      </c>
      <c r="B72" s="14" t="n">
        <v>0.1775</v>
      </c>
      <c r="C72" s="14" t="n">
        <v>0.1872</v>
      </c>
      <c r="D72" s="14">
        <f>ABS(B72)</f>
        <v/>
      </c>
      <c r="E72" s="15">
        <f>D72/C72</f>
        <v/>
      </c>
    </row>
    <row r="73" ht="13.5" customHeight="1">
      <c r="A73" s="10" t="n">
        <v>2023</v>
      </c>
      <c r="B73" s="11" t="n">
        <v>-0.1996</v>
      </c>
      <c r="C73" s="11" t="n">
        <v>0.2011</v>
      </c>
      <c r="D73" s="11">
        <f>ABS(B73)</f>
        <v/>
      </c>
      <c r="E73" s="12">
        <f>D73/C73</f>
        <v/>
      </c>
    </row>
    <row r="74" ht="13.5" customHeight="1">
      <c r="A74" s="13" t="n">
        <v>2023</v>
      </c>
      <c r="B74" s="14" t="n">
        <v>0.2383</v>
      </c>
      <c r="C74" s="14" t="n">
        <v>0.1868</v>
      </c>
      <c r="D74" s="14">
        <f>ABS(B74)</f>
        <v/>
      </c>
      <c r="E74" s="15">
        <f>D74/C74</f>
        <v/>
      </c>
    </row>
    <row r="75" ht="13.5" customHeight="1">
      <c r="A75" s="10" t="n">
        <v>2023</v>
      </c>
      <c r="B75" s="11" t="n">
        <v>0.2139</v>
      </c>
      <c r="C75" s="11" t="n">
        <v>0.1965</v>
      </c>
      <c r="D75" s="11">
        <f>ABS(B75)</f>
        <v/>
      </c>
      <c r="E75" s="12">
        <f>D75/C75</f>
        <v/>
      </c>
    </row>
    <row r="76" ht="13.5" customHeight="1">
      <c r="A76" s="13" t="n">
        <v>2023</v>
      </c>
      <c r="B76" s="14" t="n">
        <v>0.1671</v>
      </c>
      <c r="C76" s="14" t="n">
        <v>0.161</v>
      </c>
      <c r="D76" s="14">
        <f>ABS(B76)</f>
        <v/>
      </c>
      <c r="E76" s="15">
        <f>D76/C76</f>
        <v/>
      </c>
    </row>
    <row r="77" ht="13.5" customHeight="1">
      <c r="A77" s="10" t="n">
        <v>2023</v>
      </c>
      <c r="B77" s="11" t="n">
        <v>0.1859</v>
      </c>
      <c r="C77" s="11" t="n">
        <v>0.1795</v>
      </c>
      <c r="D77" s="11">
        <f>ABS(B77)</f>
        <v/>
      </c>
      <c r="E77" s="12">
        <f>D77/C77</f>
        <v/>
      </c>
    </row>
    <row r="78" ht="13.5" customHeight="1">
      <c r="A78" s="13" t="n">
        <v>2023</v>
      </c>
      <c r="B78" s="14" t="n">
        <v>-0.1594</v>
      </c>
      <c r="C78" s="14" t="n">
        <v>0.1793</v>
      </c>
      <c r="D78" s="14">
        <f>ABS(B78)</f>
        <v/>
      </c>
      <c r="E78" s="15">
        <f>D78/C78</f>
        <v/>
      </c>
    </row>
    <row r="79" ht="13.5" customHeight="1">
      <c r="A79" s="10" t="n">
        <v>2023</v>
      </c>
      <c r="B79" s="11" t="n">
        <v>-0.1506</v>
      </c>
      <c r="C79" s="11" t="n">
        <v>0.2155</v>
      </c>
      <c r="D79" s="11">
        <f>ABS(B79)</f>
        <v/>
      </c>
      <c r="E79" s="12">
        <f>D79/C79</f>
        <v/>
      </c>
    </row>
    <row r="80" ht="13.5" customHeight="1">
      <c r="A80" s="13" t="n">
        <v>2023</v>
      </c>
      <c r="B80" s="14" t="n">
        <v>0.1864</v>
      </c>
      <c r="C80" s="14" t="n">
        <v>0.1374</v>
      </c>
      <c r="D80" s="14">
        <f>ABS(B80)</f>
        <v/>
      </c>
      <c r="E80" s="15">
        <f>D80/C80</f>
        <v/>
      </c>
    </row>
    <row r="81" ht="13.5" customHeight="1">
      <c r="A81" s="10" t="n">
        <v>2023</v>
      </c>
      <c r="B81" s="11" t="n">
        <v>-0.2143</v>
      </c>
      <c r="C81" s="11" t="n">
        <v>0.165</v>
      </c>
      <c r="D81" s="11">
        <f>ABS(B81)</f>
        <v/>
      </c>
      <c r="E81" s="12">
        <f>D81/C81</f>
        <v/>
      </c>
    </row>
    <row r="82" ht="13.5" customHeight="1">
      <c r="A82" s="13" t="n">
        <v>2023</v>
      </c>
      <c r="B82" s="14" t="n">
        <v>-0.389</v>
      </c>
      <c r="C82" s="14" t="n">
        <v>0.1698</v>
      </c>
      <c r="D82" s="14">
        <f>ABS(B82)</f>
        <v/>
      </c>
      <c r="E82" s="15">
        <f>D82/C82</f>
        <v/>
      </c>
    </row>
    <row r="83" ht="13.5" customHeight="1">
      <c r="A83" s="10" t="n">
        <v>2024</v>
      </c>
      <c r="B83" s="11" t="n">
        <v>-0.2158</v>
      </c>
      <c r="C83" s="11" t="n">
        <v>0.2071</v>
      </c>
      <c r="D83" s="11">
        <f>ABS(B83)</f>
        <v/>
      </c>
      <c r="E83" s="12">
        <f>D83/C83</f>
        <v/>
      </c>
    </row>
    <row r="84" ht="13.5" customHeight="1">
      <c r="A84" s="13" t="n">
        <v>2024</v>
      </c>
      <c r="B84" s="14" t="n">
        <v>0.4391</v>
      </c>
      <c r="C84" s="14" t="n">
        <v>0.2341</v>
      </c>
      <c r="D84" s="14">
        <f>ABS(B84)</f>
        <v/>
      </c>
      <c r="E84" s="15">
        <f>D84/C84</f>
        <v/>
      </c>
    </row>
    <row r="85" ht="13.5" customHeight="1">
      <c r="A85" s="10" t="n">
        <v>2024</v>
      </c>
      <c r="B85" s="11" t="n">
        <v>-0.4291</v>
      </c>
      <c r="C85" s="11" t="n">
        <v>0.2149</v>
      </c>
      <c r="D85" s="11">
        <f>ABS(B85)</f>
        <v/>
      </c>
      <c r="E85" s="12">
        <f>D85/C85</f>
        <v/>
      </c>
    </row>
    <row r="86" ht="13.5" customHeight="1">
      <c r="A86" s="13" t="n">
        <v>2024</v>
      </c>
      <c r="B86" s="14" t="n">
        <v>-0.2303</v>
      </c>
      <c r="C86" s="14" t="n">
        <v>0.3311</v>
      </c>
      <c r="D86" s="14">
        <f>ABS(B86)</f>
        <v/>
      </c>
      <c r="E86" s="15">
        <f>D86/C86</f>
        <v/>
      </c>
    </row>
    <row r="87" ht="13.5" customHeight="1">
      <c r="A87" s="10" t="n">
        <v>2024</v>
      </c>
      <c r="B87" s="11" t="n">
        <v>-0.255</v>
      </c>
      <c r="C87" s="11" t="n">
        <v>0.1983</v>
      </c>
      <c r="D87" s="11">
        <f>ABS(B87)</f>
        <v/>
      </c>
      <c r="E87" s="12">
        <f>D87/C87</f>
        <v/>
      </c>
    </row>
    <row r="88" ht="13.5" customHeight="1">
      <c r="A88" s="13" t="n">
        <v>2024</v>
      </c>
      <c r="B88" s="14" t="n">
        <v>0.1766</v>
      </c>
      <c r="C88" s="14" t="n">
        <v>0.2445</v>
      </c>
      <c r="D88" s="14">
        <f>ABS(B88)</f>
        <v/>
      </c>
      <c r="E88" s="15">
        <f>D88/C88</f>
        <v/>
      </c>
    </row>
    <row r="89" ht="13.5" customHeight="1">
      <c r="A89" s="10" t="n">
        <v>2024</v>
      </c>
      <c r="B89" s="11" t="n">
        <v>-0.1945</v>
      </c>
      <c r="C89" s="11" t="n">
        <v>0.1954</v>
      </c>
      <c r="D89" s="11">
        <f>ABS(B89)</f>
        <v/>
      </c>
      <c r="E89" s="12">
        <f>D89/C89</f>
        <v/>
      </c>
    </row>
    <row r="90" ht="13.5" customHeight="1">
      <c r="A90" s="13" t="n">
        <v>2024</v>
      </c>
      <c r="B90" s="14" t="n">
        <v>0.3429</v>
      </c>
      <c r="C90" s="14" t="n">
        <v>0.1784</v>
      </c>
      <c r="D90" s="14">
        <f>ABS(B90)</f>
        <v/>
      </c>
      <c r="E90" s="15">
        <f>D90/C90</f>
        <v/>
      </c>
    </row>
    <row r="91" ht="13.5" customHeight="1">
      <c r="A91" s="10" t="n">
        <v>2024</v>
      </c>
      <c r="B91" s="11" t="n">
        <v>0.4592</v>
      </c>
      <c r="C91" s="11" t="n">
        <v>0.1767</v>
      </c>
      <c r="D91" s="11">
        <f>ABS(B91)</f>
        <v/>
      </c>
      <c r="E91" s="12">
        <f>D91/C91</f>
        <v/>
      </c>
    </row>
    <row r="92" ht="13.5" customHeight="1">
      <c r="A92" s="13" t="n">
        <v>2024</v>
      </c>
      <c r="B92" s="14" t="n">
        <v>0.1768</v>
      </c>
      <c r="C92" s="14" t="n">
        <v>0.1792</v>
      </c>
      <c r="D92" s="14">
        <f>ABS(B92)</f>
        <v/>
      </c>
      <c r="E92" s="15">
        <f>D92/C92</f>
        <v/>
      </c>
    </row>
    <row r="93" ht="13.5" customHeight="1">
      <c r="A93" s="10" t="n">
        <v>2024</v>
      </c>
      <c r="B93" s="11" t="n">
        <v>-0.35</v>
      </c>
      <c r="C93" s="11" t="n">
        <v>0.202</v>
      </c>
      <c r="D93" s="11">
        <f>ABS(B93)</f>
        <v/>
      </c>
      <c r="E93" s="12">
        <f>D93/C93</f>
        <v/>
      </c>
    </row>
    <row r="94" ht="13.5" customHeight="1">
      <c r="A94" s="13" t="n">
        <v>2024</v>
      </c>
      <c r="B94" s="14" t="n">
        <v>-0.2462</v>
      </c>
      <c r="C94" s="14" t="n">
        <v>0.1859</v>
      </c>
      <c r="D94" s="14">
        <f>ABS(B94)</f>
        <v/>
      </c>
      <c r="E94" s="15">
        <f>D94/C94</f>
        <v/>
      </c>
    </row>
    <row r="95" ht="13.5" customHeight="1">
      <c r="A95" s="10" t="n">
        <v>2024</v>
      </c>
      <c r="B95" s="11" t="n">
        <v>0.1649</v>
      </c>
      <c r="C95" s="11" t="n">
        <v>0.182</v>
      </c>
      <c r="D95" s="11">
        <f>ABS(B95)</f>
        <v/>
      </c>
      <c r="E95" s="12">
        <f>D95/C95</f>
        <v/>
      </c>
    </row>
    <row r="96" ht="13.5" customHeight="1">
      <c r="A96" s="13" t="n">
        <v>2024</v>
      </c>
      <c r="B96" s="14" t="n">
        <v>0.1827</v>
      </c>
      <c r="C96" s="14" t="n">
        <v>0.1605</v>
      </c>
      <c r="D96" s="14">
        <f>ABS(B96)</f>
        <v/>
      </c>
      <c r="E96" s="15">
        <f>D96/C96</f>
        <v/>
      </c>
    </row>
    <row r="97" ht="13.5" customHeight="1">
      <c r="A97" s="10" t="n">
        <v>2024</v>
      </c>
      <c r="B97" s="11" t="n">
        <v>-0.204</v>
      </c>
      <c r="C97" s="11" t="n">
        <v>0.1877</v>
      </c>
      <c r="D97" s="11">
        <f>ABS(B97)</f>
        <v/>
      </c>
      <c r="E97" s="12">
        <f>D97/C97</f>
        <v/>
      </c>
    </row>
    <row r="98" ht="13.5" customHeight="1">
      <c r="A98" s="13" t="n">
        <v>2024</v>
      </c>
      <c r="B98" s="14" t="n">
        <v>-0.2339</v>
      </c>
      <c r="C98" s="14" t="n">
        <v>0.1805</v>
      </c>
      <c r="D98" s="14">
        <f>ABS(B98)</f>
        <v/>
      </c>
      <c r="E98" s="15">
        <f>D98/C98</f>
        <v/>
      </c>
    </row>
    <row r="99" ht="13.5" customHeight="1">
      <c r="A99" s="10" t="n">
        <v>2024</v>
      </c>
      <c r="B99" s="11" t="n">
        <v>0.1922</v>
      </c>
      <c r="C99" s="11" t="n">
        <v>0.2252</v>
      </c>
      <c r="D99" s="11">
        <f>ABS(B99)</f>
        <v/>
      </c>
      <c r="E99" s="12">
        <f>D99/C99</f>
        <v/>
      </c>
    </row>
    <row r="100" ht="13.5" customHeight="1">
      <c r="A100" s="13" t="n">
        <v>2024</v>
      </c>
      <c r="B100" s="14" t="n">
        <v>0.2964</v>
      </c>
      <c r="C100" s="14" t="n">
        <v>0.2093</v>
      </c>
      <c r="D100" s="14">
        <f>ABS(B100)</f>
        <v/>
      </c>
      <c r="E100" s="15">
        <f>D100/C100</f>
        <v/>
      </c>
    </row>
    <row r="101" ht="13.5" customHeight="1">
      <c r="A101" s="10" t="n">
        <v>2025</v>
      </c>
      <c r="B101" s="11" t="n">
        <v>0.4303</v>
      </c>
      <c r="C101" s="11" t="n">
        <v>0.3019</v>
      </c>
      <c r="D101" s="11">
        <f>ABS(B101)</f>
        <v/>
      </c>
      <c r="E101" s="12">
        <f>D101/C101</f>
        <v/>
      </c>
    </row>
    <row r="102" ht="13.5" customHeight="1">
      <c r="A102" s="13" t="n">
        <v>2025</v>
      </c>
      <c r="B102" s="14" t="n">
        <v>0.4693</v>
      </c>
      <c r="C102" s="14" t="n">
        <v>0.2364</v>
      </c>
      <c r="D102" s="14">
        <f>ABS(B102)</f>
        <v/>
      </c>
      <c r="E102" s="15">
        <f>D102/C102</f>
        <v/>
      </c>
    </row>
    <row r="103" ht="13.5" customHeight="1">
      <c r="A103" s="10" t="n">
        <v>2025</v>
      </c>
      <c r="B103" s="11" t="n">
        <v>0.4703</v>
      </c>
      <c r="C103" s="11" t="n">
        <v>0.2269</v>
      </c>
      <c r="D103" s="11">
        <f>ABS(B103)</f>
        <v/>
      </c>
      <c r="E103" s="12">
        <f>D103/C103</f>
        <v/>
      </c>
    </row>
    <row r="104" ht="13.5" customHeight="1">
      <c r="A104" s="13" t="n">
        <v>2025</v>
      </c>
      <c r="B104" s="14" t="n">
        <v>0.1612</v>
      </c>
      <c r="C104" s="14" t="n">
        <v>0.31</v>
      </c>
      <c r="D104" s="14">
        <f>ABS(B104)</f>
        <v/>
      </c>
      <c r="E104" s="15">
        <f>D104/C104</f>
        <v/>
      </c>
    </row>
    <row r="105" ht="13.5" customHeight="1">
      <c r="A105" s="10" t="n">
        <v>2025</v>
      </c>
      <c r="B105" s="11" t="n">
        <v>-0.3054</v>
      </c>
      <c r="C105" s="11" t="n">
        <v>0.2603</v>
      </c>
      <c r="D105" s="11">
        <f>ABS(B105)</f>
        <v/>
      </c>
      <c r="E105" s="12">
        <f>D105/C105</f>
        <v/>
      </c>
    </row>
    <row r="106" ht="13.5" customHeight="1">
      <c r="A106" s="13" t="n">
        <v>2025</v>
      </c>
      <c r="B106" s="14" t="n">
        <v>-0.2769</v>
      </c>
      <c r="C106" s="14" t="n">
        <v>0.2908</v>
      </c>
      <c r="D106" s="14">
        <f>ABS(B106)</f>
        <v/>
      </c>
      <c r="E106" s="15">
        <f>D106/C106</f>
        <v/>
      </c>
    </row>
    <row r="107" ht="13.5" customHeight="1">
      <c r="A107" s="10" t="n">
        <v>2025</v>
      </c>
      <c r="B107" s="11" t="n">
        <v>0.2235</v>
      </c>
      <c r="C107" s="11" t="n">
        <v>0.262</v>
      </c>
      <c r="D107" s="11">
        <f>ABS(B107)</f>
        <v/>
      </c>
      <c r="E107" s="12">
        <f>D107/C107</f>
        <v/>
      </c>
    </row>
    <row r="108" ht="13.5" customHeight="1">
      <c r="A108" s="13" t="n">
        <v>2025</v>
      </c>
      <c r="B108" s="14" t="n">
        <v>-0.169</v>
      </c>
      <c r="C108" s="14" t="n">
        <v>0.2465</v>
      </c>
      <c r="D108" s="14">
        <f>ABS(B108)</f>
        <v/>
      </c>
      <c r="E108" s="15">
        <f>D108/C108</f>
        <v/>
      </c>
    </row>
    <row r="109" ht="13.5" customHeight="1">
      <c r="A109" s="10" t="n">
        <v>2025</v>
      </c>
      <c r="B109" s="11" t="n">
        <v>0.1899</v>
      </c>
      <c r="C109" s="11" t="n">
        <v>0.223</v>
      </c>
      <c r="D109" s="11">
        <f>ABS(B109)</f>
        <v/>
      </c>
      <c r="E109" s="12">
        <f>D109/C109</f>
        <v/>
      </c>
    </row>
    <row r="110" ht="13.5" customHeight="1">
      <c r="A110" s="13" t="n">
        <v>2025</v>
      </c>
      <c r="B110" s="14" t="n">
        <v>0.1877</v>
      </c>
      <c r="C110" s="14" t="n">
        <v>0.2169</v>
      </c>
      <c r="D110" s="14">
        <f>ABS(B110)</f>
        <v/>
      </c>
      <c r="E110" s="15">
        <f>D110/C110</f>
        <v/>
      </c>
    </row>
    <row r="111" ht="13.5" customHeight="1">
      <c r="A111" s="10" t="n">
        <v>2025</v>
      </c>
      <c r="B111" s="11" t="n">
        <v>-0.2601</v>
      </c>
      <c r="C111" s="11" t="n">
        <v>0.2269</v>
      </c>
      <c r="D111" s="11">
        <f>ABS(B111)</f>
        <v/>
      </c>
      <c r="E111" s="12">
        <f>D111/C111</f>
        <v/>
      </c>
    </row>
    <row r="112" ht="13.5" customHeight="1">
      <c r="A112" s="13" t="n">
        <v>2025</v>
      </c>
      <c r="B112" s="14" t="n">
        <v>-0.2548</v>
      </c>
      <c r="C112" s="14" t="n">
        <v>0.2176</v>
      </c>
      <c r="D112" s="14">
        <f>ABS(B112)</f>
        <v/>
      </c>
      <c r="E112" s="15">
        <f>D112/C112</f>
        <v/>
      </c>
    </row>
    <row r="113" ht="13.5" customHeight="1">
      <c r="A113" s="10" t="n">
        <v>2025</v>
      </c>
      <c r="B113" s="11" t="n">
        <v>-0.157</v>
      </c>
      <c r="C113" s="11" t="n">
        <v>0.1486</v>
      </c>
      <c r="D113" s="11">
        <f>ABS(B113)</f>
        <v/>
      </c>
      <c r="E113" s="12">
        <f>D113/C113</f>
        <v/>
      </c>
    </row>
    <row r="114" ht="13.5" customHeight="1">
      <c r="A114" s="13" t="n">
        <v>2025</v>
      </c>
      <c r="B114" s="14" t="n">
        <v>0.2851</v>
      </c>
      <c r="C114" s="14" t="n">
        <v>0.1614</v>
      </c>
      <c r="D114" s="14">
        <f>ABS(B114)</f>
        <v/>
      </c>
      <c r="E114" s="15">
        <f>D114/C114</f>
        <v/>
      </c>
    </row>
    <row r="115" ht="13.5" customHeight="1">
      <c r="A115" s="10" t="n">
        <v>2025</v>
      </c>
      <c r="B115" s="11" t="n">
        <v>0.1755</v>
      </c>
      <c r="C115" s="11" t="n">
        <v>0.1964</v>
      </c>
      <c r="D115" s="11">
        <f>ABS(B115)</f>
        <v/>
      </c>
      <c r="E115" s="12">
        <f>D115/C115</f>
        <v/>
      </c>
    </row>
    <row r="116" ht="13.5" customHeight="1">
      <c r="A116" s="13" t="n">
        <v>2025</v>
      </c>
      <c r="B116" s="14" t="n">
        <v>0.3385</v>
      </c>
      <c r="C116" s="14" t="n">
        <v>0.1493</v>
      </c>
      <c r="D116" s="14">
        <f>ABS(B116)</f>
        <v/>
      </c>
      <c r="E116" s="15">
        <f>D116/C116</f>
        <v/>
      </c>
    </row>
    <row r="117" ht="13.5" customHeight="1">
      <c r="A117" s="10" t="n">
        <v>2025</v>
      </c>
      <c r="B117" s="11" t="n">
        <v>-0.2705</v>
      </c>
      <c r="C117" s="11" t="n">
        <v>0.2533</v>
      </c>
      <c r="D117" s="11">
        <f>ABS(B117)</f>
        <v/>
      </c>
      <c r="E117" s="12">
        <f>D117/C117</f>
        <v/>
      </c>
    </row>
    <row r="118" ht="13.5" customHeight="1">
      <c r="A118" s="13" t="n">
        <v>2026</v>
      </c>
      <c r="B118" s="14" t="n">
        <v>-0.3744</v>
      </c>
      <c r="C118" s="14" t="n">
        <v>0.2346</v>
      </c>
      <c r="D118" s="14">
        <f>ABS(B118)</f>
        <v/>
      </c>
      <c r="E118" s="15">
        <f>D118/C118</f>
        <v/>
      </c>
    </row>
    <row r="119" ht="13.5" customHeight="1">
      <c r="A119" s="10" t="n">
        <v>2026</v>
      </c>
      <c r="B119" s="11" t="n">
        <v>-0.2048</v>
      </c>
      <c r="C119" s="11" t="n">
        <v>0.2157</v>
      </c>
      <c r="D119" s="11">
        <f>ABS(B119)</f>
        <v/>
      </c>
      <c r="E119" s="12">
        <f>D119/C119</f>
        <v/>
      </c>
    </row>
    <row r="120" ht="13.5" customHeight="1">
      <c r="A120" s="13" t="n">
        <v>2026</v>
      </c>
      <c r="B120" s="14" t="n">
        <v>0.609</v>
      </c>
      <c r="C120" s="14" t="n">
        <v>0.297</v>
      </c>
      <c r="D120" s="14">
        <f>ABS(B120)</f>
        <v/>
      </c>
      <c r="E120" s="15">
        <f>D120/C120</f>
        <v/>
      </c>
    </row>
    <row r="121" ht="13.5" customHeight="1">
      <c r="A121" s="10" t="n">
        <v>2026</v>
      </c>
      <c r="B121" s="11" t="n">
        <v>0.6523</v>
      </c>
      <c r="C121" s="11" t="n">
        <v>0.4129</v>
      </c>
      <c r="D121" s="11">
        <f>ABS(B121)</f>
        <v/>
      </c>
      <c r="E121" s="12">
        <f>D121/C121</f>
        <v/>
      </c>
    </row>
    <row r="122" ht="13.5" customHeight="1">
      <c r="A122" s="13" t="n">
        <v>2026</v>
      </c>
      <c r="B122" s="14" t="n">
        <v>-0.3114</v>
      </c>
      <c r="C122" s="14" t="n">
        <v>0.549</v>
      </c>
      <c r="D122" s="14">
        <f>ABS(B122)</f>
        <v/>
      </c>
      <c r="E122" s="15">
        <f>D122/C122</f>
        <v/>
      </c>
    </row>
    <row r="123" ht="13.5" customHeight="1">
      <c r="A123" s="10" t="n">
        <v>2026</v>
      </c>
      <c r="B123" s="11" t="n">
        <v>-0.2866</v>
      </c>
      <c r="C123" s="11" t="n">
        <v>0.4225</v>
      </c>
      <c r="D123" s="11">
        <f>ABS(B123)</f>
        <v/>
      </c>
      <c r="E123" s="12">
        <f>D123/C123</f>
        <v/>
      </c>
    </row>
    <row r="124" ht="13.5" customHeight="1">
      <c r="A124" s="13" t="n">
        <v>2026</v>
      </c>
      <c r="B124" s="14" t="n">
        <v>0.1575</v>
      </c>
      <c r="C124" s="14" t="n">
        <v>0.3249</v>
      </c>
      <c r="D124" s="14">
        <f>ABS(B124)</f>
        <v/>
      </c>
      <c r="E124" s="15">
        <f>D124/C124</f>
        <v/>
      </c>
    </row>
    <row r="125" ht="13.5" customHeight="1">
      <c r="A125" s="10" t="n">
        <v>2026</v>
      </c>
      <c r="B125" s="11" t="n">
        <v>-0.1874</v>
      </c>
      <c r="C125" s="11" t="n">
        <v>0.2611</v>
      </c>
      <c r="D125" s="11">
        <f>ABS(B125)</f>
        <v/>
      </c>
      <c r="E125" s="12">
        <f>D125/C125</f>
        <v/>
      </c>
    </row>
    <row r="126" ht="13.5" customHeight="1">
      <c r="A126" s="13" t="n">
        <v>2026</v>
      </c>
      <c r="B126" s="14" t="n">
        <v>-0.1705</v>
      </c>
      <c r="C126" s="14" t="n">
        <v>0.1816</v>
      </c>
      <c r="D126" s="14">
        <f>ABS(B126)</f>
        <v/>
      </c>
      <c r="E126" s="15">
        <f>D126/C126</f>
        <v/>
      </c>
    </row>
    <row r="127" ht="13.5" customHeight="1">
      <c r="A127" s="10" t="n">
        <v>2026</v>
      </c>
      <c r="B127" s="11" t="n">
        <v>0.1876</v>
      </c>
      <c r="C127" s="11" t="n">
        <v>0.1644</v>
      </c>
      <c r="D127" s="11">
        <f>ABS(B127)</f>
        <v/>
      </c>
      <c r="E127" s="12">
        <f>D127/C127</f>
        <v/>
      </c>
    </row>
    <row r="128"/>
    <row r="129"/>
    <row r="130" ht="19.5" customHeight="1">
      <c r="A130" s="144" t="inlineStr">
        <is>
          <t>BUCKET STATISTICS (live formulas)</t>
        </is>
      </c>
    </row>
    <row r="131" ht="25.5" customHeight="1">
      <c r="A131" s="2" t="inlineStr">
        <is>
          <t>Bucket |move|</t>
        </is>
      </c>
      <c r="B131" s="2" t="inlineStr">
        <is>
          <t>n legs</t>
        </is>
      </c>
      <c r="C131" s="2" t="inlineStr">
        <is>
          <t>Avg |move|</t>
        </is>
      </c>
      <c r="D131" s="2" t="inlineStr">
        <is>
          <t>Avg margin during leg</t>
        </is>
      </c>
      <c r="E131" s="2" t="inlineStr">
        <is>
          <t>Avg Lev. Eff.</t>
        </is>
      </c>
      <c r="F131" s="2" t="inlineStr">
        <is>
          <t>Implied gross ROC (avg|move|/avg margin)</t>
        </is>
      </c>
    </row>
    <row r="132" ht="13.5" customHeight="1">
      <c r="A132" s="16" t="inlineStr">
        <is>
          <t>15–20%</t>
        </is>
      </c>
      <c r="B132" s="17">
        <f>COUNTIFS(D5:D127,"&gt;="&amp;0.15,D5:D127,"&lt;"&amp;0.2)</f>
        <v/>
      </c>
      <c r="C132" s="18">
        <f>AVERAGEIFS(D5:D127,D5:D127,"&gt;="&amp;0.15,D5:D127,"&lt;"&amp;0.2)</f>
        <v/>
      </c>
      <c r="D132" s="18">
        <f>AVERAGEIFS(C5:C127,D5:D127,"&gt;="&amp;0.15,D5:D127,"&lt;"&amp;0.2)</f>
        <v/>
      </c>
      <c r="E132" s="19">
        <f>AVERAGEIFS(E5:E127,D5:D127,"&gt;="&amp;0.15,D5:D127,"&lt;"&amp;0.2)</f>
        <v/>
      </c>
      <c r="F132" s="20">
        <f>C132/D132</f>
        <v/>
      </c>
    </row>
    <row r="133" ht="13.5" customHeight="1">
      <c r="A133" s="21" t="inlineStr">
        <is>
          <t>20–25%</t>
        </is>
      </c>
      <c r="B133" s="22">
        <f>COUNTIFS(D5:D127,"&gt;="&amp;0.2,D5:D127,"&lt;"&amp;0.25)</f>
        <v/>
      </c>
      <c r="C133" s="23">
        <f>AVERAGEIFS(D5:D127,D5:D127,"&gt;="&amp;0.2,D5:D127,"&lt;"&amp;0.25)</f>
        <v/>
      </c>
      <c r="D133" s="23">
        <f>AVERAGEIFS(C5:C127,D5:D127,"&gt;="&amp;0.2,D5:D127,"&lt;"&amp;0.25)</f>
        <v/>
      </c>
      <c r="E133" s="24">
        <f>AVERAGEIFS(E5:E127,D5:D127,"&gt;="&amp;0.2,D5:D127,"&lt;"&amp;0.25)</f>
        <v/>
      </c>
      <c r="F133" s="25">
        <f>C133/D133</f>
        <v/>
      </c>
    </row>
    <row r="134" ht="13.5" customHeight="1">
      <c r="A134" s="16" t="inlineStr">
        <is>
          <t>25–30%</t>
        </is>
      </c>
      <c r="B134" s="17">
        <f>COUNTIFS(D5:D127,"&gt;="&amp;0.25,D5:D127,"&lt;"&amp;0.3)</f>
        <v/>
      </c>
      <c r="C134" s="18">
        <f>AVERAGEIFS(D5:D127,D5:D127,"&gt;="&amp;0.25,D5:D127,"&lt;"&amp;0.3)</f>
        <v/>
      </c>
      <c r="D134" s="18">
        <f>AVERAGEIFS(C5:C127,D5:D127,"&gt;="&amp;0.25,D5:D127,"&lt;"&amp;0.3)</f>
        <v/>
      </c>
      <c r="E134" s="19">
        <f>AVERAGEIFS(E5:E127,D5:D127,"&gt;="&amp;0.25,D5:D127,"&lt;"&amp;0.3)</f>
        <v/>
      </c>
      <c r="F134" s="20">
        <f>C134/D134</f>
        <v/>
      </c>
    </row>
    <row r="135" ht="13.5" customHeight="1">
      <c r="A135" s="21" t="inlineStr">
        <is>
          <t>≥30%</t>
        </is>
      </c>
      <c r="B135" s="22">
        <f>COUNTIFS(D5:D127,"&gt;="&amp;0.3,D5:D127,"&lt;"&amp;10)</f>
        <v/>
      </c>
      <c r="C135" s="23">
        <f>AVERAGEIFS(D5:D127,D5:D127,"&gt;="&amp;0.3,D5:D127,"&lt;"&amp;10)</f>
        <v/>
      </c>
      <c r="D135" s="23">
        <f>AVERAGEIFS(C5:C127,D5:D127,"&gt;="&amp;0.3,D5:D127,"&lt;"&amp;10)</f>
        <v/>
      </c>
      <c r="E135" s="24">
        <f>AVERAGEIFS(E5:E127,D5:D127,"&gt;="&amp;0.3,D5:D127,"&lt;"&amp;10)</f>
        <v/>
      </c>
      <c r="F135" s="25">
        <f>C135/D135</f>
        <v/>
      </c>
    </row>
    <row r="136"/>
    <row r="137" ht="19.5" customHeight="1">
      <c r="A137" s="26" t="inlineStr">
        <is>
          <t>Correlation |move| vs margin</t>
        </is>
      </c>
      <c r="B137" s="27">
        <f>CORREL(D5:D127,C5:C127)</f>
        <v/>
      </c>
    </row>
    <row r="138" ht="19.5" customHeight="1">
      <c r="A138" s="26" t="inlineStr">
        <is>
          <t>Linear fit: margin = a + b·|move|</t>
        </is>
      </c>
      <c r="B138" s="28">
        <f>INTERCEPT(C5:C127,D5:D127)</f>
        <v/>
      </c>
      <c r="C138" s="29">
        <f>SLOPE(C5:C127,D5:D127)</f>
        <v/>
      </c>
    </row>
  </sheetData>
  <mergeCells count="2">
    <mergeCell ref="A2:E2"/>
    <mergeCell ref="A1:E1"/>
  </mergeCells>
  <pageMargins left="0.75" right="0.75" top="1" bottom="1" header="0.511811023622047" footer="0.511811023622047"/>
  <pageSetup orientation="landscape" paperSize="9" fitToHeight="0" fitToWidth="1" horizontalDpi="300" verticalDpi="3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L72"/>
  <sheetViews>
    <sheetView showGridLines="0" tabSelected="0" zoomScaleNormal="100" workbookViewId="0">
      <selection activeCell="C44" sqref="C44"/>
    </sheetView>
  </sheetViews>
  <sheetFormatPr baseColWidth="8" defaultColWidth="8.6640625" defaultRowHeight="14.4"/>
  <cols>
    <col width="36" customWidth="1" min="1" max="1"/>
    <col width="16" customWidth="1" min="2" max="2"/>
    <col width="23.6640625" bestFit="1" customWidth="1" min="3" max="3"/>
    <col width="12" customWidth="1" min="4" max="4"/>
    <col width="15" customWidth="1" min="5" max="5"/>
    <col width="14" customWidth="1" min="6" max="6"/>
    <col width="11" customWidth="1" min="7" max="7"/>
    <col width="12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0" customHeight="1">
      <c r="A1" s="142" t="inlineStr">
        <is>
          <t>US LEVERAGED ETF ENGINE  ·  STANDALONE MODULE</t>
        </is>
      </c>
    </row>
    <row r="2" ht="19.5" customHeight="1">
      <c r="A2" s="143" t="inlineStr">
        <is>
          <t>KOLD / BOIL / TQQQ / SOXL  —  resident-individual STCG, LRS/TCS gate, USD-vault compounding, INDmoney→IBKR HNW pivot. Self-contained: no external tab links.</t>
        </is>
      </c>
    </row>
    <row r="3" ht="6" customHeight="1"/>
    <row r="4" ht="19.5" customHeight="1">
      <c r="A4" s="144" t="inlineStr">
        <is>
          <t>LOCAL INPUT BLOCK    —    blue cells editable  ·  module is fully self-driven</t>
        </is>
      </c>
    </row>
    <row r="5" ht="15" customHeight="1">
      <c r="A5" s="110" t="inlineStr">
        <is>
          <t>Initial deployed capital (₹)</t>
        </is>
      </c>
      <c r="B5" s="67" t="n">
        <v>5000000</v>
      </c>
      <c r="C5" s="5" t="inlineStr">
        <is>
          <t>Starting pool (₹50L default); scale-test to ₹5 Cr+</t>
        </is>
      </c>
    </row>
    <row r="6" ht="15" customHeight="1">
      <c r="A6" s="110" t="inlineStr">
        <is>
          <t>Swings per year</t>
        </is>
      </c>
      <c r="B6" s="73" t="n">
        <v>2</v>
      </c>
      <c r="C6" s="5" t="inlineStr">
        <is>
          <t>Round trips/yr</t>
        </is>
      </c>
    </row>
    <row r="7" ht="15" customHeight="1">
      <c r="A7" s="110" t="inlineStr">
        <is>
          <t>Gross profit per swing</t>
        </is>
      </c>
      <c r="B7" s="6" t="n">
        <v>0.5</v>
      </c>
      <c r="C7" s="5" t="inlineStr">
        <is>
          <t>Target gross move captured</t>
        </is>
      </c>
    </row>
    <row r="8" ht="15" customHeight="1">
      <c r="A8" s="146" t="inlineStr">
        <is>
          <t>— INDmoney gateway —</t>
        </is>
      </c>
    </row>
    <row r="9" ht="15" customHeight="1">
      <c r="A9" s="110" t="inlineStr">
        <is>
          <t>Brokerage per side (buy &amp; sell)</t>
        </is>
      </c>
      <c r="B9" s="4" t="n">
        <v>0.0025</v>
      </c>
      <c r="C9" s="5" t="inlineStr">
        <is>
          <t>0.25% each leg</t>
        </is>
      </c>
    </row>
    <row r="10" ht="15" customHeight="1">
      <c r="A10" s="110" t="inlineStr">
        <is>
          <t>FX markup (volume-tiered, hi)</t>
        </is>
      </c>
      <c r="B10" s="4" t="n">
        <v>0.008</v>
      </c>
      <c r="C10" s="5" t="inlineStr">
        <is>
          <t>0.80% small size</t>
        </is>
      </c>
    </row>
    <row r="11" ht="15" customHeight="1">
      <c r="A11" s="110" t="inlineStr">
        <is>
          <t>FX markup (volume-tiered, lo)</t>
        </is>
      </c>
      <c r="B11" s="4" t="n">
        <v>0.006</v>
      </c>
      <c r="C11" s="5" t="inlineStr">
        <is>
          <t>0.60% larger size</t>
        </is>
      </c>
    </row>
    <row r="12" ht="15" customHeight="1">
      <c r="A12" s="146" t="inlineStr">
        <is>
          <t>— IBKR HNW institutional —</t>
        </is>
      </c>
    </row>
    <row r="13" ht="15" customHeight="1">
      <c r="A13" s="110" t="inlineStr">
        <is>
          <t>IBKR brokerage per side</t>
        </is>
      </c>
      <c r="B13" s="4" t="n">
        <v>0.0005</v>
      </c>
      <c r="C13" s="5" t="inlineStr">
        <is>
          <t>~0.05% incl. proxy; near-zero</t>
        </is>
      </c>
    </row>
    <row r="14" ht="15" customHeight="1">
      <c r="A14" s="110" t="inlineStr">
        <is>
          <t>IBKR FX margin (HNW bank)</t>
        </is>
      </c>
      <c r="B14" s="4" t="n">
        <v>0.004</v>
      </c>
      <c r="C14" s="5" t="inlineStr">
        <is>
          <t>0.40% preferred forex</t>
        </is>
      </c>
    </row>
    <row r="15" ht="15" customHeight="1">
      <c r="A15" s="110" t="inlineStr">
        <is>
          <t>SWIFT wire fee (₹/transfer)</t>
        </is>
      </c>
      <c r="B15" s="111" t="n">
        <v>1000</v>
      </c>
      <c r="C15" s="5" t="inlineStr">
        <is>
          <t>Flat</t>
        </is>
      </c>
    </row>
    <row r="16" ht="15" customHeight="1">
      <c r="A16" s="110" t="inlineStr">
        <is>
          <t>IBKR execution proxy ($/block)</t>
        </is>
      </c>
      <c r="B16" s="75" t="n">
        <v>2</v>
      </c>
      <c r="C16" s="5" t="inlineStr">
        <is>
          <t>Per trading block</t>
        </is>
      </c>
    </row>
    <row r="17" ht="15" customHeight="1">
      <c r="A17" s="146" t="inlineStr">
        <is>
          <t>— LRS / TCS gate —</t>
        </is>
      </c>
    </row>
    <row r="18" ht="15" customHeight="1">
      <c r="A18" s="110" t="inlineStr">
        <is>
          <t>LRS TCS exemption (₹/PAN/FY)</t>
        </is>
      </c>
      <c r="B18" s="67" t="n">
        <v>1000000</v>
      </c>
      <c r="C18" s="5" t="inlineStr">
        <is>
          <t>₹10L cumulative ceiling</t>
        </is>
      </c>
    </row>
    <row r="19" ht="15" customHeight="1">
      <c r="A19" s="110" t="inlineStr">
        <is>
          <t>TCS rate above ceiling</t>
        </is>
      </c>
      <c r="B19" s="6" t="n">
        <v>0.2</v>
      </c>
      <c r="C19" s="5" t="inlineStr">
        <is>
          <t>Advance-tax asset, refundable via ITR</t>
        </is>
      </c>
    </row>
    <row r="20" ht="15" customHeight="1">
      <c r="A20" s="146" t="inlineStr">
        <is>
          <t>— Tax matrix —</t>
        </is>
      </c>
    </row>
    <row r="21" ht="15" customHeight="1">
      <c r="A21" s="110" t="inlineStr">
        <is>
          <t>Base slab rate (STCG @ slab)</t>
        </is>
      </c>
      <c r="B21" s="6" t="n">
        <v>0.3</v>
      </c>
      <c r="C21" s="5" t="inlineStr">
        <is>
          <t>New Regime top slab</t>
        </is>
      </c>
    </row>
    <row r="22" ht="15" customHeight="1">
      <c r="A22" s="110" t="inlineStr">
        <is>
          <t>Health &amp; Education cess</t>
        </is>
      </c>
      <c r="B22" s="6" t="n">
        <v>0.04</v>
      </c>
      <c r="C22" s="5" t="inlineStr">
        <is>
          <t>On tax+surcharge</t>
        </is>
      </c>
    </row>
    <row r="23" ht="15" customHeight="1">
      <c r="A23" s="110" t="inlineStr">
        <is>
          <t>USD/INR</t>
        </is>
      </c>
      <c r="B23" s="74" t="n">
        <v>94.98</v>
      </c>
      <c r="C23" s="5" t="inlineStr">
        <is>
          <t>For USD vault &amp; repatriation</t>
        </is>
      </c>
    </row>
    <row r="24" ht="15" customHeight="1">
      <c r="A24" t="inlineStr">
        <is>
          <t>HNW pivot threshold (₹)</t>
        </is>
      </c>
      <c r="B24" s="9" t="n">
        <v>20000000</v>
      </c>
      <c r="C24" s="5" t="inlineStr">
        <is>
          <t>₹2 Cr — INDmoney→IBKR switch</t>
        </is>
      </c>
    </row>
    <row r="25" ht="6" customHeight="1"/>
    <row r="26" ht="19.5" customHeight="1">
      <c r="A26" s="144" t="inlineStr">
        <is>
          <t>SURCHARGE LADDER    —    New Regime  ·  STCG on unlisted foreign = ordinary slab income, FULL ladder to 25% (no CG cap)</t>
        </is>
      </c>
    </row>
    <row r="27" ht="15" customHeight="1">
      <c r="A27" s="112" t="inlineStr">
        <is>
          <t>Total gain ≥ (₹)</t>
        </is>
      </c>
      <c r="B27" s="112" t="inlineStr">
        <is>
          <t>Surcharge</t>
        </is>
      </c>
      <c r="C27" s="112" t="inlineStr">
        <is>
          <t>CG cap applies</t>
        </is>
      </c>
      <c r="D27" s="112" t="inlineStr">
        <is>
          <t>Eff. STCG rate</t>
        </is>
      </c>
    </row>
    <row r="28" ht="13.5" customHeight="1">
      <c r="A28" s="113" t="n">
        <v>0</v>
      </c>
      <c r="B28" s="114" t="n">
        <v>0</v>
      </c>
      <c r="C28" s="115" t="inlineStr">
        <is>
          <t>—</t>
        </is>
      </c>
      <c r="D28" s="18">
        <f>$B$21*(1+B28)*(1+$B$22)</f>
        <v/>
      </c>
    </row>
    <row r="29" ht="13.5" customHeight="1">
      <c r="A29" s="116" t="n">
        <v>5000000</v>
      </c>
      <c r="B29" s="117" t="n">
        <v>0.1</v>
      </c>
      <c r="C29" s="118" t="inlineStr">
        <is>
          <t>—</t>
        </is>
      </c>
      <c r="D29" s="23">
        <f>$B$21*(1+B29)*(1+$B$22)</f>
        <v/>
      </c>
    </row>
    <row r="30" ht="13.5" customHeight="1">
      <c r="A30" s="113" t="n">
        <v>10000000</v>
      </c>
      <c r="B30" s="114" t="n">
        <v>0.15</v>
      </c>
      <c r="C30" s="115" t="inlineStr">
        <is>
          <t>—</t>
        </is>
      </c>
      <c r="D30" s="18">
        <f>$B$21*(1+B30)*(1+$B$22)</f>
        <v/>
      </c>
    </row>
    <row r="31" ht="13.5" customHeight="1">
      <c r="A31" s="119" t="n">
        <v>20000000</v>
      </c>
      <c r="B31" s="117" t="n">
        <v>0.25</v>
      </c>
      <c r="C31" s="118" t="inlineStr">
        <is>
          <t>No cap — slab income</t>
        </is>
      </c>
      <c r="D31" s="23">
        <f>$B$21*(1+B31)*(1+$B$22)</f>
        <v/>
      </c>
    </row>
    <row r="32" ht="13.5" customHeight="1">
      <c r="A32" s="113" t="n">
        <v>50000000</v>
      </c>
      <c r="B32" s="114" t="n">
        <v>0.25</v>
      </c>
      <c r="C32" s="115" t="inlineStr">
        <is>
          <t>No cap — slab income</t>
        </is>
      </c>
      <c r="D32" s="18">
        <f>$B$21*(1+B32)*(1+$B$22)</f>
        <v/>
      </c>
    </row>
    <row r="33" ht="6" customHeight="1"/>
    <row r="34" ht="19.5" customHeight="1">
      <c r="A34" s="144" t="inlineStr">
        <is>
          <t>ROUND-TRIP LIFECYCLE BY CAPITAL TIER    —    one swing, INDmoney wrapper, incl. initial TCS lockup</t>
        </is>
      </c>
    </row>
    <row r="35" ht="25.5" customHeight="1">
      <c r="A35" s="2" t="inlineStr">
        <is>
          <t>Capital tier (₹)</t>
        </is>
      </c>
      <c r="B35" s="2" t="inlineStr">
        <is>
          <t>Initial TCS lockup ₹</t>
        </is>
      </c>
      <c r="C35" s="2" t="inlineStr">
        <is>
          <t>FX markup applied</t>
        </is>
      </c>
      <c r="D35" s="2" t="inlineStr">
        <is>
          <t>Buy+Sell drag ₹</t>
        </is>
      </c>
      <c r="E35" s="2" t="inlineStr">
        <is>
          <t>Net repatriable after 1 swing ₹</t>
        </is>
      </c>
      <c r="F35" s="2" t="inlineStr">
        <is>
          <t>Net perf %</t>
        </is>
      </c>
      <c r="G35" s="2" t="inlineStr">
        <is>
          <t>Effective ROC %</t>
        </is>
      </c>
    </row>
    <row r="36" ht="13.5" customHeight="1">
      <c r="A36" s="120" t="n">
        <v>500000</v>
      </c>
      <c r="B36" s="121">
        <f>IF(A36&gt;$B$18,(A36-$B$18)*$B$19,0)</f>
        <v/>
      </c>
      <c r="C36" s="122">
        <f>IF(A36&gt;=2000000,$B$11,$B$10)</f>
        <v/>
      </c>
      <c r="D36" s="123">
        <f>A36*(($B$9+C36)+$B$9*(1+$B$7))</f>
        <v/>
      </c>
      <c r="E36" s="120">
        <f>A36*((1+$B$7)*(1-$B$9)/(1+$B$9+C36))</f>
        <v/>
      </c>
      <c r="F36" s="18">
        <f>(1+$B$7)*(1-$B$9)/(1+$B$9+C36)-1</f>
        <v/>
      </c>
      <c r="G36" s="18">
        <f>(E36-A36)/A36</f>
        <v/>
      </c>
    </row>
    <row r="37" ht="13.5" customHeight="1">
      <c r="A37" s="124" t="n">
        <v>1000000</v>
      </c>
      <c r="B37" s="125">
        <f>IF(A37&gt;$B$18,(A37-$B$18)*$B$19,0)</f>
        <v/>
      </c>
      <c r="C37" s="126">
        <f>IF(A37&gt;=2000000,$B$11,$B$10)</f>
        <v/>
      </c>
      <c r="D37" s="127">
        <f>A37*(($B$9+C37)+$B$9*(1+$B$7))</f>
        <v/>
      </c>
      <c r="E37" s="124">
        <f>A37*((1+$B$7)*(1-$B$9)/(1+$B$9+C37))</f>
        <v/>
      </c>
      <c r="F37" s="23">
        <f>(1+$B$7)*(1-$B$9)/(1+$B$9+C37)-1</f>
        <v/>
      </c>
      <c r="G37" s="23">
        <f>(E37-A37)/A37</f>
        <v/>
      </c>
    </row>
    <row r="38" ht="13.5" customHeight="1">
      <c r="A38" s="120" t="n">
        <v>2000000</v>
      </c>
      <c r="B38" s="120">
        <f>IF(A38&gt;$B$18,(A38-$B$18)*$B$19,0)</f>
        <v/>
      </c>
      <c r="C38" s="122">
        <f>IF(A38&gt;=2000000,$B$11,$B$10)</f>
        <v/>
      </c>
      <c r="D38" s="123">
        <f>A38*(($B$9+C38)+$B$9*(1+$B$7))</f>
        <v/>
      </c>
      <c r="E38" s="120">
        <f>A38*((1+$B$7)*(1-$B$9)/(1+$B$9+C38))</f>
        <v/>
      </c>
      <c r="F38" s="18">
        <f>(1+$B$7)*(1-$B$9)/(1+$B$9+C38)-1</f>
        <v/>
      </c>
      <c r="G38" s="18">
        <f>(E38-A38)/A38</f>
        <v/>
      </c>
    </row>
    <row r="39" ht="13.5" customHeight="1">
      <c r="A39" s="124" t="n">
        <v>2500000</v>
      </c>
      <c r="B39" s="124">
        <f>IF(A39&gt;$B$18,(A39-$B$18)*$B$19,0)</f>
        <v/>
      </c>
      <c r="C39" s="126">
        <f>IF(A39&gt;=2000000,$B$11,$B$10)</f>
        <v/>
      </c>
      <c r="D39" s="127">
        <f>A39*(($B$9+C39)+$B$9*(1+$B$7))</f>
        <v/>
      </c>
      <c r="E39" s="124">
        <f>A39*((1+$B$7)*(1-$B$9)/(1+$B$9+C39))</f>
        <v/>
      </c>
      <c r="F39" s="23">
        <f>(1+$B$7)*(1-$B$9)/(1+$B$9+C39)-1</f>
        <v/>
      </c>
      <c r="G39" s="23">
        <f>(E39-A39)/A39</f>
        <v/>
      </c>
    </row>
    <row r="40" ht="13.5" customHeight="1">
      <c r="A40" s="121" t="n">
        <v>10000000</v>
      </c>
      <c r="B40" s="120">
        <f>IF(A40&gt;$B$18,(A40-$B$18)*$B$19,0)</f>
        <v/>
      </c>
      <c r="C40" s="122">
        <f>IF(A40&gt;=2000000,$B$11,$B$10)</f>
        <v/>
      </c>
      <c r="D40" s="120">
        <f>A40*(($B$9+C40)+$B$9*(1+$B$7))</f>
        <v/>
      </c>
      <c r="E40" s="121">
        <f>A40*((1+$B$7)*(1-$B$9)/(1+$B$9+C40))</f>
        <v/>
      </c>
      <c r="F40" s="18">
        <f>(1+$B$7)*(1-$B$9)/(1+$B$9+C40)-1</f>
        <v/>
      </c>
      <c r="G40" s="18">
        <f>(E40-A40)/A40</f>
        <v/>
      </c>
    </row>
    <row r="41" ht="6" customHeight="1"/>
    <row r="42" ht="19.5" customHeight="1">
      <c r="A42" s="144" t="inlineStr">
        <is>
          <t>INSIDE-THE-FENCE 10-YEAR COMPOUNDING    —    pool = B5  ·  USD vault (no repeat TCS)  ·  auto INDmoney→IBKR pivot</t>
        </is>
      </c>
    </row>
    <row r="43" ht="25.5" customHeight="1">
      <c r="A43" s="2" t="inlineStr">
        <is>
          <t>FY</t>
        </is>
      </c>
      <c r="B43" s="2" t="inlineStr">
        <is>
          <t>Opening corpus ₹</t>
        </is>
      </c>
      <c r="C43" s="2" t="inlineStr">
        <is>
          <t>Wrapper</t>
        </is>
      </c>
      <c r="D43" s="2" t="inlineStr">
        <is>
          <t>Brk/side</t>
        </is>
      </c>
      <c r="E43" s="2" t="inlineStr">
        <is>
          <t>Net perf/swing %</t>
        </is>
      </c>
      <c r="F43" s="2" t="inlineStr">
        <is>
          <t>Realized gain ₹</t>
        </is>
      </c>
      <c r="G43" s="2" t="inlineStr">
        <is>
          <t>Surcharge</t>
        </is>
      </c>
      <c r="H43" s="2" t="inlineStr">
        <is>
          <t>Eff. tax rate</t>
        </is>
      </c>
      <c r="I43" s="2" t="inlineStr">
        <is>
          <t>Tax ₹</t>
        </is>
      </c>
      <c r="J43" s="2" t="inlineStr">
        <is>
          <t>Closing corpus ₹</t>
        </is>
      </c>
      <c r="K43" s="2" t="inlineStr">
        <is>
          <t>Closing $</t>
        </is>
      </c>
      <c r="L43" s="2" t="inlineStr">
        <is>
          <t>vs INDmoney-only ₹</t>
        </is>
      </c>
    </row>
    <row r="44" ht="13.5" customHeight="1">
      <c r="A44" s="128" t="n">
        <v>1</v>
      </c>
      <c r="B44" s="124">
        <f>$B$5</f>
        <v/>
      </c>
      <c r="C44" s="129">
        <f>IF(B44&gt;=$B$24,"IBKR_HNW_PIPE","INDMONEY_WRAPPER")</f>
        <v/>
      </c>
      <c r="D44" s="126">
        <f>IF(B44&gt;=$B$24,$B$13,$B$9)</f>
        <v/>
      </c>
      <c r="E44" s="23">
        <f>(1+$B$7)*(1-D44)/(1+D44+IF(B44&gt;=$B$24,$B$14,IF(B44&gt;=2000000,$B$11,$B$10)))-1</f>
        <v/>
      </c>
      <c r="F44" s="124">
        <f>B44*((1+E44)^$B$6-1)</f>
        <v/>
      </c>
      <c r="G44" s="117">
        <f>VLOOKUP(F44,$A$28:$B$32,2)</f>
        <v/>
      </c>
      <c r="H44" s="23">
        <f>$B$21*(1+G44)*(1+$B$22)</f>
        <v/>
      </c>
      <c r="I44" s="124">
        <f>F44*H44</f>
        <v/>
      </c>
      <c r="J44" s="124">
        <f>B44+F44-I44</f>
        <v/>
      </c>
      <c r="K44" s="130">
        <f>J44/$B$23</f>
        <v/>
      </c>
      <c r="L44" s="124">
        <f>$B$5+($B$5*((1+(1+$B$7)*(1-$B$9)/(1+$B$9+IF($B$5&gt;=2000000,$B$11,$B$10))-1)^$B$6-1))-(($B$5*((1+(1+$B$7)*(1-$B$9)/(1+$B$9+IF($B$5&gt;=2000000,$B$11,$B$10))-1)^$B$6-1))*$B$21*(1+VLOOKUP($B$5*((1+(1+$B$7)*(1-$B$9)/(1+$B$9+IF($B$5&gt;=2000000,$B$11,$B$10))-1)^$B$6-1),$A$28:$B$32,2))*(1+$B$22))</f>
        <v/>
      </c>
    </row>
    <row r="45" ht="13.5" customHeight="1">
      <c r="A45" s="131" t="n">
        <v>2</v>
      </c>
      <c r="B45" s="120">
        <f>J44</f>
        <v/>
      </c>
      <c r="C45" s="132">
        <f>IF(B45&gt;=$B$24,"IBKR_HNW_PIPE","INDMONEY_WRAPPER")</f>
        <v/>
      </c>
      <c r="D45" s="122">
        <f>IF(B45&gt;=$B$24,$B$13,$B$9)</f>
        <v/>
      </c>
      <c r="E45" s="18">
        <f>(1+$B$7)*(1-D45)/(1+D45+IF(B45&gt;=$B$24,$B$14,IF(B45&gt;=2000000,$B$11,$B$10)))-1</f>
        <v/>
      </c>
      <c r="F45" s="121">
        <f>B45*((1+E45)^$B$6-1)</f>
        <v/>
      </c>
      <c r="G45" s="114">
        <f>VLOOKUP(F45,$A$28:$B$32,2)</f>
        <v/>
      </c>
      <c r="H45" s="18">
        <f>$B$21*(1+G45)*(1+$B$22)</f>
        <v/>
      </c>
      <c r="I45" s="120">
        <f>F45*H45</f>
        <v/>
      </c>
      <c r="J45" s="121">
        <f>B45+F45-I45</f>
        <v/>
      </c>
      <c r="K45" s="133">
        <f>J45/$B$23</f>
        <v/>
      </c>
      <c r="L45" s="121">
        <f>L44+(L44*((1+(1+$B$7)*(1-$B$9)/(1+$B$9+IF(L44&gt;=2000000,$B$11,$B$10))-1)^$B$6-1))-((L44*((1+(1+$B$7)*(1-$B$9)/(1+$B$9+IF(L44&gt;=2000000,$B$11,$B$10))-1)^$B$6-1))*$B$21*(1+VLOOKUP(L44*((1+(1+$B$7)*(1-$B$9)/(1+$B$9+IF(L44&gt;=2000000,$B$11,$B$10))-1)^$B$6-1),$A$28:$B$32,2))*(1+$B$22))</f>
        <v/>
      </c>
    </row>
    <row r="46" ht="13.5" customHeight="1">
      <c r="A46" s="128" t="n">
        <v>3</v>
      </c>
      <c r="B46" s="125">
        <f>J45</f>
        <v/>
      </c>
      <c r="C46" s="129">
        <f>IF(B46&gt;=$B$24,"IBKR_HNW_PIPE","INDMONEY_WRAPPER")</f>
        <v/>
      </c>
      <c r="D46" s="126">
        <f>IF(B46&gt;=$B$24,$B$13,$B$9)</f>
        <v/>
      </c>
      <c r="E46" s="23">
        <f>(1+$B$7)*(1-D46)/(1+D46+IF(B46&gt;=$B$24,$B$14,IF(B46&gt;=2000000,$B$11,$B$10)))-1</f>
        <v/>
      </c>
      <c r="F46" s="125">
        <f>B46*((1+E46)^$B$6-1)</f>
        <v/>
      </c>
      <c r="G46" s="117">
        <f>VLOOKUP(F46,$A$28:$B$32,2)</f>
        <v/>
      </c>
      <c r="H46" s="23">
        <f>$B$21*(1+G46)*(1+$B$22)</f>
        <v/>
      </c>
      <c r="I46" s="124">
        <f>F46*H46</f>
        <v/>
      </c>
      <c r="J46" s="125">
        <f>B46+F46-I46</f>
        <v/>
      </c>
      <c r="K46" s="130">
        <f>J46/$B$23</f>
        <v/>
      </c>
      <c r="L46" s="125">
        <f>L45+(L45*((1+(1+$B$7)*(1-$B$9)/(1+$B$9+IF(L45&gt;=2000000,$B$11,$B$10))-1)^$B$6-1))-((L45*((1+(1+$B$7)*(1-$B$9)/(1+$B$9+IF(L45&gt;=2000000,$B$11,$B$10))-1)^$B$6-1))*$B$21*(1+VLOOKUP(L45*((1+(1+$B$7)*(1-$B$9)/(1+$B$9+IF(L45&gt;=2000000,$B$11,$B$10))-1)^$B$6-1),$A$28:$B$32,2))*(1+$B$22))</f>
        <v/>
      </c>
    </row>
    <row r="47" ht="13.5" customHeight="1">
      <c r="A47" s="131" t="n">
        <v>4</v>
      </c>
      <c r="B47" s="121">
        <f>J46</f>
        <v/>
      </c>
      <c r="C47" s="132">
        <f>IF(B47&gt;=$B$24,"IBKR_HNW_PIPE","INDMONEY_WRAPPER")</f>
        <v/>
      </c>
      <c r="D47" s="122">
        <f>IF(B47&gt;=$B$24,$B$13,$B$9)</f>
        <v/>
      </c>
      <c r="E47" s="18">
        <f>(1+$B$7)*(1-D47)/(1+D47+IF(B47&gt;=$B$24,$B$14,IF(B47&gt;=2000000,$B$11,$B$10)))-1</f>
        <v/>
      </c>
      <c r="F47" s="121">
        <f>B47*((1+E47)^$B$6-1)</f>
        <v/>
      </c>
      <c r="G47" s="114">
        <f>VLOOKUP(F47,$A$28:$B$32,2)</f>
        <v/>
      </c>
      <c r="H47" s="18">
        <f>$B$21*(1+G47)*(1+$B$22)</f>
        <v/>
      </c>
      <c r="I47" s="121">
        <f>F47*H47</f>
        <v/>
      </c>
      <c r="J47" s="121">
        <f>B47+F47-I47</f>
        <v/>
      </c>
      <c r="K47" s="133">
        <f>J47/$B$23</f>
        <v/>
      </c>
      <c r="L47" s="121">
        <f>L46+(L46*((1+(1+$B$7)*(1-$B$9)/(1+$B$9+IF(L46&gt;=2000000,$B$11,$B$10))-1)^$B$6-1))-((L46*((1+(1+$B$7)*(1-$B$9)/(1+$B$9+IF(L46&gt;=2000000,$B$11,$B$10))-1)^$B$6-1))*$B$21*(1+VLOOKUP(L46*((1+(1+$B$7)*(1-$B$9)/(1+$B$9+IF(L46&gt;=2000000,$B$11,$B$10))-1)^$B$6-1),$A$28:$B$32,2))*(1+$B$22))</f>
        <v/>
      </c>
    </row>
    <row r="48" ht="13.5" customHeight="1">
      <c r="A48" s="128" t="n">
        <v>5</v>
      </c>
      <c r="B48" s="125">
        <f>J47</f>
        <v/>
      </c>
      <c r="C48" s="129">
        <f>IF(B48&gt;=$B$24,"IBKR_HNW_PIPE","INDMONEY_WRAPPER")</f>
        <v/>
      </c>
      <c r="D48" s="126">
        <f>IF(B48&gt;=$B$24,$B$13,$B$9)</f>
        <v/>
      </c>
      <c r="E48" s="23">
        <f>(1+$B$7)*(1-D48)/(1+D48+IF(B48&gt;=$B$24,$B$14,IF(B48&gt;=2000000,$B$11,$B$10)))-1</f>
        <v/>
      </c>
      <c r="F48" s="125">
        <f>B48*((1+E48)^$B$6-1)</f>
        <v/>
      </c>
      <c r="G48" s="117">
        <f>VLOOKUP(F48,$A$28:$B$32,2)</f>
        <v/>
      </c>
      <c r="H48" s="23">
        <f>$B$21*(1+G48)*(1+$B$22)</f>
        <v/>
      </c>
      <c r="I48" s="125">
        <f>F48*H48</f>
        <v/>
      </c>
      <c r="J48" s="125">
        <f>B48+F48-I48</f>
        <v/>
      </c>
      <c r="K48" s="130">
        <f>J48/$B$23</f>
        <v/>
      </c>
      <c r="L48" s="125">
        <f>L47+(L47*((1+(1+$B$7)*(1-$B$9)/(1+$B$9+IF(L47&gt;=2000000,$B$11,$B$10))-1)^$B$6-1))-((L47*((1+(1+$B$7)*(1-$B$9)/(1+$B$9+IF(L47&gt;=2000000,$B$11,$B$10))-1)^$B$6-1))*$B$21*(1+VLOOKUP(L47*((1+(1+$B$7)*(1-$B$9)/(1+$B$9+IF(L47&gt;=2000000,$B$11,$B$10))-1)^$B$6-1),$A$28:$B$32,2))*(1+$B$22))</f>
        <v/>
      </c>
    </row>
    <row r="49" ht="13.5" customHeight="1">
      <c r="A49" s="131" t="n">
        <v>6</v>
      </c>
      <c r="B49" s="121">
        <f>J48</f>
        <v/>
      </c>
      <c r="C49" s="132">
        <f>IF(B49&gt;=$B$24,"IBKR_HNW_PIPE","INDMONEY_WRAPPER")</f>
        <v/>
      </c>
      <c r="D49" s="122">
        <f>IF(B49&gt;=$B$24,$B$13,$B$9)</f>
        <v/>
      </c>
      <c r="E49" s="18">
        <f>(1+$B$7)*(1-D49)/(1+D49+IF(B49&gt;=$B$24,$B$14,IF(B49&gt;=2000000,$B$11,$B$10)))-1</f>
        <v/>
      </c>
      <c r="F49" s="121">
        <f>B49*((1+E49)^$B$6-1)</f>
        <v/>
      </c>
      <c r="G49" s="114">
        <f>VLOOKUP(F49,$A$28:$B$32,2)</f>
        <v/>
      </c>
      <c r="H49" s="18">
        <f>$B$21*(1+G49)*(1+$B$22)</f>
        <v/>
      </c>
      <c r="I49" s="121">
        <f>F49*H49</f>
        <v/>
      </c>
      <c r="J49" s="121">
        <f>B49+F49-I49</f>
        <v/>
      </c>
      <c r="K49" s="133">
        <f>J49/$B$23</f>
        <v/>
      </c>
      <c r="L49" s="121">
        <f>L48+(L48*((1+(1+$B$7)*(1-$B$9)/(1+$B$9+IF(L48&gt;=2000000,$B$11,$B$10))-1)^$B$6-1))-((L48*((1+(1+$B$7)*(1-$B$9)/(1+$B$9+IF(L48&gt;=2000000,$B$11,$B$10))-1)^$B$6-1))*$B$21*(1+VLOOKUP(L48*((1+(1+$B$7)*(1-$B$9)/(1+$B$9+IF(L48&gt;=2000000,$B$11,$B$10))-1)^$B$6-1),$A$28:$B$32,2))*(1+$B$22))</f>
        <v/>
      </c>
    </row>
    <row r="50" ht="13.5" customHeight="1">
      <c r="A50" s="128" t="n">
        <v>7</v>
      </c>
      <c r="B50" s="125">
        <f>J49</f>
        <v/>
      </c>
      <c r="C50" s="129">
        <f>IF(B50&gt;=$B$24,"IBKR_HNW_PIPE","INDMONEY_WRAPPER")</f>
        <v/>
      </c>
      <c r="D50" s="126">
        <f>IF(B50&gt;=$B$24,$B$13,$B$9)</f>
        <v/>
      </c>
      <c r="E50" s="23">
        <f>(1+$B$7)*(1-D50)/(1+D50+IF(B50&gt;=$B$24,$B$14,IF(B50&gt;=2000000,$B$11,$B$10)))-1</f>
        <v/>
      </c>
      <c r="F50" s="125">
        <f>B50*((1+E50)^$B$6-1)</f>
        <v/>
      </c>
      <c r="G50" s="117">
        <f>VLOOKUP(F50,$A$28:$B$32,2)</f>
        <v/>
      </c>
      <c r="H50" s="23">
        <f>$B$21*(1+G50)*(1+$B$22)</f>
        <v/>
      </c>
      <c r="I50" s="125">
        <f>F50*H50</f>
        <v/>
      </c>
      <c r="J50" s="125">
        <f>B50+F50-I50</f>
        <v/>
      </c>
      <c r="K50" s="130">
        <f>J50/$B$23</f>
        <v/>
      </c>
      <c r="L50" s="125">
        <f>L49+(L49*((1+(1+$B$7)*(1-$B$9)/(1+$B$9+IF(L49&gt;=2000000,$B$11,$B$10))-1)^$B$6-1))-((L49*((1+(1+$B$7)*(1-$B$9)/(1+$B$9+IF(L49&gt;=2000000,$B$11,$B$10))-1)^$B$6-1))*$B$21*(1+VLOOKUP(L49*((1+(1+$B$7)*(1-$B$9)/(1+$B$9+IF(L49&gt;=2000000,$B$11,$B$10))-1)^$B$6-1),$A$28:$B$32,2))*(1+$B$22))</f>
        <v/>
      </c>
    </row>
    <row r="51" ht="13.5" customHeight="1">
      <c r="A51" s="131" t="n">
        <v>8</v>
      </c>
      <c r="B51" s="121">
        <f>J50</f>
        <v/>
      </c>
      <c r="C51" s="132">
        <f>IF(B51&gt;=$B$24,"IBKR_HNW_PIPE","INDMONEY_WRAPPER")</f>
        <v/>
      </c>
      <c r="D51" s="122">
        <f>IF(B51&gt;=$B$24,$B$13,$B$9)</f>
        <v/>
      </c>
      <c r="E51" s="18">
        <f>(1+$B$7)*(1-D51)/(1+D51+IF(B51&gt;=$B$24,$B$14,IF(B51&gt;=2000000,$B$11,$B$10)))-1</f>
        <v/>
      </c>
      <c r="F51" s="121">
        <f>B51*((1+E51)^$B$6-1)</f>
        <v/>
      </c>
      <c r="G51" s="114">
        <f>VLOOKUP(F51,$A$28:$B$32,2)</f>
        <v/>
      </c>
      <c r="H51" s="18">
        <f>$B$21*(1+G51)*(1+$B$22)</f>
        <v/>
      </c>
      <c r="I51" s="121">
        <f>F51*H51</f>
        <v/>
      </c>
      <c r="J51" s="121">
        <f>B51+F51-I51</f>
        <v/>
      </c>
      <c r="K51" s="133">
        <f>J51/$B$23</f>
        <v/>
      </c>
      <c r="L51" s="121">
        <f>L50+(L50*((1+(1+$B$7)*(1-$B$9)/(1+$B$9+IF(L50&gt;=2000000,$B$11,$B$10))-1)^$B$6-1))-((L50*((1+(1+$B$7)*(1-$B$9)/(1+$B$9+IF(L50&gt;=2000000,$B$11,$B$10))-1)^$B$6-1))*$B$21*(1+VLOOKUP(L50*((1+(1+$B$7)*(1-$B$9)/(1+$B$9+IF(L50&gt;=2000000,$B$11,$B$10))-1)^$B$6-1),$A$28:$B$32,2))*(1+$B$22))</f>
        <v/>
      </c>
    </row>
    <row r="52" ht="13.5" customHeight="1">
      <c r="A52" s="128" t="n">
        <v>9</v>
      </c>
      <c r="B52" s="125">
        <f>J51</f>
        <v/>
      </c>
      <c r="C52" s="129">
        <f>IF(B52&gt;=$B$24,"IBKR_HNW_PIPE","INDMONEY_WRAPPER")</f>
        <v/>
      </c>
      <c r="D52" s="126">
        <f>IF(B52&gt;=$B$24,$B$13,$B$9)</f>
        <v/>
      </c>
      <c r="E52" s="23">
        <f>(1+$B$7)*(1-D52)/(1+D52+IF(B52&gt;=$B$24,$B$14,IF(B52&gt;=2000000,$B$11,$B$10)))-1</f>
        <v/>
      </c>
      <c r="F52" s="125">
        <f>B52*((1+E52)^$B$6-1)</f>
        <v/>
      </c>
      <c r="G52" s="117">
        <f>VLOOKUP(F52,$A$28:$B$32,2)</f>
        <v/>
      </c>
      <c r="H52" s="23">
        <f>$B$21*(1+G52)*(1+$B$22)</f>
        <v/>
      </c>
      <c r="I52" s="125">
        <f>F52*H52</f>
        <v/>
      </c>
      <c r="J52" s="125">
        <f>B52+F52-I52</f>
        <v/>
      </c>
      <c r="K52" s="130">
        <f>J52/$B$23</f>
        <v/>
      </c>
      <c r="L52" s="125">
        <f>L51+(L51*((1+(1+$B$7)*(1-$B$9)/(1+$B$9+IF(L51&gt;=2000000,$B$11,$B$10))-1)^$B$6-1))-((L51*((1+(1+$B$7)*(1-$B$9)/(1+$B$9+IF(L51&gt;=2000000,$B$11,$B$10))-1)^$B$6-1))*$B$21*(1+VLOOKUP(L51*((1+(1+$B$7)*(1-$B$9)/(1+$B$9+IF(L51&gt;=2000000,$B$11,$B$10))-1)^$B$6-1),$A$28:$B$32,2))*(1+$B$22))</f>
        <v/>
      </c>
    </row>
    <row r="53" ht="13.5" customHeight="1">
      <c r="A53" s="131" t="n">
        <v>10</v>
      </c>
      <c r="B53" s="121">
        <f>J52</f>
        <v/>
      </c>
      <c r="C53" s="132">
        <f>IF(B53&gt;=$B$24,"IBKR_HNW_PIPE","INDMONEY_WRAPPER")</f>
        <v/>
      </c>
      <c r="D53" s="122">
        <f>IF(B53&gt;=$B$24,$B$13,$B$9)</f>
        <v/>
      </c>
      <c r="E53" s="18">
        <f>(1+$B$7)*(1-D53)/(1+D53+IF(B53&gt;=$B$24,$B$14,IF(B53&gt;=2000000,$B$11,$B$10)))-1</f>
        <v/>
      </c>
      <c r="F53" s="121">
        <f>B53*((1+E53)^$B$6-1)</f>
        <v/>
      </c>
      <c r="G53" s="114">
        <f>VLOOKUP(F53,$A$28:$B$32,2)</f>
        <v/>
      </c>
      <c r="H53" s="18">
        <f>$B$21*(1+G53)*(1+$B$22)</f>
        <v/>
      </c>
      <c r="I53" s="121">
        <f>F53*H53</f>
        <v/>
      </c>
      <c r="J53" s="134">
        <f>B53+F53-I53</f>
        <v/>
      </c>
      <c r="K53" s="133">
        <f>J53/$B$23</f>
        <v/>
      </c>
      <c r="L53" s="134">
        <f>L52+(L52*((1+(1+$B$7)*(1-$B$9)/(1+$B$9+IF(L52&gt;=2000000,$B$11,$B$10))-1)^$B$6-1))-((L52*((1+(1+$B$7)*(1-$B$9)/(1+$B$9+IF(L52&gt;=2000000,$B$11,$B$10))-1)^$B$6-1))*$B$21*(1+VLOOKUP(L52*((1+(1+$B$7)*(1-$B$9)/(1+$B$9+IF(L52&gt;=2000000,$B$11,$B$10))-1)^$B$6-1),$A$28:$B$32,2))*(1+$B$22))</f>
        <v/>
      </c>
    </row>
    <row r="54"/>
    <row r="55" ht="19.5" customHeight="1">
      <c r="A55" s="144" t="inlineStr">
        <is>
          <t>SUMMARY &amp; HNW ACCELERATION</t>
        </is>
      </c>
    </row>
    <row r="56" ht="15.75" customHeight="1">
      <c r="A56" s="105" t="inlineStr">
        <is>
          <t>Initial TCS lockup on starting pool (refundable)</t>
        </is>
      </c>
      <c r="B56" s="135">
        <f>IF($B$5&gt;$B$18,($B$5-$B$18)*$B$19,0)</f>
        <v/>
      </c>
    </row>
    <row r="57" ht="19.5" customHeight="1">
      <c r="A57" s="102" t="inlineStr">
        <is>
          <t>Year-10 corpus — with HNW pivot (₹ Cr)</t>
        </is>
      </c>
      <c r="B57" s="103">
        <f>J53/10000000</f>
        <v/>
      </c>
    </row>
    <row r="58" ht="15.75" customHeight="1">
      <c r="A58" s="105" t="inlineStr">
        <is>
          <t>Year-10 corpus — INDmoney-only (₹ Cr)</t>
        </is>
      </c>
      <c r="B58" s="106">
        <f>L53/10000000</f>
        <v/>
      </c>
    </row>
    <row r="59" ht="19.5" customHeight="1">
      <c r="A59" s="102" t="inlineStr">
        <is>
          <t>Leakage saved by IBKR pivot (₹ Cr)</t>
        </is>
      </c>
      <c r="B59" s="103">
        <f>(J53-L53)/10000000</f>
        <v/>
      </c>
    </row>
    <row r="60" ht="15.75" customHeight="1">
      <c r="A60" s="105" t="inlineStr">
        <is>
          <t>Year-10 corpus (USD)</t>
        </is>
      </c>
      <c r="B60" s="136">
        <f>J53/$B$23</f>
        <v/>
      </c>
    </row>
    <row r="61" ht="15.75" customHeight="1">
      <c r="A61" s="105" t="inlineStr">
        <is>
          <t>Net after-tax CAGR (10y)</t>
        </is>
      </c>
      <c r="B61" s="137">
        <f>(J53/$B$5)^(1/10)-1</f>
        <v/>
      </c>
    </row>
    <row r="62" ht="15.75" customHeight="1">
      <c r="A62" s="105" t="inlineStr">
        <is>
          <t>FY crossing ₹2 Cr (HNW pivot)</t>
        </is>
      </c>
      <c r="B62" s="109">
        <f>IFERROR(MATCH(TRUE(),INDEX(J44:J53&gt;=$B$24,0),0),"&gt;10")</f>
        <v/>
      </c>
    </row>
    <row r="63" ht="15.75" customHeight="1">
      <c r="A63" s="105" t="inlineStr">
        <is>
          <t>FY crossing ₹5 Cr</t>
        </is>
      </c>
      <c r="B63" s="109">
        <f>IFERROR(MATCH(TRUE(),INDEX(J44:J53&gt;=50000000,0),0),"&gt;10")</f>
        <v/>
      </c>
    </row>
    <row r="64" ht="15.75" customHeight="1">
      <c r="A64" s="105" t="inlineStr">
        <is>
          <t>FY crossing ₹10 Cr</t>
        </is>
      </c>
      <c r="B64" s="109">
        <f>IFERROR(MATCH(TRUE(),INDEX(J44:J53&gt;=100000000,0),0),"&gt;10")</f>
        <v/>
      </c>
    </row>
    <row r="65"/>
    <row r="66" ht="27.75" customHeight="1">
      <c r="A66" s="149" t="inlineStr">
        <is>
          <t>COMPLIANCE CROSS-VERIFICATION — web-verified 14-Jun-2026 (ITD provisions, Winvesta, Zerodha, Bajaj Finserv, RBI LRS Master Direction). Confirm with a CA before deployment.</t>
        </is>
      </c>
    </row>
    <row r="67" ht="51.75" customHeight="1">
      <c r="A67" s="150" t="inlineStr">
        <is>
          <t>⚠ CRITICAL — LRS ELIGIBILITY: KOLD/BOIL/TQQQ/SOXL are LEVERAGED/INVERSE ETFs. RBI LRS prohibits margin trading, derivatives and "leveraged instruments" abroad. Whether daily-reset leveraged/inverse ETFs are prohibited is an UNSETTLED GRAY AREA — banks may reject the remittance. Plain ETFs (VOO/QQQ) are clearly permitted; these are not. VERIFY with your AD bank + CA before funding. The model assumes a legality it cannot guarantee.</t>
        </is>
      </c>
      <c r="B67" s="219" t="n"/>
      <c r="C67" s="219" t="n"/>
      <c r="D67" s="219" t="n"/>
      <c r="E67" s="219" t="n"/>
      <c r="F67" s="219" t="n"/>
      <c r="G67" s="219" t="n"/>
      <c r="H67" s="220" t="n"/>
    </row>
    <row r="68" ht="45.75" customHeight="1">
      <c r="A68" s="148" t="inlineStr">
        <is>
          <t>⚠ TCS IS ANNUAL, NOT ONE-TIME: 20% TCS applies to LRS investment remittances ABOVE ₹10L per PAN per FINANCIAL YEAR (Budget-2025 floor ₹7L→₹10L; Budget-2026 2% cut is education/medical only — investments stay 20%). Sheet models TCS once via the USD-vault assumption — valid ONLY if gains truly compound in-platform with zero fresh remittances. Any annual top-up re-triggers TCS. Optimization: split initial funding across two FYs to keep each ≤₹10L.</t>
        </is>
      </c>
      <c r="B68" s="219" t="n"/>
      <c r="C68" s="219" t="n"/>
      <c r="D68" s="219" t="n"/>
      <c r="E68" s="219" t="n"/>
      <c r="F68" s="219" t="n"/>
      <c r="G68" s="219" t="n"/>
      <c r="H68" s="220" t="n"/>
    </row>
    <row r="69" ht="31.5" customHeight="1">
      <c r="A69" s="147" t="inlineStr">
        <is>
          <t>✓ STCG RATE (verified): US-listed ETFs = unlisted foreign securities; &lt;24 months → STCG pooled into total income at slabs. NOT under s.111A/112/112A, so NO 15% surcharge cap. Full ladder; 25% surcharge above ₹2 Cr → peak 30%×1.25×1.04 = 39.00%.</t>
        </is>
      </c>
      <c r="B69" s="219" t="n"/>
      <c r="C69" s="219" t="n"/>
      <c r="D69" s="219" t="n"/>
      <c r="E69" s="219" t="n"/>
      <c r="F69" s="219" t="n"/>
      <c r="G69" s="219" t="n"/>
      <c r="H69" s="220" t="n"/>
    </row>
    <row r="70" ht="31.5" customHeight="1">
      <c r="A70" s="147" t="inlineStr">
        <is>
          <t>✓ SURCHARGE LADDER (verified): New Regime caps at 25% above ₹2 Cr (37% band abolished; unchanged through Budget 2025). Ladder 0/10/15/25/25% at ₹0/50L/1Cr/2Cr/5Cr correct for slab income.</t>
        </is>
      </c>
      <c r="B70" s="219" t="n"/>
      <c r="C70" s="219" t="n"/>
      <c r="D70" s="219" t="n"/>
      <c r="E70" s="219" t="n"/>
      <c r="F70" s="219" t="n"/>
      <c r="G70" s="219" t="n"/>
      <c r="H70" s="220" t="n"/>
    </row>
    <row r="71" ht="45.75" customHeight="1">
      <c r="A71" s="148" t="inlineStr">
        <is>
          <t>⚠ HOLDING-PERIOD: the 39% STCG applies only if held &lt;24 months. Model assumes 2 swings/yr (short holds) → always STCG. Holding ≥24m flips to LTCG @12.5% (~14.95%) but contradicts the swing thesis. Stated, not resolved.</t>
        </is>
      </c>
      <c r="B71" s="219" t="n"/>
      <c r="C71" s="219" t="n"/>
      <c r="D71" s="219" t="n"/>
      <c r="E71" s="219" t="n"/>
      <c r="F71" s="219" t="n"/>
      <c r="G71" s="219" t="n"/>
      <c r="H71" s="220" t="n"/>
    </row>
    <row r="72" ht="31.5" customHeight="1">
      <c r="A72" s="147" t="inlineStr">
        <is>
          <t>✓ MODELLING: surcharge on gain as proxy for total income (conservative); brokerage compounded multiplicatively out of gross; IBKR $/block folded into 0.05%/side; uppercase functions; VLOOKUP tax tiers, no hardcodes.</t>
        </is>
      </c>
      <c r="B72" s="219" t="n"/>
      <c r="C72" s="219" t="n"/>
      <c r="D72" s="219" t="n"/>
      <c r="E72" s="219" t="n"/>
      <c r="F72" s="219" t="n"/>
      <c r="G72" s="219" t="n"/>
      <c r="H72" s="220" t="n"/>
    </row>
  </sheetData>
  <mergeCells count="18">
    <mergeCell ref="A70:H70"/>
    <mergeCell ref="A67:H67"/>
    <mergeCell ref="A4:H4"/>
    <mergeCell ref="A26:H26"/>
    <mergeCell ref="A12:H12"/>
    <mergeCell ref="A55:H55"/>
    <mergeCell ref="A69:H69"/>
    <mergeCell ref="A20:H20"/>
    <mergeCell ref="A71:H71"/>
    <mergeCell ref="A72:H72"/>
    <mergeCell ref="A2:H2"/>
    <mergeCell ref="A42:H42"/>
    <mergeCell ref="A68:H68"/>
    <mergeCell ref="A66:H66"/>
    <mergeCell ref="A17:H17"/>
    <mergeCell ref="A1:H1"/>
    <mergeCell ref="A8:H8"/>
    <mergeCell ref="A34:H34"/>
  </mergeCells>
  <pageMargins left="0.75" right="0.75" top="1" bottom="1" header="0.511811023622047" footer="0.511811023622047"/>
  <pageSetup orientation="landscape" paperSize="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2026-06-12T13:15:54Z</dcterms:created>
  <dcterms:modified xmlns:dcterms="http://purl.org/dc/terms/" xmlns:xsi="http://www.w3.org/2001/XMLSchema-instance" xsi:type="dcterms:W3CDTF">2026-10-14T19:18:06Z</dcterms:modified>
  <cp:lastModifiedBy>Prateek Upadhyay</cp:lastModifiedBy>
  <cp:revision>0</cp:revision>
</cp:coreProperties>
</file>